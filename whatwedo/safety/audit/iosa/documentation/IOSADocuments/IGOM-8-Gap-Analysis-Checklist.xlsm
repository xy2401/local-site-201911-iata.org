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vbaProject.bin" ContentType="application/vnd.ms-office.vbaProject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8.xml" ContentType="application/vnd.openxmlformats-officedocument.drawingml.chart+xml"/>
  <Override PartName="/xl/worksheets/sheet1.xml" ContentType="application/vnd.openxmlformats-officedocument.spreadsheetml.worksheet+xml"/>
  <Override PartName="/xl/charts/chart6.xml" ContentType="application/vnd.openxmlformats-officedocument.drawingml.char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charts/chart5.xml" ContentType="application/vnd.openxmlformats-officedocument.drawingml.chart+xml"/>
  <Override PartName="/xl/charts/chart7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5.xml" ContentType="application/vnd.openxmlformats-officedocument.spreadsheetml.workshee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docProps/core.xml" ContentType="application/vnd.openxmlformats-package.core-properties+xml"/>
  <Override PartName="/xl/calcChain.xml" ContentType="application/vnd.openxmlformats-officedocument.spreadsheetml.calcChain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ODHIAMBOC\AppData\Local\IATA\Reader\1.0.0.0\Library\IGOM EN 8th\toolbox\"/>
    </mc:Choice>
  </mc:AlternateContent>
  <bookViews>
    <workbookView xWindow="0" yWindow="0" windowWidth="19200" windowHeight="11595"/>
  </bookViews>
  <sheets>
    <sheet name="Main" sheetId="3" r:id="rId1"/>
    <sheet name="Spreadsheet" sheetId="1" r:id="rId2"/>
    <sheet name="Settings" sheetId="6" state="hidden" r:id="rId3"/>
    <sheet name="Dashboard Data" sheetId="4" state="hidden" r:id="rId4"/>
    <sheet name="Dashboard" sheetId="5" r:id="rId5"/>
  </sheets>
  <definedNames>
    <definedName name="Adverse_Weather_Conditions">Spreadsheet!$H$215</definedName>
    <definedName name="Adverse_Weather_Oversight_Procedures">Spreadsheet!$H$494</definedName>
    <definedName name="Aircraft_Arrival">Spreadsheet!$H$316</definedName>
    <definedName name="Aircraft_Cabin_Servicing">Spreadsheet!$H$298</definedName>
    <definedName name="Aircraft_Chocking">Spreadsheet!$H$323</definedName>
    <definedName name="Aircraft_Coning">Spreadsheet!$H$328</definedName>
    <definedName name="Aircraft_Departure">Spreadsheet!$H$384</definedName>
    <definedName name="Aircraft_Doors">Spreadsheet!$H$335</definedName>
    <definedName name="Aircraft_Loading">Spreadsheet!$H$349</definedName>
    <definedName name="Aircraft_Towing">Spreadsheet!$H$429</definedName>
    <definedName name="Aircraft_Towning">Spreadsheet!$H$429</definedName>
    <definedName name="Airside_Safety_investigation_Procedure">Spreadsheet!$H$480</definedName>
    <definedName name="Airside_Safety_Operational">Spreadsheet!$H$467</definedName>
    <definedName name="Baggage_Handling">Spreadsheet!$H$163</definedName>
    <definedName name="Baggage_Security">Spreadsheet!$H$174</definedName>
    <definedName name="Cabin_Baggage">Spreadsheet!$H$128</definedName>
    <definedName name="Checked_Baggage">Spreadsheet!$H$135</definedName>
    <definedName name="Emergency_Response_Procedures">Spreadsheet!$H$491</definedName>
    <definedName name="Hand_Signals">Spreadsheet!$H$224</definedName>
    <definedName name="Information_Exchange">Spreadsheet!$H$454</definedName>
    <definedName name="Introduction">Spreadsheet!$H$439</definedName>
    <definedName name="Introduction_5">Spreadsheet!$H$439</definedName>
    <definedName name="Introduction_6">Spreadsheet!$H$468</definedName>
    <definedName name="Introduction5">Spreadsheet!$H$439</definedName>
    <definedName name="Load_Control">Spreadsheet!$H$438</definedName>
    <definedName name="Load_Control_Principles">Spreadsheet!$H$442</definedName>
    <definedName name="Load_Control_Process_Flow">Spreadsheet!$H$448</definedName>
    <definedName name="Load_planning">Spreadsheet!$H$457</definedName>
    <definedName name="Loadsheet">Spreadsheet!$H$460</definedName>
    <definedName name="Mishandled_Baggage">Spreadsheet!$H$186</definedName>
    <definedName name="Monitoring_Procedures">Spreadsheet!$H$488</definedName>
    <definedName name="Open_Ramp_Departure">Spreadsheet!$H$426</definedName>
    <definedName name="Passenger_Arrival">Spreadsheet!$H$55</definedName>
    <definedName name="Passenger_Departure">Spreadsheet!$H$16</definedName>
    <definedName name="Passenger_Irregularities">Spreadsheet!$H$118</definedName>
    <definedName name="Passenger_Security">Spreadsheet!$H$47</definedName>
    <definedName name="Portable_Water_Servicing">Spreadsheet!$H$292</definedName>
    <definedName name="Post_Departure_Messaging">Spreadsheet!$H$463</definedName>
    <definedName name="Power_Push_Unit">Spreadsheet!$H$416</definedName>
    <definedName name="_xlnm.Print_Area" localSheetId="4">Dashboard!$A$1:$L$30</definedName>
    <definedName name="_xlnm.Print_Area" localSheetId="0">Main!$A$1:$O$50</definedName>
    <definedName name="Ramp_Safety_in_Aircraft_Handling">Spreadsheet!$H$193</definedName>
    <definedName name="Regulatory_Requirements">Spreadsheet!$H$445</definedName>
    <definedName name="Reporting_incidents">Spreadsheet!$H$477</definedName>
    <definedName name="Safety_During_Aircraft_Deicing_Operations">Spreadsheet!$H$309</definedName>
    <definedName name="Safety_During_Fueling_Defueling">Spreadsheet!$H$210</definedName>
    <definedName name="Special_Baggage">Spreadsheet!$H$143</definedName>
    <definedName name="Special_Categories_of_Passengers">Spreadsheet!$H$68</definedName>
    <definedName name="Supervision_Scope">Spreadsheet!$H$471</definedName>
    <definedName name="Toilet_Servicing">Spreadsheet!$H$284</definedName>
    <definedName name="Turnaround_Coordination">Spreadsheet!$H$474</definedName>
    <definedName name="Turnaroung_Coordination">Spreadsheet!$H$474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43" i="4" l="1"/>
  <c r="AA44" i="4"/>
  <c r="AA49" i="4"/>
  <c r="Z44" i="4"/>
  <c r="Z48" i="4"/>
  <c r="Z49" i="4"/>
  <c r="Z50" i="4"/>
  <c r="Y44" i="4"/>
  <c r="Y49" i="4"/>
  <c r="S40" i="4" l="1"/>
  <c r="S43" i="4"/>
  <c r="S44" i="4"/>
  <c r="S45" i="4"/>
  <c r="S46" i="4"/>
  <c r="C26" i="6" l="1"/>
  <c r="C15" i="6"/>
  <c r="C21" i="6"/>
  <c r="C20" i="6"/>
  <c r="C25" i="6" l="1"/>
  <c r="AG11" i="4" l="1"/>
  <c r="AH11" i="4"/>
  <c r="AF11" i="4"/>
  <c r="S11" i="4"/>
  <c r="T11" i="4"/>
  <c r="R11" i="4"/>
  <c r="V11" i="4" l="1"/>
  <c r="T46" i="4" s="1"/>
  <c r="R46" i="4"/>
  <c r="C18" i="6"/>
  <c r="C19" i="6"/>
  <c r="C17" i="6"/>
  <c r="C24" i="6"/>
  <c r="C23" i="6"/>
  <c r="C22" i="6"/>
  <c r="C16" i="6"/>
  <c r="AB4" i="4" s="1"/>
  <c r="Z42" i="4" s="1"/>
  <c r="C14" i="6"/>
  <c r="U6" i="4" s="1"/>
  <c r="S41" i="4" s="1"/>
  <c r="C12" i="6"/>
  <c r="C11" i="6"/>
  <c r="C10" i="6"/>
  <c r="C9" i="6"/>
  <c r="C8" i="6"/>
  <c r="C7" i="6"/>
  <c r="C6" i="6"/>
  <c r="C5" i="6"/>
  <c r="C4" i="6"/>
  <c r="C13" i="6"/>
  <c r="Z8" i="4"/>
  <c r="AB5" i="4" l="1"/>
  <c r="AB8" i="4"/>
  <c r="U7" i="4"/>
  <c r="U4" i="4"/>
  <c r="S39" i="4" s="1"/>
  <c r="AB9" i="4"/>
  <c r="AB7" i="4"/>
  <c r="Z9" i="4"/>
  <c r="Y9" i="4"/>
  <c r="AM4" i="4"/>
  <c r="AM11" i="4" s="1"/>
  <c r="AN4" i="4"/>
  <c r="AN11" i="4" s="1"/>
  <c r="AM5" i="4"/>
  <c r="AN5" i="4"/>
  <c r="AM6" i="4"/>
  <c r="AN6" i="4"/>
  <c r="AM7" i="4"/>
  <c r="AN7" i="4"/>
  <c r="AM8" i="4"/>
  <c r="AN8" i="4"/>
  <c r="AM9" i="4"/>
  <c r="AN9" i="4"/>
  <c r="AM10" i="4"/>
  <c r="AN10" i="4"/>
  <c r="AL10" i="4"/>
  <c r="AL9" i="4"/>
  <c r="AL8" i="4"/>
  <c r="AL7" i="4"/>
  <c r="AL6" i="4"/>
  <c r="AL5" i="4"/>
  <c r="AL4" i="4"/>
  <c r="AL11" i="4" s="1"/>
  <c r="AG4" i="4"/>
  <c r="AH4" i="4"/>
  <c r="AG5" i="4"/>
  <c r="AH5" i="4"/>
  <c r="AG6" i="4"/>
  <c r="AH6" i="4"/>
  <c r="AG7" i="4"/>
  <c r="AH7" i="4"/>
  <c r="AG8" i="4"/>
  <c r="AH8" i="4"/>
  <c r="AG9" i="4"/>
  <c r="AH9" i="4"/>
  <c r="AG10" i="4"/>
  <c r="AH10" i="4"/>
  <c r="AF10" i="4"/>
  <c r="AF9" i="4"/>
  <c r="AF8" i="4"/>
  <c r="AF7" i="4"/>
  <c r="AF6" i="4"/>
  <c r="AF5" i="4"/>
  <c r="AF4" i="4"/>
  <c r="Z4" i="4"/>
  <c r="AA4" i="4"/>
  <c r="Z5" i="4"/>
  <c r="Z6" i="4"/>
  <c r="AA6" i="4"/>
  <c r="AC6" i="4" s="1"/>
  <c r="Z7" i="4"/>
  <c r="Z10" i="4"/>
  <c r="AA10" i="4"/>
  <c r="Z11" i="4"/>
  <c r="AA11" i="4"/>
  <c r="AC11" i="4" s="1"/>
  <c r="Z12" i="4"/>
  <c r="AA12" i="4"/>
  <c r="Y12" i="4"/>
  <c r="Y11" i="4"/>
  <c r="Y10" i="4"/>
  <c r="Y8" i="4"/>
  <c r="Y7" i="4"/>
  <c r="Y6" i="4"/>
  <c r="Y5" i="4"/>
  <c r="Y4" i="4"/>
  <c r="S4" i="4"/>
  <c r="T4" i="4"/>
  <c r="R39" i="4" s="1"/>
  <c r="S5" i="4"/>
  <c r="T5" i="4"/>
  <c r="S6" i="4"/>
  <c r="T6" i="4"/>
  <c r="S7" i="4"/>
  <c r="S8" i="4"/>
  <c r="T8" i="4"/>
  <c r="S9" i="4"/>
  <c r="T9" i="4"/>
  <c r="S10" i="4"/>
  <c r="T10" i="4"/>
  <c r="R10" i="4"/>
  <c r="R9" i="4"/>
  <c r="R8" i="4"/>
  <c r="R7" i="4"/>
  <c r="R6" i="4"/>
  <c r="R5" i="4"/>
  <c r="R4" i="4"/>
  <c r="M4" i="4"/>
  <c r="N4" i="4"/>
  <c r="M5" i="4"/>
  <c r="N5" i="4"/>
  <c r="M6" i="4"/>
  <c r="N6" i="4"/>
  <c r="M7" i="4"/>
  <c r="N7" i="4"/>
  <c r="M8" i="4"/>
  <c r="N8" i="4"/>
  <c r="M9" i="4"/>
  <c r="N9" i="4"/>
  <c r="L9" i="4"/>
  <c r="L8" i="4"/>
  <c r="L7" i="4"/>
  <c r="L6" i="4"/>
  <c r="L5" i="4"/>
  <c r="L4" i="4"/>
  <c r="D5" i="4"/>
  <c r="E5" i="4"/>
  <c r="D6" i="4"/>
  <c r="E6" i="4"/>
  <c r="D7" i="4"/>
  <c r="E7" i="4"/>
  <c r="D8" i="4"/>
  <c r="E8" i="4"/>
  <c r="C7" i="4"/>
  <c r="C6" i="4"/>
  <c r="C5" i="4"/>
  <c r="C8" i="4"/>
  <c r="D4" i="4"/>
  <c r="E4" i="4"/>
  <c r="C4" i="4"/>
  <c r="AA7" i="4" l="1"/>
  <c r="Y45" i="4" s="1"/>
  <c r="Z45" i="4"/>
  <c r="AC10" i="4"/>
  <c r="AA48" i="4" s="1"/>
  <c r="Y48" i="4"/>
  <c r="AA9" i="4"/>
  <c r="Y47" i="4" s="1"/>
  <c r="Z47" i="4"/>
  <c r="AC12" i="4"/>
  <c r="AA50" i="4" s="1"/>
  <c r="Y50" i="4"/>
  <c r="AC4" i="4"/>
  <c r="AA42" i="4" s="1"/>
  <c r="Y42" i="4"/>
  <c r="AA8" i="4"/>
  <c r="Y46" i="4" s="1"/>
  <c r="Z46" i="4"/>
  <c r="AA5" i="4"/>
  <c r="Y43" i="4" s="1"/>
  <c r="Z43" i="4"/>
  <c r="V6" i="4"/>
  <c r="T41" i="4" s="1"/>
  <c r="R41" i="4"/>
  <c r="V10" i="4"/>
  <c r="T45" i="4" s="1"/>
  <c r="R45" i="4"/>
  <c r="T7" i="4"/>
  <c r="R42" i="4" s="1"/>
  <c r="S42" i="4"/>
  <c r="V5" i="4"/>
  <c r="T40" i="4" s="1"/>
  <c r="R40" i="4"/>
  <c r="V9" i="4"/>
  <c r="T44" i="4" s="1"/>
  <c r="R44" i="4"/>
  <c r="V8" i="4"/>
  <c r="T43" i="4" s="1"/>
  <c r="R43" i="4"/>
  <c r="V7" i="4"/>
  <c r="T42" i="4" s="1"/>
  <c r="V4" i="4"/>
  <c r="T39" i="4" s="1"/>
  <c r="AC7" i="4" l="1"/>
  <c r="AA45" i="4" s="1"/>
  <c r="AC9" i="4"/>
  <c r="AA47" i="4" s="1"/>
  <c r="AC8" i="4"/>
  <c r="AA46" i="4" s="1"/>
</calcChain>
</file>

<file path=xl/sharedStrings.xml><?xml version="1.0" encoding="utf-8"?>
<sst xmlns="http://schemas.openxmlformats.org/spreadsheetml/2006/main" count="677" uniqueCount="564">
  <si>
    <t>1.1.1 Pre-Departure Activities</t>
  </si>
  <si>
    <t>1.1.1.1 Ticket Sales Counter</t>
  </si>
  <si>
    <t>1.1.1.2 Passenger Pre-Flight Preparation</t>
  </si>
  <si>
    <t>1.1.2 Check-In Counter Requirements</t>
  </si>
  <si>
    <t>1.1.3 Passenger Check-In</t>
  </si>
  <si>
    <t>1.1.4 Baggage Drop-Off</t>
  </si>
  <si>
    <t>1.1.5 Travel Documents and Verification</t>
  </si>
  <si>
    <t>1.1.6 Passenger Acceptance</t>
  </si>
  <si>
    <t>1.1.6.1 Requirements for Passenger Acceptance</t>
  </si>
  <si>
    <t>1.1.6.2 Seating</t>
  </si>
  <si>
    <t>1.1.6.3 Exit Row Seating</t>
  </si>
  <si>
    <t>1.1.7 Passenger Boarding</t>
  </si>
  <si>
    <t>1.1.8 Flight Documents</t>
  </si>
  <si>
    <t>1.1.9 Post Flight Departure Activities</t>
  </si>
  <si>
    <t>1.1.9.1 Messages</t>
  </si>
  <si>
    <t>1.1.9.2 Flight Document Retention</t>
  </si>
  <si>
    <t>Conformity</t>
  </si>
  <si>
    <t>Less Restrictive</t>
  </si>
  <si>
    <t>More Restrictive</t>
  </si>
  <si>
    <t>1.5.1 General Passenger Irregularity Guidelines</t>
  </si>
  <si>
    <t>1.2.1 Security of Documents</t>
  </si>
  <si>
    <t>1.2.1.2 Disposal of Printed Documents</t>
  </si>
  <si>
    <t>1.2.1.3 Information Security</t>
  </si>
  <si>
    <t>1.2.1.4 Restricted Areas</t>
  </si>
  <si>
    <t>1.2.2 Passenger Suitability for Travel</t>
  </si>
  <si>
    <t>1.3.1 Pre-Arrival</t>
  </si>
  <si>
    <t>1.3.2 Arrival</t>
  </si>
  <si>
    <t>1.3.4 Transit</t>
  </si>
  <si>
    <t>1.4.2 Infants and Children</t>
  </si>
  <si>
    <t>1.4.2.1 Infants</t>
  </si>
  <si>
    <t>1.4.2.2 Children</t>
  </si>
  <si>
    <t>1.4.3 Groups</t>
  </si>
  <si>
    <t>1.4.3.1 General</t>
  </si>
  <si>
    <t>1.4.3.2 Check-In</t>
  </si>
  <si>
    <t>1.4.4 Passengers Requiring Assistance</t>
  </si>
  <si>
    <t>1.4.5 Passenger Requiring Medical Clearance</t>
  </si>
  <si>
    <t>1.4.7 Service Animals</t>
  </si>
  <si>
    <t>1.4.8 Stretcher Transport</t>
  </si>
  <si>
    <t>1.4.9 Oxygen for Medical Use</t>
  </si>
  <si>
    <t>1.4.10 Inadmissible Passengers and Deportees</t>
  </si>
  <si>
    <t>1.4.10.1 Inadmissible Passengers (INAD)</t>
  </si>
  <si>
    <t>1.4.10.2 Deportees</t>
  </si>
  <si>
    <t>1.4.11 Unruly Passengers</t>
  </si>
  <si>
    <t>1.4.11.1 General Conditions of Passenger Carriage</t>
  </si>
  <si>
    <t>1.4.11.2 Handling Unruly Passengers During Check-In or Boarding</t>
  </si>
  <si>
    <t>1.4.11.3 If Passenger is Denied Carriage</t>
  </si>
  <si>
    <t>1.4.11.4 If Passenger is Accepted for Travel</t>
  </si>
  <si>
    <t>1.5.1.1 Information and Communication to Passengers</t>
  </si>
  <si>
    <t>1.5.2 Delays</t>
  </si>
  <si>
    <t>1.5.2.1 Handling Procedures</t>
  </si>
  <si>
    <t>1.5.2.2 Delay Known Before Check-In</t>
  </si>
  <si>
    <t>1.5.2.3 Delay Known Before Boarding</t>
  </si>
  <si>
    <t>1.5.3 Misconnections/Cancellations/Diversions</t>
  </si>
  <si>
    <t>1.5.4 Involuntary Change of Class</t>
  </si>
  <si>
    <t>1.5.5 Denied Boarding due to Unavailability of Seats</t>
  </si>
  <si>
    <t>1.5.5.1 General</t>
  </si>
  <si>
    <t>Chapter 2: Baggage Handling Procedures</t>
  </si>
  <si>
    <t>Cabin Baggage</t>
  </si>
  <si>
    <t>Checked Baggage</t>
  </si>
  <si>
    <t>Special Baggage</t>
  </si>
  <si>
    <t>Baggage Handling</t>
  </si>
  <si>
    <t>Baggage Security</t>
  </si>
  <si>
    <t>Mishandled Baggage</t>
  </si>
  <si>
    <t>2.1.1 General</t>
  </si>
  <si>
    <t>2.1.1.1 Definition</t>
  </si>
  <si>
    <t>2.1.1.2 Types of Cabin Baggage</t>
  </si>
  <si>
    <t>2.1.2 Acceptance</t>
  </si>
  <si>
    <t>2.1.2.1 Acceptance Policies</t>
  </si>
  <si>
    <t>2.1.2.2 Procedure at Check-In</t>
  </si>
  <si>
    <t>2.1.2.3 Procedure at Boarding</t>
  </si>
  <si>
    <t>2.2.1 General</t>
  </si>
  <si>
    <t>2.2.1.1 Definition and General Terms</t>
  </si>
  <si>
    <t>2.2.1.2 Checked Baggage Allowance</t>
  </si>
  <si>
    <t>2.2.2 Excess Baggage</t>
  </si>
  <si>
    <t>2.2.3 Standard Baggage Check-In</t>
  </si>
  <si>
    <t>2.2.4 Baggage Tags</t>
  </si>
  <si>
    <t>2.2.5 Baggage Destination</t>
  </si>
  <si>
    <t>2.3.1 Bulky and Oversized Baggage</t>
  </si>
  <si>
    <t>2.3.1.1 General</t>
  </si>
  <si>
    <t>2.3.1.2 Maximum Single Item Weight</t>
  </si>
  <si>
    <t>2.3.2 Cabin Seat Baggage (CBBG)</t>
  </si>
  <si>
    <t>2.3.2.1 Definition</t>
  </si>
  <si>
    <t>2.3.2.2 Loading and Lashing Cabin Seat Baggage</t>
  </si>
  <si>
    <t>2.3.3 Crew Baggage</t>
  </si>
  <si>
    <t>2.3.4 Delivery at Aircraft (DAA)</t>
  </si>
  <si>
    <t>2.3.4.1 Applicability</t>
  </si>
  <si>
    <t>2.3.4.2 Procedure at Boarding Gate</t>
  </si>
  <si>
    <t>2.3.4.3 Procedure at Arrival</t>
  </si>
  <si>
    <t>2.3.4.4 Security Procedure for Ad-Hoc Disembarking Passengers</t>
  </si>
  <si>
    <t>2.3.5 Sporting Equipment</t>
  </si>
  <si>
    <t>2.3.6 Wheelchairs and Mobility Aids</t>
  </si>
  <si>
    <t>2.3.6.1 Handling Wheel Chairs/Mobility Aids</t>
  </si>
  <si>
    <t>2.3.6.2 Wheelchairs or other Battery Operated Mobility Aids</t>
  </si>
  <si>
    <t>2.3.6.3 Accepting Wheelchairs/Mobility Aids with Non-Spillable Batteries</t>
  </si>
  <si>
    <t>2.3.6.4 Accepting Wheel Chairs/Mobility Aids with Spillable Batteries</t>
  </si>
  <si>
    <t>2.3.7.1 General</t>
  </si>
  <si>
    <t>2.3.7.2 Animals in Hold (AVIH)</t>
  </si>
  <si>
    <t>2.3.7.3 AVIH Handling</t>
  </si>
  <si>
    <t>2.4.1 Baggage Room Preparation</t>
  </si>
  <si>
    <t>2.4.3 Baggage Cut-Off &amp; ULD Load Verification Process</t>
  </si>
  <si>
    <t>2.4.4 Removal of Checked Baggage</t>
  </si>
  <si>
    <t>2.4.6 Short Connection Baggage</t>
  </si>
  <si>
    <t>2.4.6.1 Definition</t>
  </si>
  <si>
    <t>2.4.6.2 Identification</t>
  </si>
  <si>
    <t>2.4.6.3 Handling Short Connection Baggage</t>
  </si>
  <si>
    <t>2.5.1 General</t>
  </si>
  <si>
    <t>2.5.2 Handling of Hold Baggage</t>
  </si>
  <si>
    <t>2.5.3 Carriage of Weapons in Hold Baggage</t>
  </si>
  <si>
    <t>2.5.4 Security Removed Items</t>
  </si>
  <si>
    <t>2.5.5 Transfer and Connecting Baggage</t>
  </si>
  <si>
    <t>2.5.6 Baggage Reconciliation</t>
  </si>
  <si>
    <t>2.5.7 Dangerous Goods in Baggage</t>
  </si>
  <si>
    <t>2.6.1 Storage and Handling Mishandled/Unidentified/Unclaimed Baggage</t>
  </si>
  <si>
    <t>2.6.3 AVIH</t>
  </si>
  <si>
    <t>2.6.4 Legal Time Limits for Reporting</t>
  </si>
  <si>
    <t>Irregularities</t>
  </si>
  <si>
    <t>Ramp Safety in Aircraft Handling</t>
  </si>
  <si>
    <t>Toilet Servicing</t>
  </si>
  <si>
    <t>Departures</t>
  </si>
  <si>
    <t>Security</t>
  </si>
  <si>
    <t>Movement</t>
  </si>
  <si>
    <t>Category</t>
  </si>
  <si>
    <t>Chapter 5: Load Control</t>
  </si>
  <si>
    <t>2.6 Mishandled Baggage</t>
  </si>
  <si>
    <t>2.5 Baggage Security</t>
  </si>
  <si>
    <t>2.4 Baggage Handling</t>
  </si>
  <si>
    <t>2.3 Special Baggage</t>
  </si>
  <si>
    <t>2.2 Checked Baggage</t>
  </si>
  <si>
    <t>2.1 Cabin Baggage</t>
  </si>
  <si>
    <t>1.5 Passenger Irregularities</t>
  </si>
  <si>
    <t>1.4 Special Categories of Passengers</t>
  </si>
  <si>
    <t>1.3 Passenger Arrival, Transfer and Transit</t>
  </si>
  <si>
    <t>1.2 Passenger Security</t>
  </si>
  <si>
    <t>1.1 Passenger Departure</t>
  </si>
  <si>
    <t>Chapter 1: Passenger Handling Procedures</t>
  </si>
  <si>
    <t>Supervision Scope</t>
  </si>
  <si>
    <t>6. Airside Supervision and Safety</t>
  </si>
  <si>
    <t>1. Passenger Handling Procedures</t>
  </si>
  <si>
    <t>2. Baggage Handling Procedures</t>
  </si>
  <si>
    <t>4. Aircraft Handling Procedures</t>
  </si>
  <si>
    <t>5. Load Control</t>
  </si>
  <si>
    <t>Safety During Fueling/Defueling</t>
  </si>
  <si>
    <t>Adverse Weather Conditions</t>
  </si>
  <si>
    <t>Aircraft Chocking</t>
  </si>
  <si>
    <t>Hand Signals</t>
  </si>
  <si>
    <t>Aircraft Arrival</t>
  </si>
  <si>
    <t>Aircraft Doors</t>
  </si>
  <si>
    <t>Aircraft Loading</t>
  </si>
  <si>
    <t>Aircraft Departure</t>
  </si>
  <si>
    <t>Aircraft Towing</t>
  </si>
  <si>
    <t>Load Control Principles</t>
  </si>
  <si>
    <t>Regulatory Requirements</t>
  </si>
  <si>
    <t>Load Control Process Flow</t>
  </si>
  <si>
    <t>Passenger Handling Procedures</t>
  </si>
  <si>
    <t>Baggage Handling Procedures</t>
  </si>
  <si>
    <t>Cargo/Mail Handling Procedures</t>
  </si>
  <si>
    <t>Airside Supervision and Safety</t>
  </si>
  <si>
    <t>Aircraft Handling Procedures</t>
  </si>
  <si>
    <t>Load Control</t>
  </si>
  <si>
    <t>Actions/Notes</t>
  </si>
  <si>
    <t>Gap Analysis Airline GOM Vs IGOM</t>
  </si>
  <si>
    <t>IGOM Gap Analysis spreadsheet</t>
  </si>
  <si>
    <t>Airline GOM Provision</t>
  </si>
  <si>
    <t>Not Applicable</t>
  </si>
  <si>
    <t>Drop Down List</t>
  </si>
  <si>
    <t>1.1.3.1 General</t>
  </si>
  <si>
    <t>1.1.3.2 Check-In Deadlines</t>
  </si>
  <si>
    <t>1.1.3.3 Operating Carrier, Marketing Carrier and Wet Lease</t>
  </si>
  <si>
    <t>1.1.3.4 Check-In Types</t>
  </si>
  <si>
    <t>1.1.3.4.1 General</t>
  </si>
  <si>
    <t>1.1.3.4.2 Manual Check-In</t>
  </si>
  <si>
    <t>1.1.3.4.3 Through Check-In</t>
  </si>
  <si>
    <t>1.1.3.4.4 Return Check-In</t>
  </si>
  <si>
    <t>1.1.3.4.5 Self-Service Check-In</t>
  </si>
  <si>
    <t>1.1.3.5 Check-In Opening</t>
  </si>
  <si>
    <t>1.1.5.1 General</t>
  </si>
  <si>
    <t>1.1.5.2 Advance Passenger Information</t>
  </si>
  <si>
    <t>1.1.7.1 General</t>
  </si>
  <si>
    <t>1.1.7.2 Passenger Boarding Discrepancies</t>
  </si>
  <si>
    <t>1.1.7.3 Boarding in Case of DCS Breakdown</t>
  </si>
  <si>
    <t>1.1.8.1 General</t>
  </si>
  <si>
    <t>1.1.8.2 Passenger Information List (PIL)</t>
  </si>
  <si>
    <t>1.1.8.3 Other Flight Documents</t>
  </si>
  <si>
    <t>1.2.1.1 Boarding Passes, Transit Passes and Baggage Tags</t>
  </si>
  <si>
    <t>1.2.3 Security of Passengers and their Baggage</t>
  </si>
  <si>
    <t>1.3.4.1 General</t>
  </si>
  <si>
    <t>1.3.4.2 Disembarkation of Transit Passengers</t>
  </si>
  <si>
    <t>1.3.4.2.1 Disembarkation Procedure</t>
  </si>
  <si>
    <t>1.3.4.2.2 Transit Passengers Remain on Board</t>
  </si>
  <si>
    <t>1.3.4.3 Boarding Transit Passengers</t>
  </si>
  <si>
    <t>1.3.4.3.2 Missing Transit Passengers</t>
  </si>
  <si>
    <t>1.3.4.4 Programmed Aircraft Change En Route</t>
  </si>
  <si>
    <t>1.4.1 Unaccompanied Minors (UMNR)</t>
  </si>
  <si>
    <t>1.4.1.1 Seating</t>
  </si>
  <si>
    <t>1.4.1.3 Procedures for Handling Unaccompanied Minors</t>
  </si>
  <si>
    <t>1.4.1.4 Transfer Station Procedure</t>
  </si>
  <si>
    <t>1.4.1.5 Arrival Station Procedure</t>
  </si>
  <si>
    <t>1.4.1.2 Acceptance Restrictions</t>
  </si>
  <si>
    <t>1.4.2.1.1 General</t>
  </si>
  <si>
    <t>1.4.2.1.2 Seating</t>
  </si>
  <si>
    <t>1.4.2.1.3 Aircraft Baby Bassinets</t>
  </si>
  <si>
    <t>1.4.2.1.4 Baby Strollers</t>
  </si>
  <si>
    <t>1.4.2.2.1 General</t>
  </si>
  <si>
    <t>1.4.4.1 General</t>
  </si>
  <si>
    <t>1.4.4.2 Passengers with Reduced Mobility</t>
  </si>
  <si>
    <t>1.4.4.3 Passengers with Visual or Hearing Impairments</t>
  </si>
  <si>
    <t>1.4.5.1 General</t>
  </si>
  <si>
    <t>1.4.5.2 IATA Medical Information Form (MEDIF)</t>
  </si>
  <si>
    <t>1.4.5.4 Advance Notification</t>
  </si>
  <si>
    <t>1.4.5.5 Seating</t>
  </si>
  <si>
    <t>1.4.5.6 Request for Assistance without Advanced Notice</t>
  </si>
  <si>
    <t>1.4.10.1.1 General</t>
  </si>
  <si>
    <t>1.4.10.1.2 Unaccompanied or Accompanied Travel</t>
  </si>
  <si>
    <t>1.4.10.1.3 Refusal</t>
  </si>
  <si>
    <t>1.4.10.2.1 General</t>
  </si>
  <si>
    <t>2.3.6.5 Accepting Wheel Chairs/Mobility Aids with Lithium Batteries</t>
  </si>
  <si>
    <t>2.4.1.1 General</t>
  </si>
  <si>
    <t>2.5.3.1 General</t>
  </si>
  <si>
    <t>3.3.1 General</t>
  </si>
  <si>
    <t>5.1 Introduction</t>
  </si>
  <si>
    <t>5.2 Load Control Principles</t>
  </si>
  <si>
    <t>5.3 Regulatory Requirements</t>
  </si>
  <si>
    <t>Chapter 6: Airside Safety Operational Oversight</t>
  </si>
  <si>
    <t>6.1 Introduction</t>
  </si>
  <si>
    <t>6.1.1 Operational Requirements</t>
  </si>
  <si>
    <t>6.2 Supervision Scope</t>
  </si>
  <si>
    <t>6.3 Turnaround Coordination/Supervision Requirements</t>
  </si>
  <si>
    <t>6.5 Airside Safety Investigation Procedure</t>
  </si>
  <si>
    <t>6.5.1 General</t>
  </si>
  <si>
    <t>6.5.2 Factual Information</t>
  </si>
  <si>
    <t>6.5.3 Investigation Procedure</t>
  </si>
  <si>
    <t>6.5.4 Analysis</t>
  </si>
  <si>
    <t>6.5.5 Conclusion and Causes</t>
  </si>
  <si>
    <t>6.5.6 Investigation Follow-up</t>
  </si>
  <si>
    <t>6.6 Monitoring Procedures</t>
  </si>
  <si>
    <t>6.7 Emergency Response Procedures</t>
  </si>
  <si>
    <t>Supervision Requirements</t>
  </si>
  <si>
    <t>Reporting</t>
  </si>
  <si>
    <t>Safety Investigation Procedure</t>
  </si>
  <si>
    <t>Montoring Procedure</t>
  </si>
  <si>
    <t>Introduction</t>
  </si>
  <si>
    <t>1.1.3.4.6 Off-site Check-In</t>
  </si>
  <si>
    <t>1.1.3.4.7 Emergency Back-Up Check-In</t>
  </si>
  <si>
    <t>1.3.3 Transfer (Passenger Handling at Connecting Airport)</t>
  </si>
  <si>
    <t>1.3.4.3.1 Boarding Procedure</t>
  </si>
  <si>
    <t>1.4.2.2.2 Seating</t>
  </si>
  <si>
    <t>1.4.2.2.3 Child Restraint Device</t>
  </si>
  <si>
    <t>1.4.3.3 Non-Standard Groups</t>
  </si>
  <si>
    <t>1.4.5.3 Frequent Traveler's Medical Card (FREMEC)</t>
  </si>
  <si>
    <t>1.4.10.3 Seating</t>
  </si>
  <si>
    <t>1.4.10.4 Travel Documents</t>
  </si>
  <si>
    <t>1.4.10.5 Handling</t>
  </si>
  <si>
    <t>2.4.1.2 ULD Preparation and Build-up</t>
  </si>
  <si>
    <t>2.4.5 Transfer Baggage-Special Cases</t>
  </si>
  <si>
    <t>2.5.3.2 Passengers Authorized to Carry Weapons on Board</t>
  </si>
  <si>
    <t>2.5.3.3 Weapons Locked in the Cockpit under the PIC's Surveillance</t>
  </si>
  <si>
    <t>2.5.3.4 Weapons in Hold Baggage</t>
  </si>
  <si>
    <t>2.6.2 Mishandled Mobility Aids</t>
  </si>
  <si>
    <t>6.4 Reporting-Incidents, Accidents and Near-Misses</t>
  </si>
  <si>
    <t>Emergency Response Procedure</t>
  </si>
  <si>
    <t>7. Aircraft Cleaning</t>
  </si>
  <si>
    <t>Aircraft Cleaning</t>
  </si>
  <si>
    <t>Aircraft Cabin Appearance</t>
  </si>
  <si>
    <t>1.4.6 PRMs not requiring Medical Clearance</t>
  </si>
  <si>
    <t>1.4.6.1 Handling</t>
  </si>
  <si>
    <t>1.4.6.2 Refusal of PRM's and/or MEDA Cases</t>
  </si>
  <si>
    <t>1.4.6.2.1 General</t>
  </si>
  <si>
    <t>1.4.6.2.3 Reasons for Refusal</t>
  </si>
  <si>
    <t>1.4.6.2.4 Handling</t>
  </si>
  <si>
    <t>2.4.2 Baggage Sorting</t>
  </si>
  <si>
    <t>Chapter 3: Aircraft General Safety/Servicing Operations</t>
  </si>
  <si>
    <t>3.1 Ramp Safety in Aircraft Handling</t>
  </si>
  <si>
    <t>3.1.1 Introduction</t>
  </si>
  <si>
    <t>3.1.2 General Ramp Safety</t>
  </si>
  <si>
    <t>3.1.2.2 Engine Danger Area Diagrams</t>
  </si>
  <si>
    <t>3.1.2.3 Equipment Restraint Area &amp; Equipment Restraint Line</t>
  </si>
  <si>
    <t>3.1.3 Safety Instructions for Operating Ground Support Equipment (GSE) on the Ramp</t>
  </si>
  <si>
    <t>3.1.3.3 Non-Motorized GSE</t>
  </si>
  <si>
    <t>3.1.3.5 Passenger Boarding Bridge (PBB)</t>
  </si>
  <si>
    <t>3.2 Safety During Fueling/Defueling</t>
  </si>
  <si>
    <t>3.3 Adverse Weather Conditions</t>
  </si>
  <si>
    <t>3.2.1 Fueling Safety Zone</t>
  </si>
  <si>
    <t>3.2.2 Fuel Spillage</t>
  </si>
  <si>
    <t>3.2.3 Fueling/Defueling with Passengers on Board</t>
  </si>
  <si>
    <t>3.3.2 Winter or Slippery Apron Conditions</t>
  </si>
  <si>
    <t>3.3.3 Storms-Lighning Work Instructions</t>
  </si>
  <si>
    <t>3.3.4 High Wind Conditions Work instructions</t>
  </si>
  <si>
    <t>3.5 Toilet Servicing</t>
  </si>
  <si>
    <t>3.5.1 Introduction</t>
  </si>
  <si>
    <t>3.5.2 Hygiene Precautions</t>
  </si>
  <si>
    <t>3.5.3 Toilet Servicing Procedure</t>
  </si>
  <si>
    <t>3.5.3.1 General</t>
  </si>
  <si>
    <t>3.5.3.2 Draining</t>
  </si>
  <si>
    <t>3.5.3.3 Servicing During Freezing Conditions</t>
  </si>
  <si>
    <t>3.5.3.4 Inoperative Toilet Systems</t>
  </si>
  <si>
    <t>3.6 Portable Water Servicing</t>
  </si>
  <si>
    <t>3.6.1 General</t>
  </si>
  <si>
    <t>3.6.2 General Hygiene Precautions</t>
  </si>
  <si>
    <t>3.6.3 Potable Water Units Servicing Procedure</t>
  </si>
  <si>
    <t>3.6.3.1 Filling Aircraft Water Tanks</t>
  </si>
  <si>
    <t>3.6.3.2 Water Servicing During Freezing Conditions</t>
  </si>
  <si>
    <t>3.7 Aircraft Cabin Servicing</t>
  </si>
  <si>
    <t>Chapter 4: Aircraft Turn-around</t>
  </si>
  <si>
    <t>4.1.1 Actions Prior to Arrival</t>
  </si>
  <si>
    <t>4.1.2 Standard Arrival Procedure</t>
  </si>
  <si>
    <t>4.1.3 Ground Support Equipment on Arriving Aircraft</t>
  </si>
  <si>
    <t>4.1.3.1 Ground Power Unit (GPU)</t>
  </si>
  <si>
    <t>4.1.3.2 Cooling/Heating Units/Pre-Conditioned Air (PCA)</t>
  </si>
  <si>
    <t>4.1 Aircraft Arrival</t>
  </si>
  <si>
    <t>3.7.1 Aircraft Dressing and Cleaning</t>
  </si>
  <si>
    <t>3.7.1.1 Seats</t>
  </si>
  <si>
    <t>3.7.1.2 Cabin</t>
  </si>
  <si>
    <t>3.7.1.3 Toilets</t>
  </si>
  <si>
    <t>3.7.1.4 Galleys</t>
  </si>
  <si>
    <t>3.7.1.5 Flight Deck</t>
  </si>
  <si>
    <t>3.7.2 Cleaning Equipment</t>
  </si>
  <si>
    <t>3.7.3 Health and Safety General Instructions</t>
  </si>
  <si>
    <t>3.7.4 Lost or Found/Damage/Any Suspicious Items</t>
  </si>
  <si>
    <t>3.7.5 Garbage Disposal</t>
  </si>
  <si>
    <t>4.3.1 Safety Cone Placement and Removal</t>
  </si>
  <si>
    <t>4.3.2 Cone Placement for Wing-Mounted Twin Engine Jet Aircraft</t>
  </si>
  <si>
    <t>4.3.3 Cone Placement for Fuselage-Mounted Twin Engine Commuter Aircraft</t>
  </si>
  <si>
    <t>4.3.4 Cone Placement for Wing-Mounted Twin Propeller Aircraft</t>
  </si>
  <si>
    <t>4.3.5 Cone Placement for Wing-Mounted Four Engine Jet Aircraft</t>
  </si>
  <si>
    <t>4.3 Aircraft Coning</t>
  </si>
  <si>
    <t>4.4 Aircraft Doors</t>
  </si>
  <si>
    <t>4.4.1 General Safety Requirements</t>
  </si>
  <si>
    <t>4.5 Aircraft Loading</t>
  </si>
  <si>
    <t>4.5.1 Supervision of Aircraft Loading</t>
  </si>
  <si>
    <t>4.5.2 Safety Requirements Specific to Aircraft Loading Operations</t>
  </si>
  <si>
    <t>4.5.2.1 General</t>
  </si>
  <si>
    <t>4.5.3 General Loading Precautions</t>
  </si>
  <si>
    <t>4.5.4 Spills in Cargo Holds</t>
  </si>
  <si>
    <t>4.5.5 Cargo Hold Inspection</t>
  </si>
  <si>
    <t>4.5.5.1 General</t>
  </si>
  <si>
    <t>4.5.5.2 Cargo Hold Damage</t>
  </si>
  <si>
    <t>4.5.6 Advance Loading Preparation</t>
  </si>
  <si>
    <t>4.5.7 Aircraft Ground Stability</t>
  </si>
  <si>
    <t>4.5.8 Offloading Procedure</t>
  </si>
  <si>
    <t>4.5.8.1 Scaling Process</t>
  </si>
  <si>
    <t>4.5.8.2 Identifying Shipments Requiring Specific Handling</t>
  </si>
  <si>
    <t>4.5.8.3 Safety Precautions for Offload</t>
  </si>
  <si>
    <t>4.5.10 Live Animals</t>
  </si>
  <si>
    <t>4.5.11 Wet Cargo</t>
  </si>
  <si>
    <t>4.5.13 Load Spreading</t>
  </si>
  <si>
    <t>4.5.14 Unit Load Devices (ULDs)</t>
  </si>
  <si>
    <t>4.5.14.1 General</t>
  </si>
  <si>
    <t>4.5.14.2 Identification/Labelling of ULDs</t>
  </si>
  <si>
    <t>4.5.14.3 Unit Load Device (ULD) Inspections</t>
  </si>
  <si>
    <t>4.6 Aircraft Departure</t>
  </si>
  <si>
    <t>4.6.1 Introduction</t>
  </si>
  <si>
    <t>4.6.2 Action Prior to Departure</t>
  </si>
  <si>
    <t>4.6.11.1 General</t>
  </si>
  <si>
    <t>4.6.11.2 Icy Conditions</t>
  </si>
  <si>
    <t>4.6.12 Nose Gear Steering</t>
  </si>
  <si>
    <t>4.6.12.1 General</t>
  </si>
  <si>
    <t>4.6.12.2 Nose Gear Protection and Steering Angles</t>
  </si>
  <si>
    <t>4.6.13 Anti-Collision Lights</t>
  </si>
  <si>
    <t>4.6.14 Engine Cross Bleed Start</t>
  </si>
  <si>
    <t>4.6.3 Pre-Departure Check</t>
  </si>
  <si>
    <t>4.6.3.1 Pre-Departure Walk Around Check</t>
  </si>
  <si>
    <t>4.6.4 Wheel Chock Removal</t>
  </si>
  <si>
    <t>4.6.5 Pre-Departure Table</t>
  </si>
  <si>
    <t>4.6.6 Engine Start using Air Start Unit (ASU)</t>
  </si>
  <si>
    <t>4.6.7 Communication Requirements</t>
  </si>
  <si>
    <t>4.6.7.1 Communication during Engine Start</t>
  </si>
  <si>
    <t>4.6.7.2 Communication during Engine Fire</t>
  </si>
  <si>
    <t>4.6.8 Departure Communication</t>
  </si>
  <si>
    <t>4.6.8.3 items to be Communicated between Ground Staff and Flight Crew</t>
  </si>
  <si>
    <t>4.6.8.4 Departure Communication without Interphone</t>
  </si>
  <si>
    <t>4.6.8.5 Re-Establishing Communication after Departure</t>
  </si>
  <si>
    <t>4.6.8.5.1 Initiated from the Cockpit</t>
  </si>
  <si>
    <t>4.6.8.5.2 Initiated from the Ground</t>
  </si>
  <si>
    <t>4.6.8.6 Interphone Communication Failure</t>
  </si>
  <si>
    <t>4.6.8.1 General</t>
  </si>
  <si>
    <t>4.6.8.2 Departure Communication Dialogue</t>
  </si>
  <si>
    <t>4.6.9 Preparation for Pushback</t>
  </si>
  <si>
    <t>4.6.9.1 Pre Departure Communication</t>
  </si>
  <si>
    <t>4.6.9.2 Connecting the Pushback Vehicle</t>
  </si>
  <si>
    <t>4.6.11 Maneuvering During Adverse Waether Conditions</t>
  </si>
  <si>
    <t>4.7 Power Push Unit (PPU)-(Main Gear Towbarless tractor)</t>
  </si>
  <si>
    <t>4.7.1 PPU Specifies and Safety Measures</t>
  </si>
  <si>
    <t>4.7.2 Action before Pushback with PPU</t>
  </si>
  <si>
    <t>4.7.2.1 PPU Connection</t>
  </si>
  <si>
    <t>4.7.2.2 Engine Start when PPU is Used</t>
  </si>
  <si>
    <t>4.7.3 Pushback with a PPU</t>
  </si>
  <si>
    <t>4.7.4 Departure Dialogue when Using PPU</t>
  </si>
  <si>
    <t>4.7.5 Action after PPU Pushback</t>
  </si>
  <si>
    <t>4.7.6 Incidents During Pushback with PPU</t>
  </si>
  <si>
    <t>4.7.6.1 Instruction in Case of PPU Fire During Pushback</t>
  </si>
  <si>
    <t>4.7.6.2 PPU Incidents Checklist</t>
  </si>
  <si>
    <t>4.8 Open Ramp Departure</t>
  </si>
  <si>
    <t>4.9 Aircraft Towing</t>
  </si>
  <si>
    <t>4.9.1 Aircraft Towing Requirements</t>
  </si>
  <si>
    <t>4.9.2 Towing Maneuvering</t>
  </si>
  <si>
    <t>4.9.2.1 General</t>
  </si>
  <si>
    <t>4.9.2.2 Towing Preparation</t>
  </si>
  <si>
    <t>4.9.2.3 Towing Completion</t>
  </si>
  <si>
    <t>4.9.3 Incidents During Towing</t>
  </si>
  <si>
    <t>4.9.4 Towing Limits</t>
  </si>
  <si>
    <t>2.3.7 Handling of Pets (AVIH and PETC)</t>
  </si>
  <si>
    <t>Portable Water Servicing</t>
  </si>
  <si>
    <t>Aircraft Cabin Servicing</t>
  </si>
  <si>
    <t>Aircraft Coning</t>
  </si>
  <si>
    <t>Power Push Unit(PPU)</t>
  </si>
  <si>
    <t>Open Ramp Departure</t>
  </si>
  <si>
    <t>3. Aircraft General Safety/ Servicing Operations</t>
  </si>
  <si>
    <t>4.7.5.1 Power Push Unit Disconnection</t>
  </si>
  <si>
    <t>1.4.6.2.2 Right of Refusal</t>
  </si>
  <si>
    <t>Please do not make any changes to this sheet</t>
  </si>
  <si>
    <t>Main Procedure</t>
  </si>
  <si>
    <t>Sub - Procedure</t>
  </si>
  <si>
    <t>Not in scope</t>
  </si>
  <si>
    <t>Variation</t>
  </si>
  <si>
    <t>Non Safety Critical Variation</t>
  </si>
  <si>
    <t>Safety Critical Variation</t>
  </si>
  <si>
    <t>3.3.6 Sandstorms and Low Visibility</t>
  </si>
  <si>
    <t>3.3.7 Intense Heat</t>
  </si>
  <si>
    <t>6.8 Adverse Weather Oversight Procedures</t>
  </si>
  <si>
    <t>Adverse Weather Oversight Procedures</t>
  </si>
  <si>
    <t>3.8 Safety During Aircraft Deicing/Anti-icing Operations</t>
  </si>
  <si>
    <t>3.8.1 General</t>
  </si>
  <si>
    <t>3.8.2 Personal Safety</t>
  </si>
  <si>
    <t>3.8.3 Open Basket Operations</t>
  </si>
  <si>
    <t>3.8.4 Enclosed Cabin Operations</t>
  </si>
  <si>
    <t>Safety During Aircraft Deicing/Anti-icing Operations</t>
  </si>
  <si>
    <t>4.5.2.2 Low Wing Aircraft</t>
  </si>
  <si>
    <t>4.5.2.3 Bulk Loading of Small Aircraft</t>
  </si>
  <si>
    <t>4.5.2.4 Main Deck Loading of Freighter Aircraft</t>
  </si>
  <si>
    <t>4.5.5.3 Cargo Compartment Net</t>
  </si>
  <si>
    <t>5.3. Regulatory Requirements</t>
  </si>
  <si>
    <t>5.4 Load Control Tasks</t>
  </si>
  <si>
    <t>Load Control Tasks</t>
  </si>
  <si>
    <t>5.4.1 Load Planning Task</t>
  </si>
  <si>
    <t>5.4.2 Aircraft Loading and Unloading Supervision Task</t>
  </si>
  <si>
    <t>5.4.3 Weight and Balance Calculation Task</t>
  </si>
  <si>
    <t>5.4.4 Post Departure Messages Task</t>
  </si>
  <si>
    <t xml:space="preserve"> 5.8 Load Control Process Flow</t>
  </si>
  <si>
    <t>5.8.1 Load Control Process Flow Schema</t>
  </si>
  <si>
    <t>5.8.2 Load Control Process Flow Legend</t>
  </si>
  <si>
    <t>5.7 Documentation</t>
  </si>
  <si>
    <t>5.6 Qualification Requirements</t>
  </si>
  <si>
    <t xml:space="preserve"> 5.5 Load Control Task Job Responsibility</t>
  </si>
  <si>
    <t>Load Control Task Job Responsibility</t>
  </si>
  <si>
    <t>Qualification Requirements</t>
  </si>
  <si>
    <t>Documentation</t>
  </si>
  <si>
    <t>☛3.1.2.1 Engine Danger Area</t>
  </si>
  <si>
    <t>☛3.1.3.1 General Safety Instructions</t>
  </si>
  <si>
    <t>☛3.1.3.2 Basic Operating Requirements for GSE</t>
  </si>
  <si>
    <t>☛4.5.1.1 General</t>
  </si>
  <si>
    <t>☛4.5.5.4 Container/Pallet Restraint System</t>
  </si>
  <si>
    <t>☛4.5.9 Loading Procedure</t>
  </si>
  <si>
    <t>☛3.1.3.4 Ground Support Equipment Safety Driving and Parking Inside ERA</t>
  </si>
  <si>
    <t>☛3.1.3.6 Passenger Stairs</t>
  </si>
  <si>
    <t>☛3.1.3.7 Belt Loader</t>
  </si>
  <si>
    <t>☛3.1.3.8 ULD Loader</t>
  </si>
  <si>
    <t>☛3.1.3.9 Elevating Equipment</t>
  </si>
  <si>
    <t>☛3.1.3.10 Tractors</t>
  </si>
  <si>
    <t>☛3.3.5 High Winds Activity Table</t>
  </si>
  <si>
    <t>☛3.1.2.4 FOD-Foreign Object Debris</t>
  </si>
  <si>
    <t>☛4.1.2.2 Actions After Arrival</t>
  </si>
  <si>
    <t>4.1.2.1 Aircraft Arrival at a Gate or Open Ramp</t>
  </si>
  <si>
    <t>4.5.1.2 Loading of General Baggage/Cargo</t>
  </si>
  <si>
    <t>4.5.1.3 Loading of Dangerous Goods (where Carried)</t>
  </si>
  <si>
    <t>4.5.1.4 Cargo and Mail Handover Process</t>
  </si>
  <si>
    <t>4.5.12.1 General Rules</t>
  </si>
  <si>
    <t>4.5.12.2 Bulk Compartments</t>
  </si>
  <si>
    <t>4.5.12.3 Securing of Unit Load Devices</t>
  </si>
  <si>
    <t>4.5.12.4 Tie Down</t>
  </si>
  <si>
    <t>4.5.12.5 Use of Tie Down Material</t>
  </si>
  <si>
    <t>4.5.12.6 Standard Lashing</t>
  </si>
  <si>
    <t>4.5.12.7 Securing of Dangerous Goods</t>
  </si>
  <si>
    <t>☛4.5.12 Security of Load</t>
  </si>
  <si>
    <t>4.4.2.1 General</t>
  </si>
  <si>
    <t>4.4.2.2 Opening Cabin Access Doors from Inside by Trained Crew</t>
  </si>
  <si>
    <t>4.4.2.3 Opening of Cabin Access Doors from Inside by Authorized and Trained Ground Staff</t>
  </si>
  <si>
    <t>4.4.2.4 Opening Cabin Access Doors from Outside with Crew/Ground Staff on Board</t>
  </si>
  <si>
    <t>4.4.2.5 Opening Cabin Access Doors from Outside with no Crew/Ground Staff on Board</t>
  </si>
  <si>
    <t>4.4.2.6 Embarkation or Disembarkation Through Cabin Access Doors</t>
  </si>
  <si>
    <t>4.4.2.7 Closing Cabin Access Doors</t>
  </si>
  <si>
    <t>4.4.2.8 Re-Opening Cabin Access Doors</t>
  </si>
  <si>
    <t>4.4.3.1 Opening Cargo Hold Doors</t>
  </si>
  <si>
    <t>4.4.3.2 Closing Cargo Hold Doors</t>
  </si>
  <si>
    <t>4.4.3.3 Re-Opening of Cargo Hold Doors</t>
  </si>
  <si>
    <t>☛4.4.3 Cargo Hold Doors</t>
  </si>
  <si>
    <t>☛4.4.2 Cabin Access Doors</t>
  </si>
  <si>
    <t>3.4.3.1 To Attract Operator's Attention and Take Command</t>
  </si>
  <si>
    <t>3.4.3.2 Forward Movement (toward person)</t>
  </si>
  <si>
    <t>3.4.3.3 Backward Movement</t>
  </si>
  <si>
    <t>3.4.3.4 Turn Right</t>
  </si>
  <si>
    <t>3.4.3.5 Turn Left</t>
  </si>
  <si>
    <t>3.4.3.6 Lift</t>
  </si>
  <si>
    <t>3.4.3.7 Lower</t>
  </si>
  <si>
    <t>3.4.3.8 Accompanied Movement</t>
  </si>
  <si>
    <t>3.4.3.9 Indicate Distance</t>
  </si>
  <si>
    <t>3.4.3.10 Stop</t>
  </si>
  <si>
    <t>3.4.3.11 OK. All is clear or continue on your own or Drive Away</t>
  </si>
  <si>
    <t>3.4.3.12 Chocks Inserted; Stabilizers On</t>
  </si>
  <si>
    <t>3.4.3.13 Chocks Removed; Stabilizers Off</t>
  </si>
  <si>
    <t>3.4.3.14 To Interrupt Power Source (electricity, fue, air)</t>
  </si>
  <si>
    <t>3.4.3.15 Stop Engine</t>
  </si>
  <si>
    <t>3.4.3.16 To Connect or Disconnect</t>
  </si>
  <si>
    <t>3.4.3.17 Brakes On/Off</t>
  </si>
  <si>
    <t>3.4.4.1 Vehicles Brakes On/Stop</t>
  </si>
  <si>
    <t>3.4.4.2 Clear to Push</t>
  </si>
  <si>
    <t>3.4.4.3 Negative/hold</t>
  </si>
  <si>
    <t>3.4.4.4 Vehicle Brakes on/Stop</t>
  </si>
  <si>
    <t>3.4.4.5 Slow Down</t>
  </si>
  <si>
    <t>3.4.4.6 Change of Pushback Direction</t>
  </si>
  <si>
    <t>3.4.5.1 Clear to Move Aircraft</t>
  </si>
  <si>
    <t>3.4.5.2 Stop Movement of Aircraft</t>
  </si>
  <si>
    <t>3.4.5.3 Hold Movement of Aircraft</t>
  </si>
  <si>
    <t>3.4.6.1 Identify Gate</t>
  </si>
  <si>
    <t>3.4.6.2 Continue to Taxi Straight Ahead</t>
  </si>
  <si>
    <t>3.4.6.3 Slow Down</t>
  </si>
  <si>
    <t>3.4.6.4 Turn Right (from the pilots point of view)</t>
  </si>
  <si>
    <t>3.4.6.5 Turn Left (from the pilots point of view)</t>
  </si>
  <si>
    <t>3.4.6.6 Stop/Emergency Stop</t>
  </si>
  <si>
    <t>3.4.6.7 Hold Position/Stand-by</t>
  </si>
  <si>
    <t>3.4.6.8 Proceed to Next Marshaller or as Directed by Tower/Ground Control</t>
  </si>
  <si>
    <t>3.4.6.9 Dispatch Aircraft</t>
  </si>
  <si>
    <t>3.4.6.10 Fire</t>
  </si>
  <si>
    <t>3.4.6.11 Set Brakes</t>
  </si>
  <si>
    <t>3.4.6.12 Release Brakes</t>
  </si>
  <si>
    <t>3.4.6.13 Chocks Inserted</t>
  </si>
  <si>
    <t>3.4.6.14 Chocks Removed</t>
  </si>
  <si>
    <t>3.4.6.15 Start Engines</t>
  </si>
  <si>
    <t>3.4.6.16 Emergency Engine Shut Down</t>
  </si>
  <si>
    <t>3.4.7.1 Connect Towbar:</t>
  </si>
  <si>
    <t>3.4.7.2 Air Up (supply pressurised air for engine start):</t>
  </si>
  <si>
    <t>3.4.7.3 Connect/Disconnect Ground Power</t>
  </si>
  <si>
    <t>3.4.7.4 Affirmative/All Clear</t>
  </si>
  <si>
    <t>3.4.7.6 Interphone</t>
  </si>
  <si>
    <t>3.4.7.5 Negative</t>
  </si>
  <si>
    <t>3.4.7.7 Do not Touch Controls</t>
  </si>
  <si>
    <t>3.4.7.8 Open/Close Stairs Forward/Aft</t>
  </si>
  <si>
    <t>3.4.8.1 Brakes Engaged</t>
  </si>
  <si>
    <t>3.4.8.2 Brakes Released</t>
  </si>
  <si>
    <t>3.4.8.3 Insert Wheel Chocks</t>
  </si>
  <si>
    <t>3.4.8.4 Remove Wheel Chocks</t>
  </si>
  <si>
    <t>3.4.8.5 Ready to Start Engine(s)</t>
  </si>
  <si>
    <t>3.4.8.6 All Clear</t>
  </si>
  <si>
    <t>4.6.10.1 Pushback Requirements</t>
  </si>
  <si>
    <t>4.6.10.2 Pushback &amp; Pull Forward</t>
  </si>
  <si>
    <t>4.6.10.3 Ground Crew in Charge of Pushback</t>
  </si>
  <si>
    <t>4.6.10.4 Wingwalker</t>
  </si>
  <si>
    <t>4.6.10.5 Tractor Driver</t>
  </si>
  <si>
    <t>☛4.6.10 Aircraft Pushback</t>
  </si>
  <si>
    <t>3.4.1 Introduction</t>
  </si>
  <si>
    <t>☛3.4 Hand Signals</t>
  </si>
  <si>
    <t>3.4.2 Conditions for Using Hand Signals</t>
  </si>
  <si>
    <t>3.4.3 Guide Person Hand Signals (for GSE)</t>
  </si>
  <si>
    <t>3.4.4 Pushback Hand Signals-Headset Operator to Tug Driver</t>
  </si>
  <si>
    <t>3.4.5 Pushback Hand Signals-Wingwalker to Headset Operator/Tug Driver</t>
  </si>
  <si>
    <t>3.4.6 Marshalling Hand Signals (for aircraft)</t>
  </si>
  <si>
    <t>3.4.7 Technical/Servicing Hand Signals-Ground Staff to Flight Crew</t>
  </si>
  <si>
    <t>3.4.8 Technical/Servicing Hand Signals-Flight Crew to Ground Staff</t>
  </si>
  <si>
    <t>4.2.1 Wheel Chock Placement</t>
  </si>
  <si>
    <t>☛4.2 Aircraft Chocking</t>
  </si>
  <si>
    <t>4.2.2 Chock Placement Diagrams</t>
  </si>
  <si>
    <t>4.2.3 Regional Aircraft Chocking</t>
  </si>
  <si>
    <t>Sub-Chapters with Variation</t>
  </si>
  <si>
    <t>Titles with Variation</t>
  </si>
  <si>
    <t>All Sub-Chapters and Titles with Variation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</si>
</sst>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375BD"/>
        <bgColor indexed="64"/>
      </patternFill>
    </fill>
    <fill>
      <patternFill patternType="solid">
        <fgColor rgb="FF0A4279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thin">
        <color rgb="FF0A4279"/>
      </left>
      <right style="thin">
        <color indexed="64"/>
      </right>
      <top style="thin">
        <color rgb="FF0A4279"/>
      </top>
      <bottom/>
      <diagonal/>
    </border>
    <border>
      <left/>
      <right style="thin">
        <color indexed="64"/>
      </right>
      <top style="thin">
        <color rgb="FF0A4279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0">
    <xf numFmtId="0" fontId="0" fillId="0" borderId="0" xfId="0"/>
    <xf numFmtId="0" fontId="2" fillId="0" borderId="0" xfId="0" applyFont="1"/>
    <xf numFmtId="0" fontId="3" fillId="2" borderId="0" xfId="0" applyFont="1" applyFill="1" applyBorder="1"/>
    <xf numFmtId="0" fontId="4" fillId="2" borderId="0" xfId="0" applyFont="1" applyFill="1" applyBorder="1"/>
    <xf numFmtId="0" fontId="4" fillId="2" borderId="0" xfId="0" applyFont="1" applyFill="1" applyBorder="1" applyAlignment="1">
      <alignment horizontal="center"/>
    </xf>
    <xf numFmtId="0" fontId="1" fillId="2" borderId="5" xfId="0" applyFont="1" applyFill="1" applyBorder="1"/>
    <xf numFmtId="0" fontId="1" fillId="2" borderId="1" xfId="0" applyFont="1" applyFill="1" applyBorder="1"/>
    <xf numFmtId="0" fontId="1" fillId="2" borderId="4" xfId="0" applyFont="1" applyFill="1" applyBorder="1"/>
    <xf numFmtId="0" fontId="1" fillId="2" borderId="2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left"/>
    </xf>
    <xf numFmtId="0" fontId="8" fillId="2" borderId="4" xfId="0" applyFont="1" applyFill="1" applyBorder="1" applyAlignment="1">
      <alignment horizontal="left"/>
    </xf>
    <xf numFmtId="0" fontId="7" fillId="3" borderId="15" xfId="0" applyFont="1" applyFill="1" applyBorder="1" applyAlignment="1">
      <alignment vertical="center"/>
    </xf>
    <xf numFmtId="0" fontId="7" fillId="3" borderId="14" xfId="0" applyFont="1" applyFill="1" applyBorder="1" applyAlignment="1">
      <alignment vertical="center"/>
    </xf>
    <xf numFmtId="0" fontId="7" fillId="3" borderId="16" xfId="0" applyFont="1" applyFill="1" applyBorder="1" applyAlignment="1">
      <alignment vertical="center"/>
    </xf>
    <xf numFmtId="0" fontId="1" fillId="2" borderId="3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13" fillId="2" borderId="0" xfId="0" applyFont="1" applyFill="1" applyBorder="1"/>
    <xf numFmtId="0" fontId="12" fillId="0" borderId="0" xfId="0" applyFont="1"/>
    <xf numFmtId="0" fontId="11" fillId="4" borderId="12" xfId="0" applyFont="1" applyFill="1" applyBorder="1" applyAlignment="1" applyProtection="1">
      <alignment horizontal="center" vertical="center"/>
      <protection hidden="1"/>
    </xf>
    <xf numFmtId="0" fontId="9" fillId="0" borderId="8" xfId="0" applyFont="1" applyBorder="1" applyAlignment="1" applyProtection="1">
      <alignment horizontal="left"/>
    </xf>
    <xf numFmtId="0" fontId="9" fillId="0" borderId="0" xfId="0" applyFont="1" applyBorder="1" applyAlignment="1" applyProtection="1">
      <alignment horizontal="left"/>
    </xf>
    <xf numFmtId="0" fontId="1" fillId="0" borderId="0" xfId="0" applyFont="1" applyBorder="1" applyProtection="1"/>
    <xf numFmtId="0" fontId="1" fillId="0" borderId="9" xfId="0" applyFont="1" applyBorder="1" applyProtection="1"/>
    <xf numFmtId="0" fontId="1" fillId="2" borderId="10" xfId="0" applyFont="1" applyFill="1" applyBorder="1"/>
    <xf numFmtId="0" fontId="1" fillId="2" borderId="7" xfId="0" applyFont="1" applyFill="1" applyBorder="1"/>
    <xf numFmtId="0" fontId="7" fillId="3" borderId="9" xfId="0" applyFont="1" applyFill="1" applyBorder="1" applyAlignment="1">
      <alignment vertical="center"/>
    </xf>
    <xf numFmtId="0" fontId="7" fillId="3" borderId="8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0" fontId="1" fillId="2" borderId="34" xfId="0" applyFont="1" applyFill="1" applyBorder="1"/>
    <xf numFmtId="0" fontId="1" fillId="2" borderId="19" xfId="0" applyFont="1" applyFill="1" applyBorder="1"/>
    <xf numFmtId="0" fontId="1" fillId="2" borderId="35" xfId="0" applyFont="1" applyFill="1" applyBorder="1"/>
    <xf numFmtId="0" fontId="6" fillId="4" borderId="17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24" xfId="0" applyFont="1" applyFill="1" applyBorder="1" applyAlignment="1" applyProtection="1">
      <alignment horizontal="centerContinuous" wrapText="1"/>
    </xf>
    <xf numFmtId="0" fontId="6" fillId="4" borderId="25" xfId="0" applyFont="1" applyFill="1" applyBorder="1" applyAlignment="1" applyProtection="1">
      <alignment horizontal="centerContinuous" wrapText="1"/>
    </xf>
    <xf numFmtId="0" fontId="6" fillId="4" borderId="25" xfId="0" applyFont="1" applyFill="1" applyBorder="1" applyAlignment="1" applyProtection="1">
      <alignment horizontal="centerContinuous"/>
    </xf>
    <xf numFmtId="0" fontId="6" fillId="4" borderId="26" xfId="0" applyFont="1" applyFill="1" applyBorder="1" applyAlignment="1" applyProtection="1">
      <alignment horizontal="centerContinuous"/>
    </xf>
    <xf numFmtId="0" fontId="6" fillId="3" borderId="27" xfId="0" applyFont="1" applyFill="1" applyBorder="1" applyAlignment="1" applyProtection="1">
      <alignment wrapText="1"/>
    </xf>
    <xf numFmtId="0" fontId="6" fillId="3" borderId="0" xfId="0" applyFont="1" applyFill="1" applyBorder="1" applyAlignment="1" applyProtection="1">
      <alignment vertical="center" wrapText="1"/>
    </xf>
    <xf numFmtId="0" fontId="6" fillId="3" borderId="0" xfId="0" applyFont="1" applyFill="1" applyBorder="1" applyAlignment="1" applyProtection="1">
      <alignment vertical="center"/>
    </xf>
    <xf numFmtId="0" fontId="6" fillId="3" borderId="28" xfId="0" applyFont="1" applyFill="1" applyBorder="1" applyAlignment="1" applyProtection="1">
      <alignment vertical="center"/>
    </xf>
    <xf numFmtId="0" fontId="0" fillId="0" borderId="23" xfId="0" applyBorder="1" applyAlignment="1" applyProtection="1">
      <alignment wrapText="1"/>
    </xf>
    <xf numFmtId="0" fontId="0" fillId="0" borderId="29" xfId="0" applyBorder="1" applyAlignment="1" applyProtection="1">
      <alignment wrapText="1"/>
    </xf>
    <xf numFmtId="0" fontId="1" fillId="0" borderId="0" xfId="0" applyFont="1" applyProtection="1"/>
    <xf numFmtId="0" fontId="1" fillId="4" borderId="15" xfId="0" applyFont="1" applyFill="1" applyBorder="1" applyProtection="1"/>
    <xf numFmtId="0" fontId="10" fillId="4" borderId="11" xfId="0" applyFont="1" applyFill="1" applyBorder="1" applyAlignment="1" applyProtection="1"/>
    <xf numFmtId="0" fontId="9" fillId="4" borderId="12" xfId="0" applyFont="1" applyFill="1" applyBorder="1" applyAlignment="1" applyProtection="1">
      <alignment horizontal="left"/>
    </xf>
    <xf numFmtId="0" fontId="1" fillId="4" borderId="12" xfId="0" applyFont="1" applyFill="1" applyBorder="1" applyProtection="1"/>
    <xf numFmtId="0" fontId="1" fillId="4" borderId="13" xfId="0" applyFont="1" applyFill="1" applyBorder="1" applyProtection="1"/>
    <xf numFmtId="0" fontId="1" fillId="0" borderId="15" xfId="0" applyFont="1" applyBorder="1" applyProtection="1"/>
    <xf numFmtId="0" fontId="1" fillId="0" borderId="0" xfId="0" applyFont="1" applyBorder="1" applyAlignment="1" applyProtection="1">
      <alignment horizontal="center"/>
    </xf>
    <xf numFmtId="0" fontId="1" fillId="0" borderId="9" xfId="0" applyFont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0" fillId="0" borderId="27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wrapText="1"/>
    </xf>
    <xf numFmtId="0" fontId="0" fillId="0" borderId="0" xfId="0" applyBorder="1" applyProtection="1"/>
    <xf numFmtId="0" fontId="0" fillId="0" borderId="28" xfId="0" applyBorder="1" applyProtection="1"/>
    <xf numFmtId="0" fontId="0" fillId="0" borderId="27" xfId="0" applyBorder="1" applyAlignment="1" applyProtection="1">
      <alignment wrapText="1"/>
    </xf>
    <xf numFmtId="0" fontId="0" fillId="0" borderId="23" xfId="0" applyBorder="1" applyAlignment="1" applyProtection="1">
      <alignment horizontal="left" wrapText="1" indent="2"/>
    </xf>
    <xf numFmtId="0" fontId="0" fillId="0" borderId="31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0" fillId="0" borderId="0" xfId="0" applyProtection="1"/>
    <xf numFmtId="0" fontId="5" fillId="0" borderId="0" xfId="0" applyFont="1" applyProtection="1"/>
    <xf numFmtId="0" fontId="9" fillId="0" borderId="0" xfId="0" applyFont="1" applyAlignment="1" applyProtection="1">
      <alignment horizontal="left"/>
    </xf>
    <xf numFmtId="0" fontId="0" fillId="0" borderId="37" xfId="0" applyBorder="1" applyAlignment="1" applyProtection="1">
      <alignment wrapText="1"/>
    </xf>
    <xf numFmtId="0" fontId="0" fillId="0" borderId="36" xfId="0" applyBorder="1" applyAlignment="1" applyProtection="1">
      <alignment wrapText="1"/>
    </xf>
    <xf numFmtId="0" fontId="0" fillId="0" borderId="24" xfId="0" applyBorder="1" applyAlignment="1" applyProtection="1">
      <alignment horizontal="left" vertical="center" wrapText="1"/>
    </xf>
    <xf numFmtId="0" fontId="0" fillId="0" borderId="25" xfId="0" applyBorder="1" applyAlignment="1" applyProtection="1">
      <alignment wrapText="1"/>
    </xf>
    <xf numFmtId="0" fontId="0" fillId="0" borderId="25" xfId="0" applyBorder="1" applyProtection="1"/>
    <xf numFmtId="0" fontId="0" fillId="0" borderId="26" xfId="0" applyBorder="1" applyProtection="1"/>
    <xf numFmtId="0" fontId="0" fillId="0" borderId="24" xfId="0" applyBorder="1" applyAlignment="1" applyProtection="1">
      <alignment wrapText="1"/>
    </xf>
    <xf numFmtId="0" fontId="1" fillId="0" borderId="24" xfId="0" applyFont="1" applyBorder="1" applyProtection="1"/>
    <xf numFmtId="0" fontId="1" fillId="0" borderId="25" xfId="0" applyFont="1" applyBorder="1" applyProtection="1"/>
    <xf numFmtId="0" fontId="1" fillId="0" borderId="27" xfId="0" applyFont="1" applyBorder="1" applyProtection="1"/>
    <xf numFmtId="0" fontId="1" fillId="0" borderId="39" xfId="0" applyFont="1" applyBorder="1" applyProtection="1"/>
    <xf numFmtId="0" fontId="1" fillId="0" borderId="40" xfId="0" applyFont="1" applyBorder="1" applyProtection="1"/>
    <xf numFmtId="0" fontId="0" fillId="0" borderId="27" xfId="0" applyBorder="1" applyProtection="1"/>
    <xf numFmtId="0" fontId="6" fillId="3" borderId="27" xfId="0" applyFont="1" applyFill="1" applyBorder="1" applyAlignment="1" applyProtection="1"/>
    <xf numFmtId="0" fontId="0" fillId="0" borderId="29" xfId="0" applyBorder="1" applyAlignment="1" applyProtection="1">
      <alignment horizontal="left" vertical="center" wrapText="1"/>
    </xf>
    <xf numFmtId="0" fontId="0" fillId="0" borderId="29" xfId="0" applyBorder="1" applyAlignment="1" applyProtection="1">
      <alignment vertical="center" wrapText="1"/>
    </xf>
    <xf numFmtId="0" fontId="15" fillId="0" borderId="0" xfId="0" applyFont="1" applyAlignment="1"/>
    <xf numFmtId="0" fontId="0" fillId="0" borderId="23" xfId="0" applyBorder="1"/>
    <xf numFmtId="0" fontId="14" fillId="0" borderId="23" xfId="0" applyFont="1" applyBorder="1"/>
    <xf numFmtId="0" fontId="0" fillId="0" borderId="41" xfId="0" applyBorder="1" applyAlignment="1" applyProtection="1">
      <alignment wrapText="1"/>
    </xf>
    <xf numFmtId="0" fontId="0" fillId="0" borderId="42" xfId="0" applyBorder="1" applyAlignment="1" applyProtection="1">
      <alignment wrapText="1"/>
    </xf>
    <xf numFmtId="0" fontId="1" fillId="2" borderId="49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2" borderId="50" xfId="0" applyFont="1" applyFill="1" applyBorder="1" applyAlignment="1">
      <alignment horizontal="center"/>
    </xf>
    <xf numFmtId="0" fontId="1" fillId="2" borderId="51" xfId="0" applyFont="1" applyFill="1" applyBorder="1" applyAlignment="1">
      <alignment horizontal="center"/>
    </xf>
    <xf numFmtId="0" fontId="1" fillId="2" borderId="52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1" fillId="2" borderId="54" xfId="0" applyFont="1" applyFill="1" applyBorder="1"/>
    <xf numFmtId="0" fontId="0" fillId="0" borderId="41" xfId="0" applyBorder="1"/>
    <xf numFmtId="0" fontId="1" fillId="2" borderId="56" xfId="0" applyFont="1" applyFill="1" applyBorder="1"/>
    <xf numFmtId="0" fontId="0" fillId="0" borderId="8" xfId="0" applyBorder="1"/>
    <xf numFmtId="0" fontId="0" fillId="0" borderId="0" xfId="0" applyBorder="1" applyProtection="1">
      <protection locked="0"/>
    </xf>
    <xf numFmtId="0" fontId="1" fillId="0" borderId="0" xfId="0" applyFont="1" applyBorder="1" applyAlignment="1" applyProtection="1">
      <alignment horizontal="center"/>
      <protection locked="0"/>
    </xf>
    <xf numFmtId="0" fontId="0" fillId="0" borderId="28" xfId="0" applyBorder="1" applyProtection="1">
      <protection locked="0"/>
    </xf>
    <xf numFmtId="0" fontId="0" fillId="0" borderId="23" xfId="0" applyBorder="1" applyAlignment="1" applyProtection="1">
      <alignment vertical="center" wrapText="1"/>
    </xf>
    <xf numFmtId="0" fontId="0" fillId="0" borderId="43" xfId="0" applyBorder="1" applyAlignment="1" applyProtection="1">
      <alignment wrapText="1"/>
    </xf>
    <xf numFmtId="0" fontId="0" fillId="0" borderId="61" xfId="0" applyBorder="1" applyAlignment="1" applyProtection="1">
      <alignment wrapText="1"/>
    </xf>
    <xf numFmtId="0" fontId="0" fillId="0" borderId="47" xfId="0" applyBorder="1" applyAlignment="1" applyProtection="1">
      <alignment wrapText="1"/>
    </xf>
    <xf numFmtId="0" fontId="0" fillId="0" borderId="23" xfId="0" applyFont="1" applyBorder="1" applyAlignment="1" applyProtection="1">
      <alignment wrapText="1"/>
    </xf>
    <xf numFmtId="0" fontId="0" fillId="0" borderId="62" xfId="0" applyBorder="1" applyAlignment="1" applyProtection="1">
      <alignment wrapText="1"/>
    </xf>
    <xf numFmtId="0" fontId="0" fillId="0" borderId="37" xfId="0" applyBorder="1" applyProtection="1"/>
    <xf numFmtId="0" fontId="1" fillId="0" borderId="37" xfId="0" applyFont="1" applyBorder="1" applyAlignment="1" applyProtection="1">
      <alignment horizontal="center"/>
    </xf>
    <xf numFmtId="0" fontId="0" fillId="0" borderId="38" xfId="0" applyBorder="1" applyProtection="1"/>
    <xf numFmtId="0" fontId="0" fillId="0" borderId="23" xfId="0" applyBorder="1" applyProtection="1"/>
    <xf numFmtId="0" fontId="1" fillId="0" borderId="23" xfId="0" applyFont="1" applyBorder="1" applyAlignment="1" applyProtection="1">
      <alignment horizontal="center"/>
    </xf>
    <xf numFmtId="0" fontId="0" fillId="0" borderId="30" xfId="0" applyBorder="1" applyProtection="1"/>
    <xf numFmtId="0" fontId="0" fillId="0" borderId="32" xfId="0" applyBorder="1" applyProtection="1"/>
    <xf numFmtId="0" fontId="1" fillId="0" borderId="32" xfId="0" applyFont="1" applyBorder="1" applyAlignment="1" applyProtection="1">
      <alignment horizontal="center"/>
    </xf>
    <xf numFmtId="0" fontId="0" fillId="0" borderId="33" xfId="0" applyBorder="1" applyProtection="1"/>
    <xf numFmtId="0" fontId="1" fillId="2" borderId="23" xfId="0" applyFont="1" applyFill="1" applyBorder="1" applyAlignment="1" applyProtection="1">
      <alignment horizontal="center"/>
    </xf>
    <xf numFmtId="0" fontId="0" fillId="0" borderId="41" xfId="0" applyBorder="1" applyProtection="1"/>
    <xf numFmtId="0" fontId="0" fillId="0" borderId="46" xfId="0" applyBorder="1" applyProtection="1"/>
    <xf numFmtId="0" fontId="1" fillId="2" borderId="32" xfId="0" applyFont="1" applyFill="1" applyBorder="1" applyAlignment="1" applyProtection="1">
      <alignment horizontal="center"/>
    </xf>
    <xf numFmtId="0" fontId="1" fillId="0" borderId="41" xfId="0" applyFont="1" applyBorder="1" applyAlignment="1" applyProtection="1">
      <alignment horizontal="center"/>
    </xf>
    <xf numFmtId="0" fontId="1" fillId="2" borderId="37" xfId="0" applyFont="1" applyFill="1" applyBorder="1" applyAlignment="1" applyProtection="1">
      <alignment horizontal="center"/>
    </xf>
    <xf numFmtId="0" fontId="0" fillId="0" borderId="66" xfId="0" applyBorder="1" applyAlignment="1">
      <alignment horizontal="centerContinuous"/>
    </xf>
    <xf numFmtId="0" fontId="0" fillId="0" borderId="61" xfId="0" applyBorder="1" applyAlignment="1">
      <alignment horizontal="centerContinuous"/>
    </xf>
    <xf numFmtId="0" fontId="0" fillId="0" borderId="23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4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41" xfId="0" applyBorder="1" applyAlignment="1">
      <alignment wrapText="1"/>
    </xf>
    <xf numFmtId="0" fontId="0" fillId="0" borderId="22" xfId="0" applyBorder="1" applyAlignment="1">
      <alignment wrapText="1"/>
    </xf>
    <xf numFmtId="0" fontId="0" fillId="0" borderId="65" xfId="0" applyBorder="1" applyAlignment="1">
      <alignment wrapText="1"/>
    </xf>
    <xf numFmtId="0" fontId="0" fillId="0" borderId="63" xfId="0" applyBorder="1" applyAlignment="1">
      <alignment wrapText="1"/>
    </xf>
    <xf numFmtId="0" fontId="1" fillId="0" borderId="37" xfId="0" applyFont="1" applyBorder="1" applyAlignment="1" applyProtection="1">
      <alignment horizontal="center"/>
      <protection locked="0"/>
    </xf>
    <xf numFmtId="0" fontId="1" fillId="0" borderId="23" xfId="0" applyFont="1" applyBorder="1" applyAlignment="1" applyProtection="1">
      <alignment horizontal="center"/>
      <protection locked="0"/>
    </xf>
    <xf numFmtId="0" fontId="1" fillId="0" borderId="32" xfId="0" applyFont="1" applyBorder="1" applyAlignment="1" applyProtection="1">
      <alignment horizontal="center"/>
      <protection locked="0"/>
    </xf>
    <xf numFmtId="0" fontId="1" fillId="0" borderId="65" xfId="0" applyFont="1" applyBorder="1" applyAlignment="1" applyProtection="1">
      <alignment horizontal="center"/>
      <protection locked="0"/>
    </xf>
    <xf numFmtId="0" fontId="1" fillId="0" borderId="59" xfId="0" applyFont="1" applyBorder="1" applyAlignment="1" applyProtection="1">
      <alignment horizontal="center"/>
      <protection locked="0"/>
    </xf>
    <xf numFmtId="0" fontId="0" fillId="0" borderId="38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37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33" xfId="0" applyBorder="1" applyProtection="1">
      <protection locked="0"/>
    </xf>
    <xf numFmtId="0" fontId="0" fillId="0" borderId="59" xfId="0" applyBorder="1" applyProtection="1">
      <protection locked="0"/>
    </xf>
    <xf numFmtId="0" fontId="0" fillId="0" borderId="60" xfId="0" applyBorder="1" applyProtection="1">
      <protection locked="0"/>
    </xf>
    <xf numFmtId="0" fontId="0" fillId="0" borderId="41" xfId="0" applyBorder="1" applyAlignment="1" applyProtection="1">
      <alignment vertical="center" wrapText="1"/>
    </xf>
    <xf numFmtId="0" fontId="0" fillId="0" borderId="57" xfId="0" applyBorder="1" applyAlignment="1" applyProtection="1">
      <alignment horizontal="left" vertical="center" wrapText="1"/>
    </xf>
    <xf numFmtId="0" fontId="0" fillId="0" borderId="27" xfId="0" applyBorder="1" applyAlignment="1" applyProtection="1">
      <alignment horizontal="left" vertical="center" wrapText="1"/>
    </xf>
    <xf numFmtId="0" fontId="0" fillId="0" borderId="58" xfId="0" applyBorder="1" applyAlignment="1" applyProtection="1">
      <alignment horizontal="left" vertical="center" wrapText="1"/>
    </xf>
    <xf numFmtId="0" fontId="0" fillId="0" borderId="36" xfId="0" applyBorder="1" applyAlignment="1" applyProtection="1">
      <alignment horizontal="left" vertical="center" wrapText="1"/>
    </xf>
    <xf numFmtId="0" fontId="0" fillId="0" borderId="29" xfId="0" applyBorder="1" applyAlignment="1" applyProtection="1">
      <alignment horizontal="left" vertical="center" wrapText="1"/>
    </xf>
    <xf numFmtId="0" fontId="0" fillId="0" borderId="31" xfId="0" applyBorder="1" applyAlignment="1" applyProtection="1">
      <alignment horizontal="left" vertical="center" wrapText="1"/>
    </xf>
    <xf numFmtId="0" fontId="0" fillId="0" borderId="43" xfId="0" applyBorder="1" applyAlignment="1" applyProtection="1">
      <alignment horizontal="left" vertical="center" wrapText="1"/>
    </xf>
    <xf numFmtId="0" fontId="0" fillId="0" borderId="44" xfId="0" applyBorder="1" applyAlignment="1" applyProtection="1">
      <alignment horizontal="left" vertical="center" wrapText="1"/>
    </xf>
    <xf numFmtId="0" fontId="0" fillId="0" borderId="47" xfId="0" applyBorder="1" applyAlignment="1" applyProtection="1">
      <alignment horizontal="left" vertical="center" wrapText="1"/>
    </xf>
    <xf numFmtId="0" fontId="0" fillId="0" borderId="55" xfId="0" applyBorder="1" applyAlignment="1" applyProtection="1">
      <alignment horizontal="left" vertical="center" wrapText="1"/>
    </xf>
    <xf numFmtId="0" fontId="0" fillId="0" borderId="45" xfId="0" applyBorder="1" applyAlignment="1" applyProtection="1">
      <alignment horizontal="left" vertical="center" wrapText="1"/>
    </xf>
    <xf numFmtId="0" fontId="6" fillId="4" borderId="23" xfId="0" applyFont="1" applyFill="1" applyBorder="1" applyAlignment="1">
      <alignment horizontal="center"/>
    </xf>
    <xf numFmtId="0" fontId="6" fillId="4" borderId="20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6" fillId="4" borderId="22" xfId="0" applyFont="1" applyFill="1" applyBorder="1" applyAlignment="1">
      <alignment horizontal="center"/>
    </xf>
  </cellXfs>
  <cellStyles count="1">
    <cellStyle name="Normal" xfId="0" builtinId="0"/>
  </cellStyles>
  <dxfs count="242">
    <dxf>
      <fill>
        <patternFill>
          <bgColor rgb="FFFF5B5B"/>
        </patternFill>
      </fill>
    </dxf>
    <dxf>
      <fill>
        <patternFill>
          <bgColor rgb="FFFF5B5B"/>
        </patternFill>
      </fill>
    </dxf>
    <dxf>
      <fill>
        <patternFill>
          <bgColor rgb="FFFF5B5B"/>
        </patternFill>
      </fill>
    </dxf>
    <dxf>
      <fill>
        <patternFill>
          <bgColor rgb="FFFF5D5D"/>
        </patternFill>
      </fill>
    </dxf>
    <dxf>
      <fill>
        <patternFill>
          <bgColor rgb="FFFF5D5D"/>
        </patternFill>
      </fill>
    </dxf>
    <dxf>
      <fill>
        <patternFill>
          <bgColor rgb="FFFF5D5D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rgb="FF33CC33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1" defaultTableStyle="TableStyleMedium2" defaultPivotStyle="PivotStyleLight16">
    <tableStyle name="MySqlDefault" pivot="0" table="0" count="0"/>
  </tableStyles>
  <colors>
    <mruColors>
      <color rgb="FFFF5B5B"/>
      <color rgb="FFFF5D5D"/>
      <color rgb="FFFF6969"/>
      <color rgb="FF4EA9E3"/>
      <color rgb="FF33CC33"/>
      <color rgb="FF0A4279"/>
      <color rgb="FFFFDB00"/>
      <color rgb="FF62B31A"/>
      <color rgb="FFEB3014"/>
      <color rgb="FFBDCF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Passenger Handling Procedures</a:t>
            </a:r>
          </a:p>
        </c:rich>
      </c:tx>
      <c:overlay val="0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Data'!$C$3</c:f>
              <c:strCache>
                <c:ptCount val="1"/>
                <c:pt idx="0">
                  <c:v>Conformity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Data'!$B$4:$B$8</c:f>
              <c:strCache>
                <c:ptCount val="5"/>
                <c:pt idx="0">
                  <c:v>Departures</c:v>
                </c:pt>
                <c:pt idx="1">
                  <c:v>Security</c:v>
                </c:pt>
                <c:pt idx="2">
                  <c:v>Movement</c:v>
                </c:pt>
                <c:pt idx="3">
                  <c:v>Category</c:v>
                </c:pt>
                <c:pt idx="4">
                  <c:v>Irregularities</c:v>
                </c:pt>
              </c:strCache>
            </c:strRef>
          </c:cat>
          <c:val>
            <c:numRef>
              <c:f>'Dashboard Data'!$C$4:$C$8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775-48B3-8A34-89E4A3EF15A3}"/>
            </c:ext>
          </c:extLst>
        </c:ser>
        <c:ser>
          <c:idx val="1"/>
          <c:order val="1"/>
          <c:tx>
            <c:strRef>
              <c:f>'Dashboard Data'!$D$3</c:f>
              <c:strCache>
                <c:ptCount val="1"/>
                <c:pt idx="0">
                  <c:v>Not in scope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Data'!$B$4:$B$8</c:f>
              <c:strCache>
                <c:ptCount val="5"/>
                <c:pt idx="0">
                  <c:v>Departures</c:v>
                </c:pt>
                <c:pt idx="1">
                  <c:v>Security</c:v>
                </c:pt>
                <c:pt idx="2">
                  <c:v>Movement</c:v>
                </c:pt>
                <c:pt idx="3">
                  <c:v>Category</c:v>
                </c:pt>
                <c:pt idx="4">
                  <c:v>Irregularities</c:v>
                </c:pt>
              </c:strCache>
            </c:strRef>
          </c:cat>
          <c:val>
            <c:numRef>
              <c:f>'Dashboard Data'!$D$4:$D$8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775-48B3-8A34-89E4A3EF15A3}"/>
            </c:ext>
          </c:extLst>
        </c:ser>
        <c:ser>
          <c:idx val="2"/>
          <c:order val="2"/>
          <c:tx>
            <c:strRef>
              <c:f>'Dashboard Data'!$E$3</c:f>
              <c:strCache>
                <c:ptCount val="1"/>
                <c:pt idx="0">
                  <c:v>Variation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Data'!$B$4:$B$8</c:f>
              <c:strCache>
                <c:ptCount val="5"/>
                <c:pt idx="0">
                  <c:v>Departures</c:v>
                </c:pt>
                <c:pt idx="1">
                  <c:v>Security</c:v>
                </c:pt>
                <c:pt idx="2">
                  <c:v>Movement</c:v>
                </c:pt>
                <c:pt idx="3">
                  <c:v>Category</c:v>
                </c:pt>
                <c:pt idx="4">
                  <c:v>Irregularities</c:v>
                </c:pt>
              </c:strCache>
            </c:strRef>
          </c:cat>
          <c:val>
            <c:numRef>
              <c:f>'Dashboard Data'!$E$4:$E$8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775-48B3-8A34-89E4A3EF1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60640912"/>
        <c:axId val="160641696"/>
        <c:axId val="0"/>
      </c:bar3DChart>
      <c:catAx>
        <c:axId val="160640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</a:t>
                </a:r>
                <a:r>
                  <a:rPr lang="en-US" b="0" baseline="0"/>
                  <a:t>chapter</a:t>
                </a:r>
                <a:endParaRPr lang="en-US" b="0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60641696"/>
        <c:crosses val="autoZero"/>
        <c:auto val="1"/>
        <c:lblAlgn val="ctr"/>
        <c:lblOffset val="100"/>
        <c:noMultiLvlLbl val="0"/>
      </c:catAx>
      <c:valAx>
        <c:axId val="1606416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Questiion </a:t>
                </a:r>
                <a:r>
                  <a:rPr lang="en-US" b="0" baseline="0"/>
                  <a:t>#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crossAx val="160640912"/>
        <c:crosses val="autoZero"/>
        <c:crossBetween val="between"/>
        <c:majorUnit val="1"/>
        <c:minorUnit val="1"/>
      </c:valAx>
    </c:plotArea>
    <c:legend>
      <c:legendPos val="r"/>
      <c:layout>
        <c:manualLayout>
          <c:xMode val="edge"/>
          <c:yMode val="edge"/>
          <c:x val="0.87252044444444443"/>
          <c:y val="0.38683111111111113"/>
          <c:w val="0.11901288888888889"/>
          <c:h val="0.2551700000000000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Baggage Handling Procedures</a:t>
            </a:r>
          </a:p>
        </c:rich>
      </c:tx>
      <c:overlay val="0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Data'!$L$3</c:f>
              <c:strCache>
                <c:ptCount val="1"/>
                <c:pt idx="0">
                  <c:v>Conformity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Data'!$K$4:$K$9</c:f>
              <c:strCache>
                <c:ptCount val="6"/>
                <c:pt idx="0">
                  <c:v>Cabin Baggage</c:v>
                </c:pt>
                <c:pt idx="1">
                  <c:v>Checked Baggage</c:v>
                </c:pt>
                <c:pt idx="2">
                  <c:v>Special Baggage</c:v>
                </c:pt>
                <c:pt idx="3">
                  <c:v>Baggage Handling</c:v>
                </c:pt>
                <c:pt idx="4">
                  <c:v>Baggage Security</c:v>
                </c:pt>
                <c:pt idx="5">
                  <c:v>Mishandled Baggage</c:v>
                </c:pt>
              </c:strCache>
            </c:strRef>
          </c:cat>
          <c:val>
            <c:numRef>
              <c:f>'Dashboard Data'!$L$4:$L$9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A15-4A5A-A14A-CF488113965E}"/>
            </c:ext>
          </c:extLst>
        </c:ser>
        <c:ser>
          <c:idx val="1"/>
          <c:order val="1"/>
          <c:tx>
            <c:strRef>
              <c:f>'Dashboard Data'!$M$3</c:f>
              <c:strCache>
                <c:ptCount val="1"/>
                <c:pt idx="0">
                  <c:v>Not in scope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Data'!$K$4:$K$9</c:f>
              <c:strCache>
                <c:ptCount val="6"/>
                <c:pt idx="0">
                  <c:v>Cabin Baggage</c:v>
                </c:pt>
                <c:pt idx="1">
                  <c:v>Checked Baggage</c:v>
                </c:pt>
                <c:pt idx="2">
                  <c:v>Special Baggage</c:v>
                </c:pt>
                <c:pt idx="3">
                  <c:v>Baggage Handling</c:v>
                </c:pt>
                <c:pt idx="4">
                  <c:v>Baggage Security</c:v>
                </c:pt>
                <c:pt idx="5">
                  <c:v>Mishandled Baggage</c:v>
                </c:pt>
              </c:strCache>
            </c:strRef>
          </c:cat>
          <c:val>
            <c:numRef>
              <c:f>'Dashboard Data'!$M$4:$M$9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A15-4A5A-A14A-CF488113965E}"/>
            </c:ext>
          </c:extLst>
        </c:ser>
        <c:ser>
          <c:idx val="2"/>
          <c:order val="2"/>
          <c:tx>
            <c:strRef>
              <c:f>'Dashboard Data'!$N$3</c:f>
              <c:strCache>
                <c:ptCount val="1"/>
                <c:pt idx="0">
                  <c:v>Variation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Data'!$K$4:$K$9</c:f>
              <c:strCache>
                <c:ptCount val="6"/>
                <c:pt idx="0">
                  <c:v>Cabin Baggage</c:v>
                </c:pt>
                <c:pt idx="1">
                  <c:v>Checked Baggage</c:v>
                </c:pt>
                <c:pt idx="2">
                  <c:v>Special Baggage</c:v>
                </c:pt>
                <c:pt idx="3">
                  <c:v>Baggage Handling</c:v>
                </c:pt>
                <c:pt idx="4">
                  <c:v>Baggage Security</c:v>
                </c:pt>
                <c:pt idx="5">
                  <c:v>Mishandled Baggage</c:v>
                </c:pt>
              </c:strCache>
            </c:strRef>
          </c:cat>
          <c:val>
            <c:numRef>
              <c:f>'Dashboard Data'!$N$4:$N$9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A15-4A5A-A14A-CF4881139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60642480"/>
        <c:axId val="163590992"/>
        <c:axId val="0"/>
      </c:bar3DChart>
      <c:catAx>
        <c:axId val="160642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Subchapter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63590992"/>
        <c:crosses val="autoZero"/>
        <c:auto val="1"/>
        <c:lblAlgn val="ctr"/>
        <c:lblOffset val="100"/>
        <c:noMultiLvlLbl val="0"/>
      </c:catAx>
      <c:valAx>
        <c:axId val="1635909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Questions #</a:t>
                </a:r>
              </a:p>
            </c:rich>
          </c:tx>
          <c:layout>
            <c:manualLayout>
              <c:xMode val="edge"/>
              <c:yMode val="edge"/>
              <c:x val="2.2734777777777781E-2"/>
              <c:y val="0.26128277777777775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crossAx val="160642480"/>
        <c:crosses val="autoZero"/>
        <c:crossBetween val="between"/>
        <c:majorUnit val="1"/>
        <c:minorUnit val="1"/>
      </c:valAx>
    </c:plotArea>
    <c:legend>
      <c:legendPos val="r"/>
      <c:layout>
        <c:manualLayout>
          <c:xMode val="edge"/>
          <c:yMode val="edge"/>
          <c:x val="0.87252044444444443"/>
          <c:y val="0.35508111111111113"/>
          <c:w val="0.11901288888888889"/>
          <c:h val="0.2551700000000000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Aircraft General Safety/ Servicing Operations</a:t>
            </a:r>
          </a:p>
        </c:rich>
      </c:tx>
      <c:overlay val="0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Data'!$R$3</c:f>
              <c:strCache>
                <c:ptCount val="1"/>
                <c:pt idx="0">
                  <c:v>Conformity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Data'!$Q$4:$Q$11</c:f>
              <c:strCache>
                <c:ptCount val="8"/>
                <c:pt idx="0">
                  <c:v>Ramp Safety in Aircraft Handling</c:v>
                </c:pt>
                <c:pt idx="1">
                  <c:v>Safety During Fueling/Defueling</c:v>
                </c:pt>
                <c:pt idx="2">
                  <c:v>Adverse Weather Conditions</c:v>
                </c:pt>
                <c:pt idx="3">
                  <c:v>Hand Signals</c:v>
                </c:pt>
                <c:pt idx="4">
                  <c:v>Toilet Servicing</c:v>
                </c:pt>
                <c:pt idx="5">
                  <c:v>Portable Water Servicing</c:v>
                </c:pt>
                <c:pt idx="6">
                  <c:v>Aircraft Cabin Servicing</c:v>
                </c:pt>
                <c:pt idx="7">
                  <c:v>Safety During Aircraft Deicing/Anti-icing Operations</c:v>
                </c:pt>
              </c:strCache>
            </c:strRef>
          </c:cat>
          <c:val>
            <c:numRef>
              <c:f>'Dashboard Data'!$R$4:$R$11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509-4444-BE85-5B3CFDDC62D4}"/>
            </c:ext>
          </c:extLst>
        </c:ser>
        <c:ser>
          <c:idx val="1"/>
          <c:order val="1"/>
          <c:tx>
            <c:strRef>
              <c:f>'Dashboard Data'!$S$3</c:f>
              <c:strCache>
                <c:ptCount val="1"/>
                <c:pt idx="0">
                  <c:v>Not in scope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Data'!$Q$4:$Q$11</c:f>
              <c:strCache>
                <c:ptCount val="8"/>
                <c:pt idx="0">
                  <c:v>Ramp Safety in Aircraft Handling</c:v>
                </c:pt>
                <c:pt idx="1">
                  <c:v>Safety During Fueling/Defueling</c:v>
                </c:pt>
                <c:pt idx="2">
                  <c:v>Adverse Weather Conditions</c:v>
                </c:pt>
                <c:pt idx="3">
                  <c:v>Hand Signals</c:v>
                </c:pt>
                <c:pt idx="4">
                  <c:v>Toilet Servicing</c:v>
                </c:pt>
                <c:pt idx="5">
                  <c:v>Portable Water Servicing</c:v>
                </c:pt>
                <c:pt idx="6">
                  <c:v>Aircraft Cabin Servicing</c:v>
                </c:pt>
                <c:pt idx="7">
                  <c:v>Safety During Aircraft Deicing/Anti-icing Operations</c:v>
                </c:pt>
              </c:strCache>
            </c:strRef>
          </c:cat>
          <c:val>
            <c:numRef>
              <c:f>'Dashboard Data'!$S$4:$S$11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509-4444-BE85-5B3CFDDC62D4}"/>
            </c:ext>
          </c:extLst>
        </c:ser>
        <c:ser>
          <c:idx val="2"/>
          <c:order val="2"/>
          <c:tx>
            <c:strRef>
              <c:f>'Dashboard Data'!$U$3</c:f>
              <c:strCache>
                <c:ptCount val="1"/>
                <c:pt idx="0">
                  <c:v>Safety Critical Variation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'Dashboard Data'!$Q$4:$Q$11</c:f>
              <c:strCache>
                <c:ptCount val="8"/>
                <c:pt idx="0">
                  <c:v>Ramp Safety in Aircraft Handling</c:v>
                </c:pt>
                <c:pt idx="1">
                  <c:v>Safety During Fueling/Defueling</c:v>
                </c:pt>
                <c:pt idx="2">
                  <c:v>Adverse Weather Conditions</c:v>
                </c:pt>
                <c:pt idx="3">
                  <c:v>Hand Signals</c:v>
                </c:pt>
                <c:pt idx="4">
                  <c:v>Toilet Servicing</c:v>
                </c:pt>
                <c:pt idx="5">
                  <c:v>Portable Water Servicing</c:v>
                </c:pt>
                <c:pt idx="6">
                  <c:v>Aircraft Cabin Servicing</c:v>
                </c:pt>
                <c:pt idx="7">
                  <c:v>Safety During Aircraft Deicing/Anti-icing Operations</c:v>
                </c:pt>
              </c:strCache>
            </c:strRef>
          </c:cat>
          <c:val>
            <c:numRef>
              <c:f>'Dashboard Data'!$U$4:$U$11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9A8-4F96-B7E1-95636B65203A}"/>
            </c:ext>
          </c:extLst>
        </c:ser>
        <c:ser>
          <c:idx val="3"/>
          <c:order val="3"/>
          <c:tx>
            <c:strRef>
              <c:f>'Dashboard Data'!$V$3</c:f>
              <c:strCache>
                <c:ptCount val="1"/>
                <c:pt idx="0">
                  <c:v>Non Safety Critical Variation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'Dashboard Data'!$Q$4:$Q$11</c:f>
              <c:strCache>
                <c:ptCount val="8"/>
                <c:pt idx="0">
                  <c:v>Ramp Safety in Aircraft Handling</c:v>
                </c:pt>
                <c:pt idx="1">
                  <c:v>Safety During Fueling/Defueling</c:v>
                </c:pt>
                <c:pt idx="2">
                  <c:v>Adverse Weather Conditions</c:v>
                </c:pt>
                <c:pt idx="3">
                  <c:v>Hand Signals</c:v>
                </c:pt>
                <c:pt idx="4">
                  <c:v>Toilet Servicing</c:v>
                </c:pt>
                <c:pt idx="5">
                  <c:v>Portable Water Servicing</c:v>
                </c:pt>
                <c:pt idx="6">
                  <c:v>Aircraft Cabin Servicing</c:v>
                </c:pt>
                <c:pt idx="7">
                  <c:v>Safety During Aircraft Deicing/Anti-icing Operations</c:v>
                </c:pt>
              </c:strCache>
            </c:strRef>
          </c:cat>
          <c:val>
            <c:numRef>
              <c:f>'Dashboard Data'!$V$4:$V$11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9A8-4F96-B7E1-95636B652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63586288"/>
        <c:axId val="163591384"/>
        <c:axId val="0"/>
      </c:bar3DChart>
      <c:catAx>
        <c:axId val="16358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Subchapter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63591384"/>
        <c:crosses val="autoZero"/>
        <c:auto val="1"/>
        <c:lblAlgn val="ctr"/>
        <c:lblOffset val="100"/>
        <c:noMultiLvlLbl val="0"/>
      </c:catAx>
      <c:valAx>
        <c:axId val="16359138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Question</a:t>
                </a:r>
                <a:r>
                  <a:rPr lang="en-US" b="0" baseline="0"/>
                  <a:t> #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crossAx val="163586288"/>
        <c:crosses val="autoZero"/>
        <c:crossBetween val="between"/>
        <c:majorUnit val="1"/>
        <c:minorUnit val="1"/>
      </c:valAx>
    </c:plotArea>
    <c:legend>
      <c:legendPos val="r"/>
      <c:layout>
        <c:manualLayout>
          <c:xMode val="edge"/>
          <c:yMode val="edge"/>
          <c:x val="0.87110933333333329"/>
          <c:y val="0.21044222222222225"/>
          <c:w val="0.12889066666666665"/>
          <c:h val="0.2551700000000000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800" b="0">
                <a:effectLst/>
              </a:rPr>
              <a:t>Aircraft Turn Around</a:t>
            </a:r>
            <a:endParaRPr lang="en-US" sz="1400">
              <a:effectLst/>
            </a:endParaRPr>
          </a:p>
        </c:rich>
      </c:tx>
      <c:overlay val="0"/>
    </c:title>
    <c:autoTitleDeleted val="0"/>
    <c:view3D>
      <c:rotX val="0"/>
      <c:rotY val="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</c:spPr>
    </c:backWall>
    <c:plotArea>
      <c:layout>
        <c:manualLayout>
          <c:layoutTarget val="inner"/>
          <c:xMode val="edge"/>
          <c:yMode val="edge"/>
          <c:x val="6.6492777777777776E-2"/>
          <c:y val="0.11709583333333333"/>
          <c:w val="0.79756100000000008"/>
          <c:h val="0.64905111111111113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'Dashboard Data'!$Y$3</c:f>
              <c:strCache>
                <c:ptCount val="1"/>
                <c:pt idx="0">
                  <c:v>Conformity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'Dashboard Data'!$X$4:$X$12</c:f>
              <c:strCache>
                <c:ptCount val="9"/>
                <c:pt idx="0">
                  <c:v>Aircraft Arrival</c:v>
                </c:pt>
                <c:pt idx="1">
                  <c:v>Aircraft Chocking</c:v>
                </c:pt>
                <c:pt idx="2">
                  <c:v>Aircraft Coning</c:v>
                </c:pt>
                <c:pt idx="3">
                  <c:v>Aircraft Doors</c:v>
                </c:pt>
                <c:pt idx="4">
                  <c:v>Aircraft Loading</c:v>
                </c:pt>
                <c:pt idx="5">
                  <c:v>Aircraft Departure</c:v>
                </c:pt>
                <c:pt idx="6">
                  <c:v>Power Push Unit(PPU)</c:v>
                </c:pt>
                <c:pt idx="7">
                  <c:v>Open Ramp Departure</c:v>
                </c:pt>
                <c:pt idx="8">
                  <c:v>Aircraft Towing</c:v>
                </c:pt>
              </c:strCache>
            </c:strRef>
          </c:cat>
          <c:val>
            <c:numRef>
              <c:f>'Dashboard Data'!$Y$4:$Y$12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94-47A0-BC8C-EDCFE04D2381}"/>
            </c:ext>
          </c:extLst>
        </c:ser>
        <c:ser>
          <c:idx val="1"/>
          <c:order val="1"/>
          <c:tx>
            <c:strRef>
              <c:f>'Dashboard Data'!$Z$3</c:f>
              <c:strCache>
                <c:ptCount val="1"/>
                <c:pt idx="0">
                  <c:v>Not in scope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'Dashboard Data'!$X$4:$X$12</c:f>
              <c:strCache>
                <c:ptCount val="9"/>
                <c:pt idx="0">
                  <c:v>Aircraft Arrival</c:v>
                </c:pt>
                <c:pt idx="1">
                  <c:v>Aircraft Chocking</c:v>
                </c:pt>
                <c:pt idx="2">
                  <c:v>Aircraft Coning</c:v>
                </c:pt>
                <c:pt idx="3">
                  <c:v>Aircraft Doors</c:v>
                </c:pt>
                <c:pt idx="4">
                  <c:v>Aircraft Loading</c:v>
                </c:pt>
                <c:pt idx="5">
                  <c:v>Aircraft Departure</c:v>
                </c:pt>
                <c:pt idx="6">
                  <c:v>Power Push Unit(PPU)</c:v>
                </c:pt>
                <c:pt idx="7">
                  <c:v>Open Ramp Departure</c:v>
                </c:pt>
                <c:pt idx="8">
                  <c:v>Aircraft Towing</c:v>
                </c:pt>
              </c:strCache>
            </c:strRef>
          </c:cat>
          <c:val>
            <c:numRef>
              <c:f>'Dashboard Data'!$Z$4:$Z$12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594-47A0-BC8C-EDCFE04D2381}"/>
            </c:ext>
          </c:extLst>
        </c:ser>
        <c:ser>
          <c:idx val="2"/>
          <c:order val="2"/>
          <c:tx>
            <c:strRef>
              <c:f>'Dashboard Data'!$AB$3</c:f>
              <c:strCache>
                <c:ptCount val="1"/>
                <c:pt idx="0">
                  <c:v>Safety Critical Variation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'Dashboard Data'!$X$4:$X$12</c:f>
              <c:strCache>
                <c:ptCount val="9"/>
                <c:pt idx="0">
                  <c:v>Aircraft Arrival</c:v>
                </c:pt>
                <c:pt idx="1">
                  <c:v>Aircraft Chocking</c:v>
                </c:pt>
                <c:pt idx="2">
                  <c:v>Aircraft Coning</c:v>
                </c:pt>
                <c:pt idx="3">
                  <c:v>Aircraft Doors</c:v>
                </c:pt>
                <c:pt idx="4">
                  <c:v>Aircraft Loading</c:v>
                </c:pt>
                <c:pt idx="5">
                  <c:v>Aircraft Departure</c:v>
                </c:pt>
                <c:pt idx="6">
                  <c:v>Power Push Unit(PPU)</c:v>
                </c:pt>
                <c:pt idx="7">
                  <c:v>Open Ramp Departure</c:v>
                </c:pt>
                <c:pt idx="8">
                  <c:v>Aircraft Towing</c:v>
                </c:pt>
              </c:strCache>
            </c:strRef>
          </c:cat>
          <c:val>
            <c:numRef>
              <c:f>'Dashboard Data'!$AB$4:$AB$12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667-469D-BC83-8D7B29CB61CA}"/>
            </c:ext>
          </c:extLst>
        </c:ser>
        <c:ser>
          <c:idx val="3"/>
          <c:order val="3"/>
          <c:tx>
            <c:strRef>
              <c:f>'Dashboard Data'!$AC$3</c:f>
              <c:strCache>
                <c:ptCount val="1"/>
                <c:pt idx="0">
                  <c:v>Non Safety Critical Variation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'Dashboard Data'!$X$4:$X$12</c:f>
              <c:strCache>
                <c:ptCount val="9"/>
                <c:pt idx="0">
                  <c:v>Aircraft Arrival</c:v>
                </c:pt>
                <c:pt idx="1">
                  <c:v>Aircraft Chocking</c:v>
                </c:pt>
                <c:pt idx="2">
                  <c:v>Aircraft Coning</c:v>
                </c:pt>
                <c:pt idx="3">
                  <c:v>Aircraft Doors</c:v>
                </c:pt>
                <c:pt idx="4">
                  <c:v>Aircraft Loading</c:v>
                </c:pt>
                <c:pt idx="5">
                  <c:v>Aircraft Departure</c:v>
                </c:pt>
                <c:pt idx="6">
                  <c:v>Power Push Unit(PPU)</c:v>
                </c:pt>
                <c:pt idx="7">
                  <c:v>Open Ramp Departure</c:v>
                </c:pt>
                <c:pt idx="8">
                  <c:v>Aircraft Towing</c:v>
                </c:pt>
              </c:strCache>
            </c:strRef>
          </c:cat>
          <c:val>
            <c:numRef>
              <c:f>'Dashboard Data'!$AC$4:$AC$12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667-469D-BC83-8D7B29CB61C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163588640"/>
        <c:axId val="163586680"/>
        <c:axId val="0"/>
      </c:bar3DChart>
      <c:catAx>
        <c:axId val="1635886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 sz="900"/>
            </a:pPr>
            <a:endParaRPr lang="en-US"/>
          </a:p>
        </c:txPr>
        <c:crossAx val="163586680"/>
        <c:crosses val="autoZero"/>
        <c:auto val="0"/>
        <c:lblAlgn val="ctr"/>
        <c:lblOffset val="100"/>
        <c:noMultiLvlLbl val="0"/>
      </c:catAx>
      <c:valAx>
        <c:axId val="1635866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Question</a:t>
                </a:r>
                <a:r>
                  <a:rPr lang="en-US" b="0" baseline="0"/>
                  <a:t> #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36211111111111E-2"/>
              <c:y val="0.21970722222222222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crossAx val="163588640"/>
        <c:crosses val="autoZero"/>
        <c:crossBetween val="between"/>
        <c:majorUnit val="1"/>
        <c:minorUnit val="1"/>
      </c:valAx>
    </c:plotArea>
    <c:legend>
      <c:legendPos val="r"/>
      <c:layout>
        <c:manualLayout>
          <c:xMode val="edge"/>
          <c:yMode val="edge"/>
          <c:x val="0.86264266666666667"/>
          <c:y val="0.23866444444444448"/>
          <c:w val="0.13735733333333333"/>
          <c:h val="0.3433644444444444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Load</a:t>
            </a:r>
            <a:r>
              <a:rPr lang="en-US" sz="1400" b="0" baseline="0"/>
              <a:t> Control</a:t>
            </a:r>
            <a:endParaRPr lang="en-US" sz="1400" b="0"/>
          </a:p>
        </c:rich>
      </c:tx>
      <c:overlay val="0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Data'!$AF$3</c:f>
              <c:strCache>
                <c:ptCount val="1"/>
                <c:pt idx="0">
                  <c:v>Conformity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Data'!$AE$4:$AE$11</c:f>
              <c:strCache>
                <c:ptCount val="8"/>
                <c:pt idx="0">
                  <c:v>Introduction</c:v>
                </c:pt>
                <c:pt idx="1">
                  <c:v>Load Control Principles</c:v>
                </c:pt>
                <c:pt idx="2">
                  <c:v>Regulatory Requirements</c:v>
                </c:pt>
                <c:pt idx="3">
                  <c:v>Load Control Tasks</c:v>
                </c:pt>
                <c:pt idx="4">
                  <c:v>Load Control Task Job Responsibility</c:v>
                </c:pt>
                <c:pt idx="5">
                  <c:v>Qualification Requirements</c:v>
                </c:pt>
                <c:pt idx="6">
                  <c:v>Documentation</c:v>
                </c:pt>
                <c:pt idx="7">
                  <c:v>Load Control Process Flow</c:v>
                </c:pt>
              </c:strCache>
            </c:strRef>
          </c:cat>
          <c:val>
            <c:numRef>
              <c:f>'Dashboard Data'!$AF$4:$AF$11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918-45FF-B1C0-8E3DF64E7C8A}"/>
            </c:ext>
          </c:extLst>
        </c:ser>
        <c:ser>
          <c:idx val="1"/>
          <c:order val="1"/>
          <c:tx>
            <c:strRef>
              <c:f>'Dashboard Data'!$AG$3</c:f>
              <c:strCache>
                <c:ptCount val="1"/>
                <c:pt idx="0">
                  <c:v>Not in scope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Data'!$AE$4:$AE$11</c:f>
              <c:strCache>
                <c:ptCount val="8"/>
                <c:pt idx="0">
                  <c:v>Introduction</c:v>
                </c:pt>
                <c:pt idx="1">
                  <c:v>Load Control Principles</c:v>
                </c:pt>
                <c:pt idx="2">
                  <c:v>Regulatory Requirements</c:v>
                </c:pt>
                <c:pt idx="3">
                  <c:v>Load Control Tasks</c:v>
                </c:pt>
                <c:pt idx="4">
                  <c:v>Load Control Task Job Responsibility</c:v>
                </c:pt>
                <c:pt idx="5">
                  <c:v>Qualification Requirements</c:v>
                </c:pt>
                <c:pt idx="6">
                  <c:v>Documentation</c:v>
                </c:pt>
                <c:pt idx="7">
                  <c:v>Load Control Process Flow</c:v>
                </c:pt>
              </c:strCache>
            </c:strRef>
          </c:cat>
          <c:val>
            <c:numRef>
              <c:f>'Dashboard Data'!$AG$4:$AG$11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918-45FF-B1C0-8E3DF64E7C8A}"/>
            </c:ext>
          </c:extLst>
        </c:ser>
        <c:ser>
          <c:idx val="2"/>
          <c:order val="2"/>
          <c:tx>
            <c:strRef>
              <c:f>'Dashboard Data'!$AH$3</c:f>
              <c:strCache>
                <c:ptCount val="1"/>
                <c:pt idx="0">
                  <c:v>Variation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Data'!$AE$4:$AE$11</c:f>
              <c:strCache>
                <c:ptCount val="8"/>
                <c:pt idx="0">
                  <c:v>Introduction</c:v>
                </c:pt>
                <c:pt idx="1">
                  <c:v>Load Control Principles</c:v>
                </c:pt>
                <c:pt idx="2">
                  <c:v>Regulatory Requirements</c:v>
                </c:pt>
                <c:pt idx="3">
                  <c:v>Load Control Tasks</c:v>
                </c:pt>
                <c:pt idx="4">
                  <c:v>Load Control Task Job Responsibility</c:v>
                </c:pt>
                <c:pt idx="5">
                  <c:v>Qualification Requirements</c:v>
                </c:pt>
                <c:pt idx="6">
                  <c:v>Documentation</c:v>
                </c:pt>
                <c:pt idx="7">
                  <c:v>Load Control Process Flow</c:v>
                </c:pt>
              </c:strCache>
            </c:strRef>
          </c:cat>
          <c:val>
            <c:numRef>
              <c:f>'Dashboard Data'!$AH$4:$AH$11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918-45FF-B1C0-8E3DF64E7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63587856"/>
        <c:axId val="163589816"/>
        <c:axId val="0"/>
      </c:bar3DChart>
      <c:catAx>
        <c:axId val="163587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Subchapter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63589816"/>
        <c:crosses val="autoZero"/>
        <c:auto val="1"/>
        <c:lblAlgn val="ctr"/>
        <c:lblOffset val="100"/>
        <c:noMultiLvlLbl val="0"/>
      </c:catAx>
      <c:valAx>
        <c:axId val="1635898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Question</a:t>
                </a:r>
                <a:r>
                  <a:rPr lang="en-US" b="0" baseline="0"/>
                  <a:t> #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crossAx val="163587856"/>
        <c:crosses val="autoZero"/>
        <c:crossBetween val="between"/>
        <c:majorUnit val="1"/>
        <c:minorUnit val="1"/>
      </c:valAx>
    </c:plotArea>
    <c:legend>
      <c:legendPos val="r"/>
      <c:layout>
        <c:manualLayout>
          <c:xMode val="edge"/>
          <c:yMode val="edge"/>
          <c:x val="0.86828711111111112"/>
          <c:y val="0.21749777777777782"/>
          <c:w val="0.11901288888888889"/>
          <c:h val="0.2551700000000000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800">
                <a:effectLst/>
              </a:rPr>
              <a:t>Airside Safety Operational Oversight</a:t>
            </a:r>
            <a:endParaRPr lang="en-US" sz="1400">
              <a:effectLst/>
            </a:endParaRPr>
          </a:p>
        </c:rich>
      </c:tx>
      <c:overlay val="0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Data'!$AL$3</c:f>
              <c:strCache>
                <c:ptCount val="1"/>
                <c:pt idx="0">
                  <c:v>Conformity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Data'!$AK$4:$AK$11</c:f>
              <c:strCache>
                <c:ptCount val="8"/>
                <c:pt idx="0">
                  <c:v>Introduction</c:v>
                </c:pt>
                <c:pt idx="1">
                  <c:v>Supervision Scope</c:v>
                </c:pt>
                <c:pt idx="2">
                  <c:v>Supervision Requirements</c:v>
                </c:pt>
                <c:pt idx="3">
                  <c:v>Reporting</c:v>
                </c:pt>
                <c:pt idx="4">
                  <c:v>Safety Investigation Procedure</c:v>
                </c:pt>
                <c:pt idx="5">
                  <c:v>Montoring Procedure</c:v>
                </c:pt>
                <c:pt idx="6">
                  <c:v>Emergency Response Procedure</c:v>
                </c:pt>
                <c:pt idx="7">
                  <c:v>Adverse Weather Oversight Procedures</c:v>
                </c:pt>
              </c:strCache>
            </c:strRef>
          </c:cat>
          <c:val>
            <c:numRef>
              <c:f>'Dashboard Data'!$AL$4:$AL$11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6A9-4B58-B872-945E84D6953D}"/>
            </c:ext>
          </c:extLst>
        </c:ser>
        <c:ser>
          <c:idx val="1"/>
          <c:order val="1"/>
          <c:tx>
            <c:strRef>
              <c:f>'Dashboard Data'!$AM$3</c:f>
              <c:strCache>
                <c:ptCount val="1"/>
                <c:pt idx="0">
                  <c:v>Not in scope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Data'!$AK$4:$AK$11</c:f>
              <c:strCache>
                <c:ptCount val="8"/>
                <c:pt idx="0">
                  <c:v>Introduction</c:v>
                </c:pt>
                <c:pt idx="1">
                  <c:v>Supervision Scope</c:v>
                </c:pt>
                <c:pt idx="2">
                  <c:v>Supervision Requirements</c:v>
                </c:pt>
                <c:pt idx="3">
                  <c:v>Reporting</c:v>
                </c:pt>
                <c:pt idx="4">
                  <c:v>Safety Investigation Procedure</c:v>
                </c:pt>
                <c:pt idx="5">
                  <c:v>Montoring Procedure</c:v>
                </c:pt>
                <c:pt idx="6">
                  <c:v>Emergency Response Procedure</c:v>
                </c:pt>
                <c:pt idx="7">
                  <c:v>Adverse Weather Oversight Procedures</c:v>
                </c:pt>
              </c:strCache>
            </c:strRef>
          </c:cat>
          <c:val>
            <c:numRef>
              <c:f>'Dashboard Data'!$AM$4:$AM$11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6A9-4B58-B872-945E84D6953D}"/>
            </c:ext>
          </c:extLst>
        </c:ser>
        <c:ser>
          <c:idx val="2"/>
          <c:order val="2"/>
          <c:tx>
            <c:strRef>
              <c:f>'Dashboard Data'!$AN$3</c:f>
              <c:strCache>
                <c:ptCount val="1"/>
                <c:pt idx="0">
                  <c:v>Variation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Data'!$AK$4:$AK$11</c:f>
              <c:strCache>
                <c:ptCount val="8"/>
                <c:pt idx="0">
                  <c:v>Introduction</c:v>
                </c:pt>
                <c:pt idx="1">
                  <c:v>Supervision Scope</c:v>
                </c:pt>
                <c:pt idx="2">
                  <c:v>Supervision Requirements</c:v>
                </c:pt>
                <c:pt idx="3">
                  <c:v>Reporting</c:v>
                </c:pt>
                <c:pt idx="4">
                  <c:v>Safety Investigation Procedure</c:v>
                </c:pt>
                <c:pt idx="5">
                  <c:v>Montoring Procedure</c:v>
                </c:pt>
                <c:pt idx="6">
                  <c:v>Emergency Response Procedure</c:v>
                </c:pt>
                <c:pt idx="7">
                  <c:v>Adverse Weather Oversight Procedures</c:v>
                </c:pt>
              </c:strCache>
            </c:strRef>
          </c:cat>
          <c:val>
            <c:numRef>
              <c:f>'Dashboard Data'!$AN$4:$AN$11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6A9-4B58-B872-945E84D69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gapDepth val="0"/>
        <c:shape val="cylinder"/>
        <c:axId val="163590208"/>
        <c:axId val="163592560"/>
        <c:axId val="0"/>
      </c:bar3DChart>
      <c:catAx>
        <c:axId val="163590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Subchapter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63592560"/>
        <c:crosses val="autoZero"/>
        <c:auto val="1"/>
        <c:lblAlgn val="ctr"/>
        <c:lblOffset val="100"/>
        <c:noMultiLvlLbl val="0"/>
      </c:catAx>
      <c:valAx>
        <c:axId val="1635925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Questions</a:t>
                </a:r>
                <a:r>
                  <a:rPr lang="en-US" b="0" baseline="0"/>
                  <a:t> #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crossAx val="163590208"/>
        <c:crosses val="autoZero"/>
        <c:crossBetween val="between"/>
        <c:majorUnit val="1"/>
        <c:minorUnit val="1"/>
      </c:valAx>
    </c:plotArea>
    <c:legend>
      <c:legendPos val="r"/>
      <c:layout>
        <c:manualLayout>
          <c:xMode val="edge"/>
          <c:yMode val="edge"/>
          <c:x val="0.8598204444444445"/>
          <c:y val="0.22808111111111115"/>
          <c:w val="0.11901288888888889"/>
          <c:h val="0.2551700000000000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'Dashboard Data'!$AQ$3</c:f>
          <c:strCache>
            <c:ptCount val="1"/>
            <c:pt idx="0">
              <c:v>Aircraft Cleaning</c:v>
            </c:pt>
          </c:strCache>
        </c:strRef>
      </c:tx>
      <c:overlay val="0"/>
      <c:txPr>
        <a:bodyPr/>
        <a:lstStyle/>
        <a:p>
          <a:pPr>
            <a:defRPr sz="1400" b="0"/>
          </a:pPr>
          <a:endParaRPr lang="en-US"/>
        </a:p>
      </c:txPr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Data'!$AR$3</c:f>
              <c:strCache>
                <c:ptCount val="1"/>
                <c:pt idx="0">
                  <c:v>Conformity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Data'!$AQ$4</c:f>
              <c:strCache>
                <c:ptCount val="1"/>
                <c:pt idx="0">
                  <c:v>Aircraft Cabin Appearance</c:v>
                </c:pt>
              </c:strCache>
            </c:strRef>
          </c:cat>
          <c:val>
            <c:numRef>
              <c:f>'Dashboard Data'!$AR$4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15F-466F-A843-A36086E177D7}"/>
            </c:ext>
          </c:extLst>
        </c:ser>
        <c:ser>
          <c:idx val="1"/>
          <c:order val="1"/>
          <c:tx>
            <c:strRef>
              <c:f>'Dashboard Data'!$AS$3</c:f>
              <c:strCache>
                <c:ptCount val="1"/>
                <c:pt idx="0">
                  <c:v>More Restrictive</c:v>
                </c:pt>
              </c:strCache>
            </c:strRef>
          </c:tx>
          <c:spPr>
            <a:solidFill>
              <a:srgbClr val="FFDB00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Data'!$AQ$4</c:f>
              <c:strCache>
                <c:ptCount val="1"/>
                <c:pt idx="0">
                  <c:v>Aircraft Cabin Appearance</c:v>
                </c:pt>
              </c:strCache>
            </c:strRef>
          </c:cat>
          <c:val>
            <c:numRef>
              <c:f>'Dashboard Data'!$AS$4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5F-466F-A843-A36086E177D7}"/>
            </c:ext>
          </c:extLst>
        </c:ser>
        <c:ser>
          <c:idx val="2"/>
          <c:order val="2"/>
          <c:tx>
            <c:strRef>
              <c:f>'Dashboard Data'!$AT$3</c:f>
              <c:strCache>
                <c:ptCount val="1"/>
                <c:pt idx="0">
                  <c:v>Less Restrictive</c:v>
                </c:pt>
              </c:strCache>
            </c:strRef>
          </c:tx>
          <c:spPr>
            <a:solidFill>
              <a:srgbClr val="EB3014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Data'!$AQ$4</c:f>
              <c:strCache>
                <c:ptCount val="1"/>
                <c:pt idx="0">
                  <c:v>Aircraft Cabin Appearance</c:v>
                </c:pt>
              </c:strCache>
            </c:strRef>
          </c:cat>
          <c:val>
            <c:numRef>
              <c:f>'Dashboard Data'!$AT$4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5F-466F-A843-A36086E177D7}"/>
            </c:ext>
          </c:extLst>
        </c:ser>
        <c:ser>
          <c:idx val="3"/>
          <c:order val="3"/>
          <c:tx>
            <c:strRef>
              <c:f>'Dashboard Data'!$AU$3</c:f>
              <c:strCache>
                <c:ptCount val="1"/>
                <c:pt idx="0">
                  <c:v>Not Applicable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Data'!$AQ$4</c:f>
              <c:strCache>
                <c:ptCount val="1"/>
                <c:pt idx="0">
                  <c:v>Aircraft Cabin Appearance</c:v>
                </c:pt>
              </c:strCache>
            </c:strRef>
          </c:cat>
          <c:val>
            <c:numRef>
              <c:f>'Dashboard Data'!$AU$4</c:f>
              <c:numCache>
                <c:formatCode>General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5F-466F-A843-A36086E17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gapDepth val="0"/>
        <c:shape val="cylinder"/>
        <c:axId val="163591776"/>
        <c:axId val="163592952"/>
        <c:axId val="0"/>
      </c:bar3DChart>
      <c:catAx>
        <c:axId val="163591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Subchapter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63592952"/>
        <c:crosses val="autoZero"/>
        <c:auto val="1"/>
        <c:lblAlgn val="ctr"/>
        <c:lblOffset val="100"/>
        <c:noMultiLvlLbl val="0"/>
      </c:catAx>
      <c:valAx>
        <c:axId val="16359295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Questions</a:t>
                </a:r>
                <a:r>
                  <a:rPr lang="en-US" b="0" baseline="0"/>
                  <a:t> #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crossAx val="163591776"/>
        <c:crosses val="autoZero"/>
        <c:crossBetween val="between"/>
        <c:majorUnit val="1"/>
        <c:minorUnit val="1"/>
      </c:valAx>
    </c:plotArea>
    <c:legend>
      <c:legendPos val="r"/>
      <c:layout>
        <c:manualLayout>
          <c:xMode val="edge"/>
          <c:yMode val="edge"/>
          <c:x val="0.8598204444444445"/>
          <c:y val="0.22808111111111115"/>
          <c:w val="0.11901288888888889"/>
          <c:h val="0.2551700000000000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Aircraft General Safety/ Servicing Operations Critical</a:t>
            </a:r>
            <a:r>
              <a:rPr lang="en-US" sz="1400" b="0" baseline="0"/>
              <a:t> and Non Critical Variations</a:t>
            </a:r>
            <a:endParaRPr lang="en-US" sz="1400" b="0"/>
          </a:p>
        </c:rich>
      </c:tx>
      <c:overlay val="0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Data'!$S$38</c:f>
              <c:strCache>
                <c:ptCount val="1"/>
                <c:pt idx="0">
                  <c:v>Safety Critical Variation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Data'!$Q$39:$Q$46</c:f>
              <c:strCache>
                <c:ptCount val="8"/>
                <c:pt idx="0">
                  <c:v>Ramp Safety in Aircraft Handling</c:v>
                </c:pt>
                <c:pt idx="1">
                  <c:v>Safety During Fueling/Defueling</c:v>
                </c:pt>
                <c:pt idx="2">
                  <c:v>Adverse Weather Conditions</c:v>
                </c:pt>
                <c:pt idx="3">
                  <c:v>Hand Signals</c:v>
                </c:pt>
                <c:pt idx="4">
                  <c:v>Toilet Servicing</c:v>
                </c:pt>
                <c:pt idx="5">
                  <c:v>Portable Water Servicing</c:v>
                </c:pt>
                <c:pt idx="6">
                  <c:v>Aircraft Cabin Servicing</c:v>
                </c:pt>
                <c:pt idx="7">
                  <c:v>Safety During Aircraft Deicing/Anti-icing Operations</c:v>
                </c:pt>
              </c:strCache>
            </c:strRef>
          </c:cat>
          <c:val>
            <c:numRef>
              <c:f>'Dashboard Data'!$S$39:$S$46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D13-44E3-84F7-C752C7C421DA}"/>
            </c:ext>
          </c:extLst>
        </c:ser>
        <c:ser>
          <c:idx val="1"/>
          <c:order val="1"/>
          <c:tx>
            <c:strRef>
              <c:f>'Dashboard Data'!$T$38</c:f>
              <c:strCache>
                <c:ptCount val="1"/>
                <c:pt idx="0">
                  <c:v>Non Safety Critical Variation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'Dashboard Data'!$Q$39:$Q$46</c:f>
              <c:strCache>
                <c:ptCount val="8"/>
                <c:pt idx="0">
                  <c:v>Ramp Safety in Aircraft Handling</c:v>
                </c:pt>
                <c:pt idx="1">
                  <c:v>Safety During Fueling/Defueling</c:v>
                </c:pt>
                <c:pt idx="2">
                  <c:v>Adverse Weather Conditions</c:v>
                </c:pt>
                <c:pt idx="3">
                  <c:v>Hand Signals</c:v>
                </c:pt>
                <c:pt idx="4">
                  <c:v>Toilet Servicing</c:v>
                </c:pt>
                <c:pt idx="5">
                  <c:v>Portable Water Servicing</c:v>
                </c:pt>
                <c:pt idx="6">
                  <c:v>Aircraft Cabin Servicing</c:v>
                </c:pt>
                <c:pt idx="7">
                  <c:v>Safety During Aircraft Deicing/Anti-icing Operations</c:v>
                </c:pt>
              </c:strCache>
            </c:strRef>
          </c:cat>
          <c:val>
            <c:numRef>
              <c:f>'Dashboard Data'!$T$39:$T$46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9D13-44E3-84F7-C752C7C42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63585896"/>
        <c:axId val="163587464"/>
        <c:axId val="0"/>
      </c:bar3DChart>
      <c:catAx>
        <c:axId val="163585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Subchapter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63587464"/>
        <c:crosses val="autoZero"/>
        <c:auto val="1"/>
        <c:lblAlgn val="ctr"/>
        <c:lblOffset val="100"/>
        <c:noMultiLvlLbl val="0"/>
      </c:catAx>
      <c:valAx>
        <c:axId val="1635874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Question</a:t>
                </a:r>
                <a:r>
                  <a:rPr lang="en-US" b="0" baseline="0"/>
                  <a:t> #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crossAx val="163585896"/>
        <c:crosses val="autoZero"/>
        <c:crossBetween val="between"/>
        <c:majorUnit val="1"/>
        <c:minorUnit val="1"/>
      </c:valAx>
    </c:plotArea>
    <c:legend>
      <c:legendPos val="r"/>
      <c:layout>
        <c:manualLayout>
          <c:xMode val="edge"/>
          <c:yMode val="edge"/>
          <c:x val="0.87110933333333329"/>
          <c:y val="0.21044222222222225"/>
          <c:w val="0.12889066666666665"/>
          <c:h val="0.1275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Aircraft Handling Procedures Critical</a:t>
            </a:r>
            <a:r>
              <a:rPr lang="en-US" sz="1400" b="0" baseline="0"/>
              <a:t> and Non Critical Variations</a:t>
            </a:r>
            <a:endParaRPr lang="en-US" sz="1400" b="0"/>
          </a:p>
        </c:rich>
      </c:tx>
      <c:overlay val="0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Data'!$Z$41</c:f>
              <c:strCache>
                <c:ptCount val="1"/>
                <c:pt idx="0">
                  <c:v>Safety Critical Variation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Data'!$X$42:$X$50</c:f>
              <c:strCache>
                <c:ptCount val="9"/>
                <c:pt idx="0">
                  <c:v>Aircraft Arrival</c:v>
                </c:pt>
                <c:pt idx="1">
                  <c:v>Aircraft Chocking</c:v>
                </c:pt>
                <c:pt idx="2">
                  <c:v>Aircraft Coning</c:v>
                </c:pt>
                <c:pt idx="3">
                  <c:v>Aircraft Doors</c:v>
                </c:pt>
                <c:pt idx="4">
                  <c:v>Aircraft Loading</c:v>
                </c:pt>
                <c:pt idx="5">
                  <c:v>Aircraft Departure</c:v>
                </c:pt>
                <c:pt idx="6">
                  <c:v>Power Push Unit(PPU)</c:v>
                </c:pt>
                <c:pt idx="7">
                  <c:v>Open Ramp Departure</c:v>
                </c:pt>
                <c:pt idx="8">
                  <c:v>Aircraft Towing</c:v>
                </c:pt>
              </c:strCache>
            </c:strRef>
          </c:cat>
          <c:val>
            <c:numRef>
              <c:f>'Dashboard Data'!$Z$42:$Z$50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7BB-4D78-BEC7-5AFA173D0B1C}"/>
            </c:ext>
          </c:extLst>
        </c:ser>
        <c:ser>
          <c:idx val="1"/>
          <c:order val="1"/>
          <c:tx>
            <c:strRef>
              <c:f>'Dashboard Data'!$AA$41</c:f>
              <c:strCache>
                <c:ptCount val="1"/>
                <c:pt idx="0">
                  <c:v>Non Safety Critical Variation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'Dashboard Data'!$X$42:$X$50</c:f>
              <c:strCache>
                <c:ptCount val="9"/>
                <c:pt idx="0">
                  <c:v>Aircraft Arrival</c:v>
                </c:pt>
                <c:pt idx="1">
                  <c:v>Aircraft Chocking</c:v>
                </c:pt>
                <c:pt idx="2">
                  <c:v>Aircraft Coning</c:v>
                </c:pt>
                <c:pt idx="3">
                  <c:v>Aircraft Doors</c:v>
                </c:pt>
                <c:pt idx="4">
                  <c:v>Aircraft Loading</c:v>
                </c:pt>
                <c:pt idx="5">
                  <c:v>Aircraft Departure</c:v>
                </c:pt>
                <c:pt idx="6">
                  <c:v>Power Push Unit(PPU)</c:v>
                </c:pt>
                <c:pt idx="7">
                  <c:v>Open Ramp Departure</c:v>
                </c:pt>
                <c:pt idx="8">
                  <c:v>Aircraft Towing</c:v>
                </c:pt>
              </c:strCache>
            </c:strRef>
          </c:cat>
          <c:val>
            <c:numRef>
              <c:f>'Dashboard Data'!$AA$42:$AA$50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7BB-4D78-BEC7-5AFA173D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64109080"/>
        <c:axId val="164106336"/>
        <c:axId val="0"/>
      </c:bar3DChart>
      <c:catAx>
        <c:axId val="16410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Subchapter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64106336"/>
        <c:crosses val="autoZero"/>
        <c:auto val="1"/>
        <c:lblAlgn val="ctr"/>
        <c:lblOffset val="100"/>
        <c:noMultiLvlLbl val="0"/>
      </c:catAx>
      <c:valAx>
        <c:axId val="1641063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Question</a:t>
                </a:r>
                <a:r>
                  <a:rPr lang="en-US" b="0" baseline="0"/>
                  <a:t> #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crossAx val="164109080"/>
        <c:crosses val="autoZero"/>
        <c:crossBetween val="between"/>
        <c:majorUnit val="1"/>
        <c:minorUnit val="1"/>
      </c:valAx>
    </c:plotArea>
    <c:legend>
      <c:legendPos val="r"/>
      <c:layout>
        <c:manualLayout>
          <c:xMode val="edge"/>
          <c:yMode val="edge"/>
          <c:x val="0.87110933333333329"/>
          <c:y val="0.21044222222222225"/>
          <c:w val="0.12889066666666665"/>
          <c:h val="0.1275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Passenger Handling Procedures</a:t>
            </a:r>
          </a:p>
        </c:rich>
      </c:tx>
      <c:overlay val="0"/>
    </c:title>
    <c:autoTitleDeleted val="0"/>
    <c:view3D>
      <c:rotX val="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'Dashboard Data'!$C$3</c:f>
              <c:strCache>
                <c:ptCount val="1"/>
                <c:pt idx="0">
                  <c:v>Conformity</c:v>
                </c:pt>
              </c:strCache>
            </c:strRef>
          </c:tx>
          <c:spPr>
            <a:solidFill>
              <a:srgbClr val="62B31A"/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Data'!$B$4:$B$8</c:f>
              <c:strCache>
                <c:ptCount val="5"/>
                <c:pt idx="0">
                  <c:v>Departures</c:v>
                </c:pt>
                <c:pt idx="1">
                  <c:v>Security</c:v>
                </c:pt>
                <c:pt idx="2">
                  <c:v>Movement</c:v>
                </c:pt>
                <c:pt idx="3">
                  <c:v>Category</c:v>
                </c:pt>
                <c:pt idx="4">
                  <c:v>Irregularities</c:v>
                </c:pt>
              </c:strCache>
            </c:strRef>
          </c:cat>
          <c:val>
            <c:numRef>
              <c:f>'Dashboard Data'!$C$4:$C$8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2DE-4911-A754-89EF3B4F15D1}"/>
            </c:ext>
          </c:extLst>
        </c:ser>
        <c:ser>
          <c:idx val="1"/>
          <c:order val="1"/>
          <c:tx>
            <c:strRef>
              <c:f>'Dashboard Data'!$D$3</c:f>
              <c:strCache>
                <c:ptCount val="1"/>
                <c:pt idx="0">
                  <c:v>Not in scope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Data'!$B$4:$B$8</c:f>
              <c:strCache>
                <c:ptCount val="5"/>
                <c:pt idx="0">
                  <c:v>Departures</c:v>
                </c:pt>
                <c:pt idx="1">
                  <c:v>Security</c:v>
                </c:pt>
                <c:pt idx="2">
                  <c:v>Movement</c:v>
                </c:pt>
                <c:pt idx="3">
                  <c:v>Category</c:v>
                </c:pt>
                <c:pt idx="4">
                  <c:v>Irregularities</c:v>
                </c:pt>
              </c:strCache>
            </c:strRef>
          </c:cat>
          <c:val>
            <c:numRef>
              <c:f>'Dashboard Data'!$D$4:$D$8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2DE-4911-A754-89EF3B4F15D1}"/>
            </c:ext>
          </c:extLst>
        </c:ser>
        <c:ser>
          <c:idx val="2"/>
          <c:order val="2"/>
          <c:tx>
            <c:strRef>
              <c:f>'Dashboard Data'!$E$3</c:f>
              <c:strCache>
                <c:ptCount val="1"/>
                <c:pt idx="0">
                  <c:v>Variation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'Dashboard Data'!$B$4:$B$8</c:f>
              <c:strCache>
                <c:ptCount val="5"/>
                <c:pt idx="0">
                  <c:v>Departures</c:v>
                </c:pt>
                <c:pt idx="1">
                  <c:v>Security</c:v>
                </c:pt>
                <c:pt idx="2">
                  <c:v>Movement</c:v>
                </c:pt>
                <c:pt idx="3">
                  <c:v>Category</c:v>
                </c:pt>
                <c:pt idx="4">
                  <c:v>Irregularities</c:v>
                </c:pt>
              </c:strCache>
            </c:strRef>
          </c:cat>
          <c:val>
            <c:numRef>
              <c:f>'Dashboard Data'!$E$4:$E$8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2DE-4911-A754-89EF3B4F1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64107904"/>
        <c:axId val="164106728"/>
        <c:axId val="0"/>
      </c:bar3DChart>
      <c:catAx>
        <c:axId val="16410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Sub</a:t>
                </a:r>
                <a:r>
                  <a:rPr lang="en-US" b="0" baseline="0"/>
                  <a:t>chapter</a:t>
                </a:r>
                <a:endParaRPr lang="en-US" b="0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64106728"/>
        <c:crosses val="autoZero"/>
        <c:auto val="1"/>
        <c:lblAlgn val="ctr"/>
        <c:lblOffset val="100"/>
        <c:noMultiLvlLbl val="0"/>
      </c:catAx>
      <c:valAx>
        <c:axId val="16410672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Questiion </a:t>
                </a:r>
                <a:r>
                  <a:rPr lang="en-US" b="0" baseline="0"/>
                  <a:t>#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crossAx val="164107904"/>
        <c:crosses val="autoZero"/>
        <c:crossBetween val="between"/>
        <c:majorUnit val="1"/>
        <c:minorUnit val="1"/>
      </c:valAx>
    </c:plotArea>
    <c:legend>
      <c:legendPos val="r"/>
      <c:layout>
        <c:manualLayout>
          <c:xMode val="edge"/>
          <c:yMode val="edge"/>
          <c:x val="0.87252044444444443"/>
          <c:y val="0.38683111111111113"/>
          <c:w val="0.11901288888888889"/>
          <c:h val="0.2551700000000000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#Main!A1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hecklist!A1"/><Relationship Id="rId2" Type="http://schemas.openxmlformats.org/officeDocument/2006/relationships/image" Target="../media/image1.png"/><Relationship Id="rId1" Type="http://schemas.openxmlformats.org/officeDocument/2006/relationships/hyperlink" Target="#Main!A1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0</xdr:colOff>
      <xdr:row>4</xdr:row>
      <xdr:rowOff>38100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0" y="0"/>
          <a:ext cx="12849225" cy="800100"/>
          <a:chOff x="0" y="0"/>
          <a:chExt cx="12849225" cy="800100"/>
        </a:xfrm>
      </xdr:grpSpPr>
      <xdr:grpSp>
        <xdr:nvGrpSpPr>
          <xdr:cNvPr id="6" name="IATA Logo Background">
            <a:extLst>
              <a:ext uri="{FF2B5EF4-FFF2-40B4-BE49-F238E27FC236}">
                <a16:creationId xmlns="" xmlns:a16="http://schemas.microsoft.com/office/drawing/2014/main" id="{00000000-0008-0000-0000-000006000000}"/>
              </a:ext>
            </a:extLst>
          </xdr:cNvPr>
          <xdr:cNvGrpSpPr/>
        </xdr:nvGrpSpPr>
        <xdr:grpSpPr>
          <a:xfrm>
            <a:off x="0" y="0"/>
            <a:ext cx="12849225" cy="800100"/>
            <a:chOff x="19051" y="0"/>
            <a:chExt cx="12763500" cy="800100"/>
          </a:xfrm>
        </xdr:grpSpPr>
        <xdr:sp macro="" textlink="">
          <xdr:nvSpPr>
            <xdr:cNvPr id="8" name="AutoShape 2">
              <a:extLst>
                <a:ext uri="{FF2B5EF4-FFF2-40B4-BE49-F238E27FC236}">
                  <a16:creationId xmlns="" xmlns:a16="http://schemas.microsoft.com/office/drawing/2014/main" id="{00000000-0008-0000-0000-000008000000}"/>
                </a:ext>
              </a:extLst>
            </xdr:cNvPr>
            <xdr:cNvSpPr>
              <a:spLocks noChangeAspect="1" noChangeArrowheads="1" noTextEdit="1"/>
            </xdr:cNvSpPr>
          </xdr:nvSpPr>
          <xdr:spPr bwMode="auto">
            <a:xfrm>
              <a:off x="19051" y="0"/>
              <a:ext cx="12676451" cy="8001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9" name="Rectangle 4">
              <a:extLst>
                <a:ext uri="{FF2B5EF4-FFF2-40B4-BE49-F238E27FC236}">
                  <a16:creationId xmlns="" xmlns:a16="http://schemas.microsoft.com/office/drawing/2014/main" id="{00000000-0008-0000-00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0"/>
              <a:ext cx="12763500" cy="600075"/>
            </a:xfrm>
            <a:prstGeom prst="rect">
              <a:avLst/>
            </a:prstGeom>
            <a:solidFill>
              <a:srgbClr val="00305B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0" name="Rectangle 5">
              <a:extLst>
                <a:ext uri="{FF2B5EF4-FFF2-40B4-BE49-F238E27FC236}">
                  <a16:creationId xmlns="" xmlns:a16="http://schemas.microsoft.com/office/drawing/2014/main" id="{00000000-0008-0000-00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81025"/>
              <a:ext cx="12763500" cy="47625"/>
            </a:xfrm>
            <a:prstGeom prst="rect">
              <a:avLst/>
            </a:prstGeom>
            <a:solidFill>
              <a:srgbClr val="0093D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1" name="Rectangle 6">
              <a:extLst>
                <a:ext uri="{FF2B5EF4-FFF2-40B4-BE49-F238E27FC236}">
                  <a16:creationId xmlns="" xmlns:a16="http://schemas.microsoft.com/office/drawing/2014/main" id="{00000000-0008-0000-0000-00000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47700"/>
              <a:ext cx="12763500" cy="9525"/>
            </a:xfrm>
            <a:prstGeom prst="rect">
              <a:avLst/>
            </a:prstGeom>
            <a:solidFill>
              <a:srgbClr val="0093D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2" name="Rectangle 7">
              <a:extLst>
                <a:ext uri="{FF2B5EF4-FFF2-40B4-BE49-F238E27FC236}">
                  <a16:creationId xmlns="" xmlns:a16="http://schemas.microsoft.com/office/drawing/2014/main" id="{00000000-0008-0000-0000-00000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04825"/>
              <a:ext cx="12763500" cy="3810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3" name="Rectangle 8">
              <a:extLst>
                <a:ext uri="{FF2B5EF4-FFF2-40B4-BE49-F238E27FC236}">
                  <a16:creationId xmlns="" xmlns:a16="http://schemas.microsoft.com/office/drawing/2014/main" id="{00000000-0008-0000-0000-00000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95250"/>
              <a:ext cx="12763500" cy="952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4" name="Rectangle 9">
              <a:extLst>
                <a:ext uri="{FF2B5EF4-FFF2-40B4-BE49-F238E27FC236}">
                  <a16:creationId xmlns="" xmlns:a16="http://schemas.microsoft.com/office/drawing/2014/main" id="{00000000-0008-0000-0000-00000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104775"/>
              <a:ext cx="12763500" cy="2857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5" name="Rectangle 10">
              <a:extLst>
                <a:ext uri="{FF2B5EF4-FFF2-40B4-BE49-F238E27FC236}">
                  <a16:creationId xmlns="" xmlns:a16="http://schemas.microsoft.com/office/drawing/2014/main" id="{00000000-0008-0000-0000-00000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323850"/>
              <a:ext cx="12763500" cy="15240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6" name="Rectangle 11">
              <a:extLst>
                <a:ext uri="{FF2B5EF4-FFF2-40B4-BE49-F238E27FC236}">
                  <a16:creationId xmlns="" xmlns:a16="http://schemas.microsoft.com/office/drawing/2014/main" id="{00000000-0008-0000-0000-00001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238125"/>
              <a:ext cx="12763500" cy="3810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7" name="Rectangle 12">
              <a:extLst>
                <a:ext uri="{FF2B5EF4-FFF2-40B4-BE49-F238E27FC236}">
                  <a16:creationId xmlns="" xmlns:a16="http://schemas.microsoft.com/office/drawing/2014/main" id="{00000000-0008-0000-0000-00001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295275"/>
              <a:ext cx="12763500" cy="952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8" name="Rectangle 13">
              <a:extLst>
                <a:ext uri="{FF2B5EF4-FFF2-40B4-BE49-F238E27FC236}">
                  <a16:creationId xmlns="" xmlns:a16="http://schemas.microsoft.com/office/drawing/2014/main" id="{00000000-0008-0000-0000-00001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219075"/>
              <a:ext cx="12763500" cy="952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9" name="Rectangle 14">
              <a:extLst>
                <a:ext uri="{FF2B5EF4-FFF2-40B4-BE49-F238E27FC236}">
                  <a16:creationId xmlns="" xmlns:a16="http://schemas.microsoft.com/office/drawing/2014/main" id="{00000000-0008-0000-0000-00001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81025"/>
              <a:ext cx="12763500" cy="1905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0" name="Rectangle 15">
              <a:extLst>
                <a:ext uri="{FF2B5EF4-FFF2-40B4-BE49-F238E27FC236}">
                  <a16:creationId xmlns="" xmlns:a16="http://schemas.microsoft.com/office/drawing/2014/main" id="{00000000-0008-0000-0000-00001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57225"/>
              <a:ext cx="12763500" cy="38100"/>
            </a:xfrm>
            <a:prstGeom prst="rect">
              <a:avLst/>
            </a:prstGeom>
            <a:solidFill>
              <a:srgbClr val="5CA9DD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1" name="Rectangle 16">
              <a:extLst>
                <a:ext uri="{FF2B5EF4-FFF2-40B4-BE49-F238E27FC236}">
                  <a16:creationId xmlns="" xmlns:a16="http://schemas.microsoft.com/office/drawing/2014/main" id="{00000000-0008-0000-0000-00001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42925"/>
              <a:ext cx="12763500" cy="38100"/>
            </a:xfrm>
            <a:prstGeom prst="rect">
              <a:avLst/>
            </a:prstGeom>
            <a:solidFill>
              <a:srgbClr val="007AC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2" name="Rectangle 17">
              <a:extLst>
                <a:ext uri="{FF2B5EF4-FFF2-40B4-BE49-F238E27FC236}">
                  <a16:creationId xmlns="" xmlns:a16="http://schemas.microsoft.com/office/drawing/2014/main" id="{00000000-0008-0000-0000-00001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495300"/>
              <a:ext cx="12763500" cy="9525"/>
            </a:xfrm>
            <a:prstGeom prst="rect">
              <a:avLst/>
            </a:prstGeom>
            <a:solidFill>
              <a:srgbClr val="007AC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3" name="Rectangle 18">
              <a:extLst>
                <a:ext uri="{FF2B5EF4-FFF2-40B4-BE49-F238E27FC236}">
                  <a16:creationId xmlns="" xmlns:a16="http://schemas.microsoft.com/office/drawing/2014/main" id="{00000000-0008-0000-0000-00001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28650"/>
              <a:ext cx="12763500" cy="19050"/>
            </a:xfrm>
            <a:prstGeom prst="rect">
              <a:avLst/>
            </a:prstGeom>
            <a:solidFill>
              <a:srgbClr val="007AC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4" name="Rectangle 19">
              <a:extLst>
                <a:ext uri="{FF2B5EF4-FFF2-40B4-BE49-F238E27FC236}">
                  <a16:creationId xmlns="" xmlns:a16="http://schemas.microsoft.com/office/drawing/2014/main" id="{00000000-0008-0000-0000-00001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57225"/>
              <a:ext cx="12763500" cy="9525"/>
            </a:xfrm>
            <a:prstGeom prst="rect">
              <a:avLst/>
            </a:prstGeom>
            <a:solidFill>
              <a:srgbClr val="0093D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5" name="Rectangle 20">
              <a:extLst>
                <a:ext uri="{FF2B5EF4-FFF2-40B4-BE49-F238E27FC236}">
                  <a16:creationId xmlns="" xmlns:a16="http://schemas.microsoft.com/office/drawing/2014/main" id="{00000000-0008-0000-0000-00001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04850"/>
              <a:ext cx="12763500" cy="2857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6" name="Rectangle 21">
              <a:extLst>
                <a:ext uri="{FF2B5EF4-FFF2-40B4-BE49-F238E27FC236}">
                  <a16:creationId xmlns="" xmlns:a16="http://schemas.microsoft.com/office/drawing/2014/main" id="{00000000-0008-0000-0000-00001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42950"/>
              <a:ext cx="12763500" cy="952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7" name="Rectangle 22">
              <a:extLst>
                <a:ext uri="{FF2B5EF4-FFF2-40B4-BE49-F238E27FC236}">
                  <a16:creationId xmlns="" xmlns:a16="http://schemas.microsoft.com/office/drawing/2014/main" id="{00000000-0008-0000-0000-00001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90575"/>
              <a:ext cx="12763500" cy="952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8" name="Rectangle 23">
              <a:extLst>
                <a:ext uri="{FF2B5EF4-FFF2-40B4-BE49-F238E27FC236}">
                  <a16:creationId xmlns="" xmlns:a16="http://schemas.microsoft.com/office/drawing/2014/main" id="{00000000-0008-0000-0000-00001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71525"/>
              <a:ext cx="12763500" cy="952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</xdr:grpSp>
      <xdr:sp macro="" textlink="">
        <xdr:nvSpPr>
          <xdr:cNvPr id="34" name="Freeform 24">
            <a:extLst>
              <a:ext uri="{FF2B5EF4-FFF2-40B4-BE49-F238E27FC236}">
                <a16:creationId xmlns="" xmlns:a16="http://schemas.microsoft.com/office/drawing/2014/main" id="{00000000-0008-0000-0000-000022000000}"/>
              </a:ext>
            </a:extLst>
          </xdr:cNvPr>
          <xdr:cNvSpPr>
            <a:spLocks noEditPoints="1"/>
          </xdr:cNvSpPr>
        </xdr:nvSpPr>
        <xdr:spPr bwMode="auto">
          <a:xfrm>
            <a:off x="6086475" y="104775"/>
            <a:ext cx="523875" cy="342900"/>
          </a:xfrm>
          <a:custGeom>
            <a:avLst/>
            <a:gdLst>
              <a:gd name="T0" fmla="*/ 40 w 162"/>
              <a:gd name="T1" fmla="*/ 72 h 105"/>
              <a:gd name="T2" fmla="*/ 55 w 162"/>
              <a:gd name="T3" fmla="*/ 94 h 105"/>
              <a:gd name="T4" fmla="*/ 55 w 162"/>
              <a:gd name="T5" fmla="*/ 94 h 105"/>
              <a:gd name="T6" fmla="*/ 67 w 162"/>
              <a:gd name="T7" fmla="*/ 72 h 105"/>
              <a:gd name="T8" fmla="*/ 63 w 162"/>
              <a:gd name="T9" fmla="*/ 101 h 105"/>
              <a:gd name="T10" fmla="*/ 40 w 162"/>
              <a:gd name="T11" fmla="*/ 105 h 105"/>
              <a:gd name="T12" fmla="*/ 78 w 162"/>
              <a:gd name="T13" fmla="*/ 80 h 105"/>
              <a:gd name="T14" fmla="*/ 107 w 162"/>
              <a:gd name="T15" fmla="*/ 80 h 105"/>
              <a:gd name="T16" fmla="*/ 84 w 162"/>
              <a:gd name="T17" fmla="*/ 105 h 105"/>
              <a:gd name="T18" fmla="*/ 126 w 162"/>
              <a:gd name="T19" fmla="*/ 82 h 105"/>
              <a:gd name="T20" fmla="*/ 122 w 162"/>
              <a:gd name="T21" fmla="*/ 72 h 105"/>
              <a:gd name="T22" fmla="*/ 129 w 162"/>
              <a:gd name="T23" fmla="*/ 105 h 105"/>
              <a:gd name="T24" fmla="*/ 116 w 162"/>
              <a:gd name="T25" fmla="*/ 105 h 105"/>
              <a:gd name="T26" fmla="*/ 112 w 162"/>
              <a:gd name="T27" fmla="*/ 34 h 105"/>
              <a:gd name="T28" fmla="*/ 130 w 162"/>
              <a:gd name="T29" fmla="*/ 65 h 105"/>
              <a:gd name="T30" fmla="*/ 111 w 162"/>
              <a:gd name="T31" fmla="*/ 57 h 105"/>
              <a:gd name="T32" fmla="*/ 115 w 162"/>
              <a:gd name="T33" fmla="*/ 50 h 105"/>
              <a:gd name="T34" fmla="*/ 155 w 162"/>
              <a:gd name="T35" fmla="*/ 42 h 105"/>
              <a:gd name="T36" fmla="*/ 155 w 162"/>
              <a:gd name="T37" fmla="*/ 40 h 105"/>
              <a:gd name="T38" fmla="*/ 50 w 162"/>
              <a:gd name="T39" fmla="*/ 34 h 105"/>
              <a:gd name="T40" fmla="*/ 33 w 162"/>
              <a:gd name="T41" fmla="*/ 65 h 105"/>
              <a:gd name="T42" fmla="*/ 52 w 162"/>
              <a:gd name="T43" fmla="*/ 57 h 105"/>
              <a:gd name="T44" fmla="*/ 48 w 162"/>
              <a:gd name="T45" fmla="*/ 50 h 105"/>
              <a:gd name="T46" fmla="*/ 8 w 162"/>
              <a:gd name="T47" fmla="*/ 42 h 105"/>
              <a:gd name="T48" fmla="*/ 7 w 162"/>
              <a:gd name="T49" fmla="*/ 40 h 105"/>
              <a:gd name="T50" fmla="*/ 71 w 162"/>
              <a:gd name="T51" fmla="*/ 10 h 105"/>
              <a:gd name="T52" fmla="*/ 56 w 162"/>
              <a:gd name="T53" fmla="*/ 24 h 105"/>
              <a:gd name="T54" fmla="*/ 63 w 162"/>
              <a:gd name="T55" fmla="*/ 7 h 105"/>
              <a:gd name="T56" fmla="*/ 80 w 162"/>
              <a:gd name="T57" fmla="*/ 24 h 105"/>
              <a:gd name="T58" fmla="*/ 80 w 162"/>
              <a:gd name="T59" fmla="*/ 14 h 105"/>
              <a:gd name="T60" fmla="*/ 84 w 162"/>
              <a:gd name="T61" fmla="*/ 0 h 105"/>
              <a:gd name="T62" fmla="*/ 95 w 162"/>
              <a:gd name="T63" fmla="*/ 24 h 105"/>
              <a:gd name="T64" fmla="*/ 107 w 162"/>
              <a:gd name="T65" fmla="*/ 24 h 105"/>
              <a:gd name="T66" fmla="*/ 93 w 162"/>
              <a:gd name="T67" fmla="*/ 24 h 105"/>
              <a:gd name="T68" fmla="*/ 65 w 162"/>
              <a:gd name="T69" fmla="*/ 45 h 105"/>
              <a:gd name="T70" fmla="*/ 65 w 162"/>
              <a:gd name="T71" fmla="*/ 45 h 105"/>
              <a:gd name="T72" fmla="*/ 70 w 162"/>
              <a:gd name="T73" fmla="*/ 39 h 105"/>
              <a:gd name="T74" fmla="*/ 80 w 162"/>
              <a:gd name="T75" fmla="*/ 37 h 105"/>
              <a:gd name="T76" fmla="*/ 72 w 162"/>
              <a:gd name="T77" fmla="*/ 39 h 105"/>
              <a:gd name="T78" fmla="*/ 91 w 162"/>
              <a:gd name="T79" fmla="*/ 41 h 105"/>
              <a:gd name="T80" fmla="*/ 107 w 162"/>
              <a:gd name="T81" fmla="*/ 26 h 105"/>
              <a:gd name="T82" fmla="*/ 99 w 162"/>
              <a:gd name="T83" fmla="*/ 44 h 105"/>
              <a:gd name="T84" fmla="*/ 82 w 162"/>
              <a:gd name="T85" fmla="*/ 26 h 105"/>
              <a:gd name="T86" fmla="*/ 82 w 162"/>
              <a:gd name="T87" fmla="*/ 37 h 105"/>
              <a:gd name="T88" fmla="*/ 80 w 162"/>
              <a:gd name="T89" fmla="*/ 12 h 105"/>
              <a:gd name="T90" fmla="*/ 90 w 162"/>
              <a:gd name="T91" fmla="*/ 11 h 105"/>
              <a:gd name="T92" fmla="*/ 80 w 162"/>
              <a:gd name="T93" fmla="*/ 50 h 105"/>
              <a:gd name="T94" fmla="*/ 80 w 162"/>
              <a:gd name="T95" fmla="*/ 50 h 105"/>
              <a:gd name="T96" fmla="*/ 82 w 162"/>
              <a:gd name="T97" fmla="*/ 39 h 10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162" h="105">
                <a:moveTo>
                  <a:pt x="23" y="105"/>
                </a:moveTo>
                <a:cubicBezTo>
                  <a:pt x="30" y="72"/>
                  <a:pt x="30" y="72"/>
                  <a:pt x="30" y="72"/>
                </a:cubicBezTo>
                <a:cubicBezTo>
                  <a:pt x="40" y="72"/>
                  <a:pt x="40" y="72"/>
                  <a:pt x="40" y="72"/>
                </a:cubicBezTo>
                <a:cubicBezTo>
                  <a:pt x="34" y="105"/>
                  <a:pt x="34" y="105"/>
                  <a:pt x="34" y="105"/>
                </a:cubicBezTo>
                <a:cubicBezTo>
                  <a:pt x="23" y="105"/>
                  <a:pt x="23" y="105"/>
                  <a:pt x="23" y="105"/>
                </a:cubicBezTo>
                <a:close/>
                <a:moveTo>
                  <a:pt x="55" y="94"/>
                </a:moveTo>
                <a:cubicBezTo>
                  <a:pt x="62" y="94"/>
                  <a:pt x="62" y="94"/>
                  <a:pt x="62" y="94"/>
                </a:cubicBezTo>
                <a:cubicBezTo>
                  <a:pt x="61" y="82"/>
                  <a:pt x="61" y="82"/>
                  <a:pt x="61" y="82"/>
                </a:cubicBezTo>
                <a:cubicBezTo>
                  <a:pt x="55" y="94"/>
                  <a:pt x="55" y="94"/>
                  <a:pt x="55" y="94"/>
                </a:cubicBezTo>
                <a:close/>
                <a:moveTo>
                  <a:pt x="40" y="105"/>
                </a:moveTo>
                <a:cubicBezTo>
                  <a:pt x="57" y="72"/>
                  <a:pt x="57" y="72"/>
                  <a:pt x="57" y="72"/>
                </a:cubicBezTo>
                <a:cubicBezTo>
                  <a:pt x="67" y="72"/>
                  <a:pt x="67" y="72"/>
                  <a:pt x="67" y="72"/>
                </a:cubicBezTo>
                <a:cubicBezTo>
                  <a:pt x="74" y="105"/>
                  <a:pt x="74" y="105"/>
                  <a:pt x="74" y="105"/>
                </a:cubicBezTo>
                <a:cubicBezTo>
                  <a:pt x="64" y="105"/>
                  <a:pt x="64" y="105"/>
                  <a:pt x="64" y="105"/>
                </a:cubicBezTo>
                <a:cubicBezTo>
                  <a:pt x="63" y="101"/>
                  <a:pt x="63" y="101"/>
                  <a:pt x="63" y="101"/>
                </a:cubicBezTo>
                <a:cubicBezTo>
                  <a:pt x="53" y="101"/>
                  <a:pt x="53" y="101"/>
                  <a:pt x="53" y="101"/>
                </a:cubicBezTo>
                <a:cubicBezTo>
                  <a:pt x="51" y="105"/>
                  <a:pt x="51" y="105"/>
                  <a:pt x="51" y="105"/>
                </a:cubicBezTo>
                <a:cubicBezTo>
                  <a:pt x="40" y="105"/>
                  <a:pt x="40" y="105"/>
                  <a:pt x="40" y="105"/>
                </a:cubicBezTo>
                <a:close/>
                <a:moveTo>
                  <a:pt x="84" y="105"/>
                </a:moveTo>
                <a:cubicBezTo>
                  <a:pt x="88" y="80"/>
                  <a:pt x="88" y="80"/>
                  <a:pt x="88" y="80"/>
                </a:cubicBezTo>
                <a:cubicBezTo>
                  <a:pt x="78" y="80"/>
                  <a:pt x="78" y="80"/>
                  <a:pt x="78" y="80"/>
                </a:cubicBezTo>
                <a:cubicBezTo>
                  <a:pt x="80" y="71"/>
                  <a:pt x="80" y="71"/>
                  <a:pt x="80" y="71"/>
                </a:cubicBezTo>
                <a:cubicBezTo>
                  <a:pt x="109" y="71"/>
                  <a:pt x="109" y="71"/>
                  <a:pt x="109" y="71"/>
                </a:cubicBezTo>
                <a:cubicBezTo>
                  <a:pt x="107" y="80"/>
                  <a:pt x="107" y="80"/>
                  <a:pt x="107" y="80"/>
                </a:cubicBezTo>
                <a:cubicBezTo>
                  <a:pt x="98" y="80"/>
                  <a:pt x="98" y="80"/>
                  <a:pt x="98" y="80"/>
                </a:cubicBezTo>
                <a:cubicBezTo>
                  <a:pt x="95" y="105"/>
                  <a:pt x="95" y="105"/>
                  <a:pt x="95" y="105"/>
                </a:cubicBezTo>
                <a:cubicBezTo>
                  <a:pt x="84" y="105"/>
                  <a:pt x="84" y="105"/>
                  <a:pt x="84" y="105"/>
                </a:cubicBezTo>
                <a:close/>
                <a:moveTo>
                  <a:pt x="120" y="94"/>
                </a:moveTo>
                <a:cubicBezTo>
                  <a:pt x="127" y="94"/>
                  <a:pt x="127" y="94"/>
                  <a:pt x="127" y="94"/>
                </a:cubicBezTo>
                <a:cubicBezTo>
                  <a:pt x="126" y="82"/>
                  <a:pt x="126" y="82"/>
                  <a:pt x="126" y="82"/>
                </a:cubicBezTo>
                <a:cubicBezTo>
                  <a:pt x="120" y="94"/>
                  <a:pt x="120" y="94"/>
                  <a:pt x="120" y="94"/>
                </a:cubicBezTo>
                <a:close/>
                <a:moveTo>
                  <a:pt x="105" y="105"/>
                </a:moveTo>
                <a:cubicBezTo>
                  <a:pt x="122" y="72"/>
                  <a:pt x="122" y="72"/>
                  <a:pt x="122" y="72"/>
                </a:cubicBezTo>
                <a:cubicBezTo>
                  <a:pt x="132" y="72"/>
                  <a:pt x="132" y="72"/>
                  <a:pt x="132" y="72"/>
                </a:cubicBezTo>
                <a:cubicBezTo>
                  <a:pt x="139" y="105"/>
                  <a:pt x="139" y="105"/>
                  <a:pt x="139" y="105"/>
                </a:cubicBezTo>
                <a:cubicBezTo>
                  <a:pt x="129" y="105"/>
                  <a:pt x="129" y="105"/>
                  <a:pt x="129" y="105"/>
                </a:cubicBezTo>
                <a:cubicBezTo>
                  <a:pt x="128" y="101"/>
                  <a:pt x="128" y="101"/>
                  <a:pt x="128" y="101"/>
                </a:cubicBezTo>
                <a:cubicBezTo>
                  <a:pt x="118" y="101"/>
                  <a:pt x="118" y="101"/>
                  <a:pt x="118" y="101"/>
                </a:cubicBezTo>
                <a:cubicBezTo>
                  <a:pt x="116" y="105"/>
                  <a:pt x="116" y="105"/>
                  <a:pt x="116" y="105"/>
                </a:cubicBezTo>
                <a:cubicBezTo>
                  <a:pt x="105" y="105"/>
                  <a:pt x="105" y="105"/>
                  <a:pt x="105" y="105"/>
                </a:cubicBezTo>
                <a:close/>
                <a:moveTo>
                  <a:pt x="162" y="34"/>
                </a:moveTo>
                <a:cubicBezTo>
                  <a:pt x="112" y="34"/>
                  <a:pt x="112" y="34"/>
                  <a:pt x="112" y="34"/>
                </a:cubicBezTo>
                <a:cubicBezTo>
                  <a:pt x="110" y="43"/>
                  <a:pt x="103" y="51"/>
                  <a:pt x="91" y="57"/>
                </a:cubicBezTo>
                <a:cubicBezTo>
                  <a:pt x="92" y="61"/>
                  <a:pt x="97" y="65"/>
                  <a:pt x="102" y="65"/>
                </a:cubicBezTo>
                <a:cubicBezTo>
                  <a:pt x="130" y="65"/>
                  <a:pt x="130" y="65"/>
                  <a:pt x="130" y="65"/>
                </a:cubicBezTo>
                <a:cubicBezTo>
                  <a:pt x="134" y="65"/>
                  <a:pt x="137" y="62"/>
                  <a:pt x="139" y="59"/>
                </a:cubicBezTo>
                <a:cubicBezTo>
                  <a:pt x="111" y="59"/>
                  <a:pt x="111" y="59"/>
                  <a:pt x="111" y="59"/>
                </a:cubicBezTo>
                <a:cubicBezTo>
                  <a:pt x="109" y="58"/>
                  <a:pt x="109" y="57"/>
                  <a:pt x="111" y="57"/>
                </a:cubicBezTo>
                <a:cubicBezTo>
                  <a:pt x="138" y="57"/>
                  <a:pt x="138" y="57"/>
                  <a:pt x="138" y="57"/>
                </a:cubicBezTo>
                <a:cubicBezTo>
                  <a:pt x="142" y="57"/>
                  <a:pt x="145" y="54"/>
                  <a:pt x="147" y="50"/>
                </a:cubicBezTo>
                <a:cubicBezTo>
                  <a:pt x="115" y="50"/>
                  <a:pt x="115" y="50"/>
                  <a:pt x="115" y="50"/>
                </a:cubicBezTo>
                <a:cubicBezTo>
                  <a:pt x="113" y="50"/>
                  <a:pt x="113" y="49"/>
                  <a:pt x="115" y="49"/>
                </a:cubicBezTo>
                <a:cubicBezTo>
                  <a:pt x="147" y="49"/>
                  <a:pt x="147" y="49"/>
                  <a:pt x="147" y="49"/>
                </a:cubicBezTo>
                <a:cubicBezTo>
                  <a:pt x="150" y="49"/>
                  <a:pt x="153" y="45"/>
                  <a:pt x="155" y="42"/>
                </a:cubicBezTo>
                <a:cubicBezTo>
                  <a:pt x="119" y="42"/>
                  <a:pt x="119" y="42"/>
                  <a:pt x="119" y="42"/>
                </a:cubicBezTo>
                <a:cubicBezTo>
                  <a:pt x="117" y="42"/>
                  <a:pt x="117" y="40"/>
                  <a:pt x="119" y="40"/>
                </a:cubicBezTo>
                <a:cubicBezTo>
                  <a:pt x="155" y="40"/>
                  <a:pt x="155" y="40"/>
                  <a:pt x="155" y="40"/>
                </a:cubicBezTo>
                <a:cubicBezTo>
                  <a:pt x="158" y="40"/>
                  <a:pt x="160" y="37"/>
                  <a:pt x="162" y="34"/>
                </a:cubicBezTo>
                <a:close/>
                <a:moveTo>
                  <a:pt x="0" y="34"/>
                </a:moveTo>
                <a:cubicBezTo>
                  <a:pt x="50" y="34"/>
                  <a:pt x="50" y="34"/>
                  <a:pt x="50" y="34"/>
                </a:cubicBezTo>
                <a:cubicBezTo>
                  <a:pt x="52" y="43"/>
                  <a:pt x="59" y="51"/>
                  <a:pt x="72" y="57"/>
                </a:cubicBezTo>
                <a:cubicBezTo>
                  <a:pt x="70" y="61"/>
                  <a:pt x="65" y="65"/>
                  <a:pt x="60" y="65"/>
                </a:cubicBezTo>
                <a:cubicBezTo>
                  <a:pt x="33" y="65"/>
                  <a:pt x="33" y="65"/>
                  <a:pt x="33" y="65"/>
                </a:cubicBezTo>
                <a:cubicBezTo>
                  <a:pt x="28" y="65"/>
                  <a:pt x="25" y="62"/>
                  <a:pt x="24" y="59"/>
                </a:cubicBezTo>
                <a:cubicBezTo>
                  <a:pt x="52" y="59"/>
                  <a:pt x="52" y="59"/>
                  <a:pt x="52" y="59"/>
                </a:cubicBezTo>
                <a:cubicBezTo>
                  <a:pt x="53" y="58"/>
                  <a:pt x="53" y="57"/>
                  <a:pt x="52" y="57"/>
                </a:cubicBezTo>
                <a:cubicBezTo>
                  <a:pt x="24" y="57"/>
                  <a:pt x="24" y="57"/>
                  <a:pt x="24" y="57"/>
                </a:cubicBezTo>
                <a:cubicBezTo>
                  <a:pt x="21" y="57"/>
                  <a:pt x="17" y="54"/>
                  <a:pt x="16" y="50"/>
                </a:cubicBezTo>
                <a:cubicBezTo>
                  <a:pt x="48" y="50"/>
                  <a:pt x="48" y="50"/>
                  <a:pt x="48" y="50"/>
                </a:cubicBezTo>
                <a:cubicBezTo>
                  <a:pt x="49" y="50"/>
                  <a:pt x="49" y="49"/>
                  <a:pt x="48" y="49"/>
                </a:cubicBezTo>
                <a:cubicBezTo>
                  <a:pt x="15" y="49"/>
                  <a:pt x="15" y="49"/>
                  <a:pt x="15" y="49"/>
                </a:cubicBezTo>
                <a:cubicBezTo>
                  <a:pt x="12" y="49"/>
                  <a:pt x="9" y="45"/>
                  <a:pt x="8" y="42"/>
                </a:cubicBezTo>
                <a:cubicBezTo>
                  <a:pt x="43" y="42"/>
                  <a:pt x="43" y="42"/>
                  <a:pt x="43" y="42"/>
                </a:cubicBezTo>
                <a:cubicBezTo>
                  <a:pt x="45" y="42"/>
                  <a:pt x="45" y="40"/>
                  <a:pt x="43" y="40"/>
                </a:cubicBezTo>
                <a:cubicBezTo>
                  <a:pt x="7" y="40"/>
                  <a:pt x="7" y="40"/>
                  <a:pt x="7" y="40"/>
                </a:cubicBezTo>
                <a:cubicBezTo>
                  <a:pt x="4" y="40"/>
                  <a:pt x="2" y="37"/>
                  <a:pt x="0" y="34"/>
                </a:cubicBezTo>
                <a:close/>
                <a:moveTo>
                  <a:pt x="65" y="6"/>
                </a:moveTo>
                <a:cubicBezTo>
                  <a:pt x="66" y="8"/>
                  <a:pt x="69" y="9"/>
                  <a:pt x="71" y="10"/>
                </a:cubicBezTo>
                <a:cubicBezTo>
                  <a:pt x="73" y="6"/>
                  <a:pt x="75" y="3"/>
                  <a:pt x="79" y="0"/>
                </a:cubicBezTo>
                <a:cubicBezTo>
                  <a:pt x="73" y="1"/>
                  <a:pt x="69" y="3"/>
                  <a:pt x="65" y="6"/>
                </a:cubicBezTo>
                <a:close/>
                <a:moveTo>
                  <a:pt x="56" y="24"/>
                </a:moveTo>
                <a:cubicBezTo>
                  <a:pt x="67" y="24"/>
                  <a:pt x="67" y="24"/>
                  <a:pt x="67" y="24"/>
                </a:cubicBezTo>
                <a:cubicBezTo>
                  <a:pt x="67" y="20"/>
                  <a:pt x="68" y="16"/>
                  <a:pt x="70" y="12"/>
                </a:cubicBezTo>
                <a:cubicBezTo>
                  <a:pt x="67" y="10"/>
                  <a:pt x="65" y="9"/>
                  <a:pt x="63" y="7"/>
                </a:cubicBezTo>
                <a:cubicBezTo>
                  <a:pt x="58" y="12"/>
                  <a:pt x="56" y="18"/>
                  <a:pt x="56" y="24"/>
                </a:cubicBezTo>
                <a:close/>
                <a:moveTo>
                  <a:pt x="80" y="14"/>
                </a:moveTo>
                <a:cubicBezTo>
                  <a:pt x="80" y="24"/>
                  <a:pt x="80" y="24"/>
                  <a:pt x="80" y="24"/>
                </a:cubicBezTo>
                <a:cubicBezTo>
                  <a:pt x="69" y="24"/>
                  <a:pt x="69" y="24"/>
                  <a:pt x="69" y="24"/>
                </a:cubicBezTo>
                <a:cubicBezTo>
                  <a:pt x="69" y="20"/>
                  <a:pt x="70" y="16"/>
                  <a:pt x="72" y="12"/>
                </a:cubicBezTo>
                <a:cubicBezTo>
                  <a:pt x="74" y="13"/>
                  <a:pt x="77" y="14"/>
                  <a:pt x="80" y="14"/>
                </a:cubicBezTo>
                <a:close/>
                <a:moveTo>
                  <a:pt x="98" y="6"/>
                </a:moveTo>
                <a:cubicBezTo>
                  <a:pt x="96" y="8"/>
                  <a:pt x="94" y="9"/>
                  <a:pt x="91" y="10"/>
                </a:cubicBezTo>
                <a:cubicBezTo>
                  <a:pt x="89" y="6"/>
                  <a:pt x="87" y="3"/>
                  <a:pt x="84" y="0"/>
                </a:cubicBezTo>
                <a:cubicBezTo>
                  <a:pt x="89" y="1"/>
                  <a:pt x="94" y="3"/>
                  <a:pt x="98" y="6"/>
                </a:cubicBezTo>
                <a:close/>
                <a:moveTo>
                  <a:pt x="107" y="24"/>
                </a:moveTo>
                <a:cubicBezTo>
                  <a:pt x="95" y="24"/>
                  <a:pt x="95" y="24"/>
                  <a:pt x="95" y="24"/>
                </a:cubicBezTo>
                <a:cubicBezTo>
                  <a:pt x="95" y="20"/>
                  <a:pt x="94" y="16"/>
                  <a:pt x="92" y="12"/>
                </a:cubicBezTo>
                <a:cubicBezTo>
                  <a:pt x="95" y="10"/>
                  <a:pt x="97" y="9"/>
                  <a:pt x="99" y="7"/>
                </a:cubicBezTo>
                <a:cubicBezTo>
                  <a:pt x="104" y="12"/>
                  <a:pt x="106" y="18"/>
                  <a:pt x="107" y="24"/>
                </a:cubicBezTo>
                <a:close/>
                <a:moveTo>
                  <a:pt x="82" y="14"/>
                </a:moveTo>
                <a:cubicBezTo>
                  <a:pt x="82" y="24"/>
                  <a:pt x="82" y="24"/>
                  <a:pt x="82" y="24"/>
                </a:cubicBezTo>
                <a:cubicBezTo>
                  <a:pt x="93" y="24"/>
                  <a:pt x="93" y="24"/>
                  <a:pt x="93" y="24"/>
                </a:cubicBezTo>
                <a:cubicBezTo>
                  <a:pt x="93" y="20"/>
                  <a:pt x="92" y="16"/>
                  <a:pt x="91" y="12"/>
                </a:cubicBezTo>
                <a:cubicBezTo>
                  <a:pt x="88" y="13"/>
                  <a:pt x="85" y="14"/>
                  <a:pt x="82" y="14"/>
                </a:cubicBezTo>
                <a:close/>
                <a:moveTo>
                  <a:pt x="65" y="45"/>
                </a:moveTo>
                <a:cubicBezTo>
                  <a:pt x="66" y="43"/>
                  <a:pt x="69" y="42"/>
                  <a:pt x="71" y="41"/>
                </a:cubicBezTo>
                <a:cubicBezTo>
                  <a:pt x="73" y="45"/>
                  <a:pt x="75" y="48"/>
                  <a:pt x="79" y="51"/>
                </a:cubicBezTo>
                <a:cubicBezTo>
                  <a:pt x="73" y="50"/>
                  <a:pt x="69" y="48"/>
                  <a:pt x="65" y="45"/>
                </a:cubicBezTo>
                <a:close/>
                <a:moveTo>
                  <a:pt x="56" y="26"/>
                </a:moveTo>
                <a:cubicBezTo>
                  <a:pt x="67" y="26"/>
                  <a:pt x="67" y="26"/>
                  <a:pt x="67" y="26"/>
                </a:cubicBezTo>
                <a:cubicBezTo>
                  <a:pt x="67" y="31"/>
                  <a:pt x="68" y="35"/>
                  <a:pt x="70" y="39"/>
                </a:cubicBezTo>
                <a:cubicBezTo>
                  <a:pt x="67" y="41"/>
                  <a:pt x="65" y="42"/>
                  <a:pt x="63" y="44"/>
                </a:cubicBezTo>
                <a:cubicBezTo>
                  <a:pt x="59" y="39"/>
                  <a:pt x="56" y="33"/>
                  <a:pt x="56" y="26"/>
                </a:cubicBezTo>
                <a:close/>
                <a:moveTo>
                  <a:pt x="80" y="37"/>
                </a:moveTo>
                <a:cubicBezTo>
                  <a:pt x="80" y="26"/>
                  <a:pt x="80" y="26"/>
                  <a:pt x="80" y="26"/>
                </a:cubicBezTo>
                <a:cubicBezTo>
                  <a:pt x="69" y="26"/>
                  <a:pt x="69" y="26"/>
                  <a:pt x="69" y="26"/>
                </a:cubicBezTo>
                <a:cubicBezTo>
                  <a:pt x="69" y="31"/>
                  <a:pt x="70" y="35"/>
                  <a:pt x="72" y="39"/>
                </a:cubicBezTo>
                <a:cubicBezTo>
                  <a:pt x="74" y="38"/>
                  <a:pt x="77" y="37"/>
                  <a:pt x="80" y="37"/>
                </a:cubicBezTo>
                <a:close/>
                <a:moveTo>
                  <a:pt x="98" y="45"/>
                </a:moveTo>
                <a:cubicBezTo>
                  <a:pt x="96" y="43"/>
                  <a:pt x="94" y="42"/>
                  <a:pt x="91" y="41"/>
                </a:cubicBezTo>
                <a:cubicBezTo>
                  <a:pt x="89" y="45"/>
                  <a:pt x="87" y="48"/>
                  <a:pt x="84" y="51"/>
                </a:cubicBezTo>
                <a:cubicBezTo>
                  <a:pt x="89" y="50"/>
                  <a:pt x="94" y="48"/>
                  <a:pt x="98" y="45"/>
                </a:cubicBezTo>
                <a:close/>
                <a:moveTo>
                  <a:pt x="107" y="26"/>
                </a:moveTo>
                <a:cubicBezTo>
                  <a:pt x="95" y="26"/>
                  <a:pt x="95" y="26"/>
                  <a:pt x="95" y="26"/>
                </a:cubicBezTo>
                <a:cubicBezTo>
                  <a:pt x="95" y="31"/>
                  <a:pt x="94" y="35"/>
                  <a:pt x="92" y="39"/>
                </a:cubicBezTo>
                <a:cubicBezTo>
                  <a:pt x="95" y="41"/>
                  <a:pt x="97" y="42"/>
                  <a:pt x="99" y="44"/>
                </a:cubicBezTo>
                <a:cubicBezTo>
                  <a:pt x="104" y="39"/>
                  <a:pt x="106" y="33"/>
                  <a:pt x="107" y="26"/>
                </a:cubicBezTo>
                <a:close/>
                <a:moveTo>
                  <a:pt x="82" y="37"/>
                </a:moveTo>
                <a:cubicBezTo>
                  <a:pt x="82" y="26"/>
                  <a:pt x="82" y="26"/>
                  <a:pt x="82" y="26"/>
                </a:cubicBezTo>
                <a:cubicBezTo>
                  <a:pt x="93" y="26"/>
                  <a:pt x="93" y="26"/>
                  <a:pt x="93" y="26"/>
                </a:cubicBezTo>
                <a:cubicBezTo>
                  <a:pt x="93" y="31"/>
                  <a:pt x="92" y="35"/>
                  <a:pt x="91" y="39"/>
                </a:cubicBezTo>
                <a:cubicBezTo>
                  <a:pt x="88" y="38"/>
                  <a:pt x="85" y="37"/>
                  <a:pt x="82" y="37"/>
                </a:cubicBezTo>
                <a:close/>
                <a:moveTo>
                  <a:pt x="80" y="1"/>
                </a:moveTo>
                <a:cubicBezTo>
                  <a:pt x="77" y="4"/>
                  <a:pt x="74" y="7"/>
                  <a:pt x="73" y="11"/>
                </a:cubicBezTo>
                <a:cubicBezTo>
                  <a:pt x="75" y="11"/>
                  <a:pt x="78" y="12"/>
                  <a:pt x="80" y="12"/>
                </a:cubicBezTo>
                <a:cubicBezTo>
                  <a:pt x="80" y="1"/>
                  <a:pt x="80" y="1"/>
                  <a:pt x="80" y="1"/>
                </a:cubicBezTo>
                <a:close/>
                <a:moveTo>
                  <a:pt x="82" y="1"/>
                </a:moveTo>
                <a:cubicBezTo>
                  <a:pt x="85" y="4"/>
                  <a:pt x="88" y="7"/>
                  <a:pt x="90" y="11"/>
                </a:cubicBezTo>
                <a:cubicBezTo>
                  <a:pt x="87" y="11"/>
                  <a:pt x="85" y="12"/>
                  <a:pt x="82" y="12"/>
                </a:cubicBezTo>
                <a:cubicBezTo>
                  <a:pt x="82" y="1"/>
                  <a:pt x="82" y="1"/>
                  <a:pt x="82" y="1"/>
                </a:cubicBezTo>
                <a:close/>
                <a:moveTo>
                  <a:pt x="80" y="50"/>
                </a:moveTo>
                <a:cubicBezTo>
                  <a:pt x="77" y="47"/>
                  <a:pt x="74" y="44"/>
                  <a:pt x="73" y="40"/>
                </a:cubicBezTo>
                <a:cubicBezTo>
                  <a:pt x="75" y="39"/>
                  <a:pt x="78" y="39"/>
                  <a:pt x="80" y="39"/>
                </a:cubicBezTo>
                <a:cubicBezTo>
                  <a:pt x="80" y="50"/>
                  <a:pt x="80" y="50"/>
                  <a:pt x="80" y="50"/>
                </a:cubicBezTo>
                <a:close/>
                <a:moveTo>
                  <a:pt x="82" y="50"/>
                </a:moveTo>
                <a:cubicBezTo>
                  <a:pt x="85" y="47"/>
                  <a:pt x="88" y="44"/>
                  <a:pt x="90" y="40"/>
                </a:cubicBezTo>
                <a:cubicBezTo>
                  <a:pt x="87" y="39"/>
                  <a:pt x="85" y="39"/>
                  <a:pt x="82" y="39"/>
                </a:cubicBezTo>
                <a:cubicBezTo>
                  <a:pt x="82" y="50"/>
                  <a:pt x="82" y="50"/>
                  <a:pt x="82" y="50"/>
                </a:cubicBez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xdr:twoCellAnchor editAs="absolute">
    <xdr:from>
      <xdr:col>8</xdr:col>
      <xdr:colOff>114301</xdr:colOff>
      <xdr:row>13</xdr:row>
      <xdr:rowOff>95250</xdr:rowOff>
    </xdr:from>
    <xdr:to>
      <xdr:col>9</xdr:col>
      <xdr:colOff>526576</xdr:colOff>
      <xdr:row>15</xdr:row>
      <xdr:rowOff>74250</xdr:rowOff>
    </xdr:to>
    <xdr:sp macro="[0]!OpenDefaultChart" textlink="">
      <xdr:nvSpPr>
        <xdr:cNvPr id="35" name="Rounded Rectangle 34">
          <a:extLst>
            <a:ext uri="{FF2B5EF4-FFF2-40B4-BE49-F238E27FC236}">
              <a16:creationId xmlns="" xmlns:a16="http://schemas.microsoft.com/office/drawing/2014/main" id="{00000000-0008-0000-0000-000023000000}"/>
            </a:ext>
          </a:extLst>
        </xdr:cNvPr>
        <xdr:cNvSpPr/>
      </xdr:nvSpPr>
      <xdr:spPr>
        <a:xfrm>
          <a:off x="6896101" y="2571750"/>
          <a:ext cx="1260000" cy="360000"/>
        </a:xfrm>
        <a:prstGeom prst="roundRect">
          <a:avLst/>
        </a:prstGeom>
        <a:solidFill>
          <a:srgbClr val="0A427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Dashboard</a:t>
          </a:r>
          <a:endParaRPr lang="en-US" sz="1600"/>
        </a:p>
      </xdr:txBody>
    </xdr:sp>
    <xdr:clientData/>
  </xdr:twoCellAnchor>
  <xdr:twoCellAnchor>
    <xdr:from>
      <xdr:col>3</xdr:col>
      <xdr:colOff>257175</xdr:colOff>
      <xdr:row>8</xdr:row>
      <xdr:rowOff>19050</xdr:rowOff>
    </xdr:from>
    <xdr:to>
      <xdr:col>11</xdr:col>
      <xdr:colOff>534866</xdr:colOff>
      <xdr:row>10</xdr:row>
      <xdr:rowOff>19050</xdr:rowOff>
    </xdr:to>
    <xdr:sp macro="" textlink="">
      <xdr:nvSpPr>
        <xdr:cNvPr id="29" name="TextBox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2800350" y="1543050"/>
          <a:ext cx="7059491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100">
              <a:ln>
                <a:noFill/>
              </a:ln>
              <a:solidFill>
                <a:srgbClr val="038FD7"/>
              </a:solidFill>
              <a:latin typeface="Arial" panose="020B0604020202020204" pitchFamily="34" charset="0"/>
              <a:cs typeface="Arial" panose="020B0604020202020204" pitchFamily="34" charset="0"/>
            </a:rPr>
            <a:t>IGOM - Gap Analysis</a:t>
          </a:r>
          <a:r>
            <a:rPr lang="en-US" sz="2100" baseline="0">
              <a:ln>
                <a:noFill/>
              </a:ln>
              <a:solidFill>
                <a:srgbClr val="038FD7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2100">
              <a:ln>
                <a:noFill/>
              </a:ln>
              <a:solidFill>
                <a:srgbClr val="038FD7"/>
              </a:solidFill>
              <a:latin typeface="Arial" panose="020B0604020202020204" pitchFamily="34" charset="0"/>
              <a:cs typeface="Arial" panose="020B0604020202020204" pitchFamily="34" charset="0"/>
            </a:rPr>
            <a:t>Checklist</a:t>
          </a:r>
        </a:p>
      </xdr:txBody>
    </xdr:sp>
    <xdr:clientData/>
  </xdr:twoCellAnchor>
  <xdr:twoCellAnchor editAs="absolute">
    <xdr:from>
      <xdr:col>5</xdr:col>
      <xdr:colOff>219075</xdr:colOff>
      <xdr:row>13</xdr:row>
      <xdr:rowOff>104775</xdr:rowOff>
    </xdr:from>
    <xdr:to>
      <xdr:col>6</xdr:col>
      <xdr:colOff>647700</xdr:colOff>
      <xdr:row>15</xdr:row>
      <xdr:rowOff>83775</xdr:rowOff>
    </xdr:to>
    <xdr:sp macro="[0]!OpenSpreadsheet" textlink="">
      <xdr:nvSpPr>
        <xdr:cNvPr id="30" name="Rounded Rectangle 34">
          <a:extLst>
            <a:ext uri="{FF2B5EF4-FFF2-40B4-BE49-F238E27FC236}">
              <a16:creationId xmlns="" xmlns:a16="http://schemas.microsoft.com/office/drawing/2014/main" id="{D745349F-BE40-42EE-8E33-D73B9B3ADC61}"/>
            </a:ext>
          </a:extLst>
        </xdr:cNvPr>
        <xdr:cNvSpPr/>
      </xdr:nvSpPr>
      <xdr:spPr>
        <a:xfrm>
          <a:off x="4457700" y="2581275"/>
          <a:ext cx="1276350" cy="360000"/>
        </a:xfrm>
        <a:prstGeom prst="roundRect">
          <a:avLst/>
        </a:prstGeom>
        <a:solidFill>
          <a:srgbClr val="0A427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Gap</a:t>
          </a:r>
          <a:r>
            <a:rPr lang="en-US" sz="1600" baseline="0"/>
            <a:t> Analysis</a:t>
          </a:r>
          <a:endParaRPr lang="en-US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772583</xdr:colOff>
      <xdr:row>9</xdr:row>
      <xdr:rowOff>198143</xdr:rowOff>
    </xdr:from>
    <xdr:to>
      <xdr:col>9</xdr:col>
      <xdr:colOff>772583</xdr:colOff>
      <xdr:row>10</xdr:row>
      <xdr:rowOff>147970</xdr:rowOff>
    </xdr:to>
    <xdr:cxnSp macro="">
      <xdr:nvCxnSpPr>
        <xdr:cNvPr id="103" name="Straight Connector 102">
          <a:extLst>
            <a:ext uri="{FF2B5EF4-FFF2-40B4-BE49-F238E27FC236}">
              <a16:creationId xmlns="" xmlns:a16="http://schemas.microsoft.com/office/drawing/2014/main" id="{00000000-0008-0000-0100-000067000000}"/>
            </a:ext>
          </a:extLst>
        </xdr:cNvPr>
        <xdr:cNvCxnSpPr/>
      </xdr:nvCxnSpPr>
      <xdr:spPr>
        <a:xfrm>
          <a:off x="8525933" y="2226968"/>
          <a:ext cx="0" cy="149852"/>
        </a:xfrm>
        <a:prstGeom prst="line">
          <a:avLst/>
        </a:prstGeom>
        <a:ln w="12700" cap="rnd">
          <a:solidFill>
            <a:srgbClr val="0A4279"/>
          </a:solidFill>
          <a:bevel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3227476</xdr:colOff>
      <xdr:row>3</xdr:row>
      <xdr:rowOff>63941</xdr:rowOff>
    </xdr:from>
    <xdr:to>
      <xdr:col>8</xdr:col>
      <xdr:colOff>3227476</xdr:colOff>
      <xdr:row>6</xdr:row>
      <xdr:rowOff>253544</xdr:rowOff>
    </xdr:to>
    <xdr:cxnSp macro="">
      <xdr:nvCxnSpPr>
        <xdr:cNvPr id="87" name="Straight Connector 86">
          <a:extLst>
            <a:ext uri="{FF2B5EF4-FFF2-40B4-BE49-F238E27FC236}">
              <a16:creationId xmlns="" xmlns:a16="http://schemas.microsoft.com/office/drawing/2014/main" id="{00000000-0008-0000-0100-000057000000}"/>
            </a:ext>
          </a:extLst>
        </xdr:cNvPr>
        <xdr:cNvCxnSpPr/>
      </xdr:nvCxnSpPr>
      <xdr:spPr>
        <a:xfrm>
          <a:off x="6174623" y="893176"/>
          <a:ext cx="0" cy="1097280"/>
        </a:xfrm>
        <a:prstGeom prst="line">
          <a:avLst/>
        </a:prstGeom>
        <a:ln w="12700" cap="rnd">
          <a:solidFill>
            <a:srgbClr val="0A4279"/>
          </a:solidFill>
          <a:bevel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458810</xdr:colOff>
      <xdr:row>0</xdr:row>
      <xdr:rowOff>424143</xdr:rowOff>
    </xdr:from>
    <xdr:to>
      <xdr:col>8</xdr:col>
      <xdr:colOff>3227294</xdr:colOff>
      <xdr:row>3</xdr:row>
      <xdr:rowOff>33820</xdr:rowOff>
    </xdr:to>
    <xdr:sp macro="" textlink="">
      <xdr:nvSpPr>
        <xdr:cNvPr id="105" name="TextBox 104">
          <a:extLst>
            <a:ext uri="{FF2B5EF4-FFF2-40B4-BE49-F238E27FC236}">
              <a16:creationId xmlns="" xmlns:a16="http://schemas.microsoft.com/office/drawing/2014/main" id="{00000000-0008-0000-0100-000069000000}"/>
            </a:ext>
          </a:extLst>
        </xdr:cNvPr>
        <xdr:cNvSpPr txBox="1"/>
      </xdr:nvSpPr>
      <xdr:spPr>
        <a:xfrm>
          <a:off x="3405957" y="424143"/>
          <a:ext cx="2768484" cy="438912"/>
        </a:xfrm>
        <a:prstGeom prst="rect">
          <a:avLst/>
        </a:prstGeom>
        <a:solidFill>
          <a:srgbClr val="0A4279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Aircraft General Safety / Servicing Operations</a:t>
          </a:r>
          <a:endParaRPr lang="en-US" sz="11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7</xdr:col>
      <xdr:colOff>2147174</xdr:colOff>
      <xdr:row>0</xdr:row>
      <xdr:rowOff>424143</xdr:rowOff>
    </xdr:from>
    <xdr:to>
      <xdr:col>8</xdr:col>
      <xdr:colOff>427651</xdr:colOff>
      <xdr:row>3</xdr:row>
      <xdr:rowOff>33820</xdr:rowOff>
    </xdr:to>
    <xdr:sp macro="" textlink="">
      <xdr:nvSpPr>
        <xdr:cNvPr id="106" name="TextBox 105">
          <a:extLst>
            <a:ext uri="{FF2B5EF4-FFF2-40B4-BE49-F238E27FC236}">
              <a16:creationId xmlns="" xmlns:a16="http://schemas.microsoft.com/office/drawing/2014/main" id="{00000000-0008-0000-0100-00006A000000}"/>
            </a:ext>
          </a:extLst>
        </xdr:cNvPr>
        <xdr:cNvSpPr txBox="1"/>
      </xdr:nvSpPr>
      <xdr:spPr>
        <a:xfrm>
          <a:off x="2147174" y="424143"/>
          <a:ext cx="1227624" cy="438912"/>
        </a:xfrm>
        <a:prstGeom prst="rect">
          <a:avLst/>
        </a:prstGeom>
        <a:solidFill>
          <a:srgbClr val="0A4279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Baggage Handling Procedures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424143</xdr:rowOff>
    </xdr:from>
    <xdr:to>
      <xdr:col>7</xdr:col>
      <xdr:colOff>2116015</xdr:colOff>
      <xdr:row>3</xdr:row>
      <xdr:rowOff>33820</xdr:rowOff>
    </xdr:to>
    <xdr:sp macro="" textlink="">
      <xdr:nvSpPr>
        <xdr:cNvPr id="107" name="TextBox 106">
          <a:extLst>
            <a:ext uri="{FF2B5EF4-FFF2-40B4-BE49-F238E27FC236}">
              <a16:creationId xmlns="" xmlns:a16="http://schemas.microsoft.com/office/drawing/2014/main" id="{00000000-0008-0000-0100-00006B000000}"/>
            </a:ext>
          </a:extLst>
        </xdr:cNvPr>
        <xdr:cNvSpPr txBox="1">
          <a:spLocks noChangeAspect="1"/>
        </xdr:cNvSpPr>
      </xdr:nvSpPr>
      <xdr:spPr>
        <a:xfrm>
          <a:off x="0" y="424143"/>
          <a:ext cx="2116015" cy="438912"/>
        </a:xfrm>
        <a:prstGeom prst="rect">
          <a:avLst/>
        </a:prstGeom>
        <a:solidFill>
          <a:srgbClr val="0A4279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Passenger Handling Procedures</a:t>
          </a:r>
          <a:endParaRPr lang="en-US" sz="11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8</xdr:col>
      <xdr:colOff>3249705</xdr:colOff>
      <xdr:row>0</xdr:row>
      <xdr:rowOff>424143</xdr:rowOff>
    </xdr:from>
    <xdr:to>
      <xdr:col>10</xdr:col>
      <xdr:colOff>560293</xdr:colOff>
      <xdr:row>3</xdr:row>
      <xdr:rowOff>33820</xdr:rowOff>
    </xdr:to>
    <xdr:sp macro="" textlink="">
      <xdr:nvSpPr>
        <xdr:cNvPr id="104" name="TextBox 103">
          <a:extLst>
            <a:ext uri="{FF2B5EF4-FFF2-40B4-BE49-F238E27FC236}">
              <a16:creationId xmlns="" xmlns:a16="http://schemas.microsoft.com/office/drawing/2014/main" id="{00000000-0008-0000-0100-000068000000}"/>
            </a:ext>
          </a:extLst>
        </xdr:cNvPr>
        <xdr:cNvSpPr txBox="1"/>
      </xdr:nvSpPr>
      <xdr:spPr>
        <a:xfrm>
          <a:off x="6196852" y="424143"/>
          <a:ext cx="2375647" cy="438912"/>
        </a:xfrm>
        <a:prstGeom prst="rect">
          <a:avLst/>
        </a:prstGeom>
        <a:solidFill>
          <a:srgbClr val="0A4279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>
              <a:solidFill>
                <a:schemeClr val="bg1"/>
              </a:solidFill>
              <a:latin typeface="+mn-lt"/>
              <a:ea typeface="+mn-ea"/>
              <a:cs typeface="+mn-cs"/>
            </a:rPr>
            <a:t>Aircraft Turn Around</a:t>
          </a:r>
        </a:p>
      </xdr:txBody>
    </xdr:sp>
    <xdr:clientData/>
  </xdr:twoCellAnchor>
  <xdr:twoCellAnchor editAs="absolute">
    <xdr:from>
      <xdr:col>0</xdr:col>
      <xdr:colOff>0</xdr:colOff>
      <xdr:row>3</xdr:row>
      <xdr:rowOff>98611</xdr:rowOff>
    </xdr:from>
    <xdr:to>
      <xdr:col>7</xdr:col>
      <xdr:colOff>2087440</xdr:colOff>
      <xdr:row>3</xdr:row>
      <xdr:rowOff>246452</xdr:rowOff>
    </xdr:to>
    <xdr:sp macro="[0]!PassengerDeparture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 txBox="1">
          <a:spLocks noChangeAspect="1"/>
        </xdr:cNvSpPr>
      </xdr:nvSpPr>
      <xdr:spPr>
        <a:xfrm>
          <a:off x="0" y="927846"/>
          <a:ext cx="2087440" cy="1478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r>
            <a:rPr lang="en-US" sz="1000">
              <a:solidFill>
                <a:srgbClr val="4EA9E3"/>
              </a:solidFill>
            </a:rPr>
            <a:t>  Passenger Departure</a:t>
          </a:r>
        </a:p>
      </xdr:txBody>
    </xdr:sp>
    <xdr:clientData/>
  </xdr:twoCellAnchor>
  <xdr:twoCellAnchor editAs="absolute">
    <xdr:from>
      <xdr:col>0</xdr:col>
      <xdr:colOff>0</xdr:colOff>
      <xdr:row>3</xdr:row>
      <xdr:rowOff>293176</xdr:rowOff>
    </xdr:from>
    <xdr:to>
      <xdr:col>7</xdr:col>
      <xdr:colOff>2087440</xdr:colOff>
      <xdr:row>4</xdr:row>
      <xdr:rowOff>138458</xdr:rowOff>
    </xdr:to>
    <xdr:sp macro="[0]!PassengerSecurity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 txBox="1">
          <a:spLocks noChangeAspect="1"/>
        </xdr:cNvSpPr>
      </xdr:nvSpPr>
      <xdr:spPr>
        <a:xfrm>
          <a:off x="0" y="1122411"/>
          <a:ext cx="2087440" cy="1478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r>
            <a:rPr lang="en-US" sz="1000">
              <a:solidFill>
                <a:srgbClr val="4EA9E3"/>
              </a:solidFill>
            </a:rPr>
            <a:t>  Passenger Security</a:t>
          </a:r>
        </a:p>
      </xdr:txBody>
    </xdr:sp>
    <xdr:clientData/>
  </xdr:twoCellAnchor>
  <xdr:twoCellAnchor editAs="absolute">
    <xdr:from>
      <xdr:col>0</xdr:col>
      <xdr:colOff>0</xdr:colOff>
      <xdr:row>4</xdr:row>
      <xdr:rowOff>185182</xdr:rowOff>
    </xdr:from>
    <xdr:to>
      <xdr:col>7</xdr:col>
      <xdr:colOff>2148840</xdr:colOff>
      <xdr:row>5</xdr:row>
      <xdr:rowOff>34813</xdr:rowOff>
    </xdr:to>
    <xdr:sp macro="[0]!PassengerArrivaTransferAndTravel" textlink="">
      <xdr:nvSpPr>
        <xdr:cNvPr id="7" name="TextBox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 txBox="1">
          <a:spLocks noChangeAspect="1"/>
        </xdr:cNvSpPr>
      </xdr:nvSpPr>
      <xdr:spPr>
        <a:xfrm>
          <a:off x="0" y="1316976"/>
          <a:ext cx="2148840" cy="1521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r>
            <a:rPr lang="en-US" sz="1000">
              <a:solidFill>
                <a:srgbClr val="4EA9E3"/>
              </a:solidFill>
            </a:rPr>
            <a:t>  Passenger Arrival, Transfer and Transit</a:t>
          </a:r>
        </a:p>
      </xdr:txBody>
    </xdr:sp>
    <xdr:clientData/>
  </xdr:twoCellAnchor>
  <xdr:twoCellAnchor editAs="absolute">
    <xdr:from>
      <xdr:col>0</xdr:col>
      <xdr:colOff>0</xdr:colOff>
      <xdr:row>5</xdr:row>
      <xdr:rowOff>77188</xdr:rowOff>
    </xdr:from>
    <xdr:to>
      <xdr:col>7</xdr:col>
      <xdr:colOff>2087440</xdr:colOff>
      <xdr:row>5</xdr:row>
      <xdr:rowOff>225029</xdr:rowOff>
    </xdr:to>
    <xdr:sp macro="[0]!SpecialCategoriesOfPassengers" textlink="">
      <xdr:nvSpPr>
        <xdr:cNvPr id="8" name="TextBox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 txBox="1">
          <a:spLocks noChangeAspect="1"/>
        </xdr:cNvSpPr>
      </xdr:nvSpPr>
      <xdr:spPr>
        <a:xfrm>
          <a:off x="0" y="1511541"/>
          <a:ext cx="2087440" cy="1478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r>
            <a:rPr lang="en-US" sz="1000">
              <a:solidFill>
                <a:srgbClr val="4EA9E3"/>
              </a:solidFill>
            </a:rPr>
            <a:t>  Special  Categories of Passengers</a:t>
          </a:r>
        </a:p>
      </xdr:txBody>
    </xdr:sp>
    <xdr:clientData/>
  </xdr:twoCellAnchor>
  <xdr:twoCellAnchor editAs="absolute">
    <xdr:from>
      <xdr:col>7</xdr:col>
      <xdr:colOff>2135467</xdr:colOff>
      <xdr:row>5</xdr:row>
      <xdr:rowOff>244674</xdr:rowOff>
    </xdr:from>
    <xdr:to>
      <xdr:col>8</xdr:col>
      <xdr:colOff>285600</xdr:colOff>
      <xdr:row>6</xdr:row>
      <xdr:rowOff>86115</xdr:rowOff>
    </xdr:to>
    <xdr:sp macro="[0]!BaggageSecurity" textlink="">
      <xdr:nvSpPr>
        <xdr:cNvPr id="14" name="TextBox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2135467" y="1679027"/>
          <a:ext cx="109728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  Baggage Security</a:t>
          </a:r>
        </a:p>
      </xdr:txBody>
    </xdr:sp>
    <xdr:clientData/>
  </xdr:twoCellAnchor>
  <xdr:twoCellAnchor editAs="absolute">
    <xdr:from>
      <xdr:col>7</xdr:col>
      <xdr:colOff>2135467</xdr:colOff>
      <xdr:row>6</xdr:row>
      <xdr:rowOff>139651</xdr:rowOff>
    </xdr:from>
    <xdr:to>
      <xdr:col>8</xdr:col>
      <xdr:colOff>468480</xdr:colOff>
      <xdr:row>6</xdr:row>
      <xdr:rowOff>291354</xdr:rowOff>
    </xdr:to>
    <xdr:sp macro="[0]!MishandledBaggage" textlink="">
      <xdr:nvSpPr>
        <xdr:cNvPr id="15" name="TextBox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2135467" y="1876563"/>
          <a:ext cx="1280160" cy="1517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  Mishandled Baggage</a:t>
          </a:r>
        </a:p>
      </xdr:txBody>
    </xdr:sp>
    <xdr:clientData/>
  </xdr:twoCellAnchor>
  <xdr:twoCellAnchor editAs="absolute">
    <xdr:from>
      <xdr:col>7</xdr:col>
      <xdr:colOff>2135467</xdr:colOff>
      <xdr:row>5</xdr:row>
      <xdr:rowOff>47136</xdr:rowOff>
    </xdr:from>
    <xdr:to>
      <xdr:col>8</xdr:col>
      <xdr:colOff>285600</xdr:colOff>
      <xdr:row>5</xdr:row>
      <xdr:rowOff>192817</xdr:rowOff>
    </xdr:to>
    <xdr:sp macro="[0]!BaggageHandling" textlink="">
      <xdr:nvSpPr>
        <xdr:cNvPr id="16" name="TextBox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2135467" y="1481489"/>
          <a:ext cx="1097280" cy="1456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  Baggage Handling</a:t>
          </a:r>
        </a:p>
      </xdr:txBody>
    </xdr:sp>
    <xdr:clientData/>
  </xdr:twoCellAnchor>
  <xdr:twoCellAnchor editAs="absolute">
    <xdr:from>
      <xdr:col>7</xdr:col>
      <xdr:colOff>2135467</xdr:colOff>
      <xdr:row>4</xdr:row>
      <xdr:rowOff>164893</xdr:rowOff>
    </xdr:from>
    <xdr:to>
      <xdr:col>8</xdr:col>
      <xdr:colOff>285600</xdr:colOff>
      <xdr:row>5</xdr:row>
      <xdr:rowOff>8015</xdr:rowOff>
    </xdr:to>
    <xdr:sp macro="[0]!SpecialBaggage" textlink="">
      <xdr:nvSpPr>
        <xdr:cNvPr id="17" name="TextBox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2135467" y="1296687"/>
          <a:ext cx="1097280" cy="1456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  Special Baggage</a:t>
          </a:r>
        </a:p>
      </xdr:txBody>
    </xdr:sp>
    <xdr:clientData/>
  </xdr:twoCellAnchor>
  <xdr:twoCellAnchor editAs="absolute">
    <xdr:from>
      <xdr:col>7</xdr:col>
      <xdr:colOff>2135467</xdr:colOff>
      <xdr:row>3</xdr:row>
      <xdr:rowOff>286626</xdr:rowOff>
    </xdr:from>
    <xdr:to>
      <xdr:col>8</xdr:col>
      <xdr:colOff>285600</xdr:colOff>
      <xdr:row>4</xdr:row>
      <xdr:rowOff>129748</xdr:rowOff>
    </xdr:to>
    <xdr:sp macro="[0]!CheckedBaggage" textlink="">
      <xdr:nvSpPr>
        <xdr:cNvPr id="18" name="TextBox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2135467" y="1115861"/>
          <a:ext cx="1097280" cy="1456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  Checked Baggage</a:t>
          </a:r>
        </a:p>
      </xdr:txBody>
    </xdr:sp>
    <xdr:clientData/>
  </xdr:twoCellAnchor>
  <xdr:twoCellAnchor editAs="absolute">
    <xdr:from>
      <xdr:col>7</xdr:col>
      <xdr:colOff>2135467</xdr:colOff>
      <xdr:row>3</xdr:row>
      <xdr:rowOff>89088</xdr:rowOff>
    </xdr:from>
    <xdr:to>
      <xdr:col>8</xdr:col>
      <xdr:colOff>285600</xdr:colOff>
      <xdr:row>3</xdr:row>
      <xdr:rowOff>234769</xdr:rowOff>
    </xdr:to>
    <xdr:sp macro="[0]!CabbinBaggage" textlink="">
      <xdr:nvSpPr>
        <xdr:cNvPr id="19" name="TextBox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2135467" y="918323"/>
          <a:ext cx="1097280" cy="1456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  Cabin Baggage</a:t>
          </a:r>
        </a:p>
      </xdr:txBody>
    </xdr:sp>
    <xdr:clientData/>
  </xdr:twoCellAnchor>
  <xdr:twoCellAnchor editAs="absolute">
    <xdr:from>
      <xdr:col>0</xdr:col>
      <xdr:colOff>0</xdr:colOff>
      <xdr:row>5</xdr:row>
      <xdr:rowOff>271755</xdr:rowOff>
    </xdr:from>
    <xdr:to>
      <xdr:col>7</xdr:col>
      <xdr:colOff>2087440</xdr:colOff>
      <xdr:row>6</xdr:row>
      <xdr:rowOff>115356</xdr:rowOff>
    </xdr:to>
    <xdr:sp macro="[0]!PassengerIrregularities" textlink="">
      <xdr:nvSpPr>
        <xdr:cNvPr id="9" name="TextBox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 txBox="1">
          <a:spLocks noChangeAspect="1"/>
        </xdr:cNvSpPr>
      </xdr:nvSpPr>
      <xdr:spPr>
        <a:xfrm>
          <a:off x="0" y="1706108"/>
          <a:ext cx="2087440" cy="146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r>
            <a:rPr lang="en-US" sz="1000">
              <a:solidFill>
                <a:srgbClr val="4EA9E3"/>
              </a:solidFill>
            </a:rPr>
            <a:t>  Passenger Irregularities</a:t>
          </a:r>
        </a:p>
      </xdr:txBody>
    </xdr:sp>
    <xdr:clientData/>
  </xdr:twoCellAnchor>
  <xdr:twoCellAnchor editAs="absolute">
    <xdr:from>
      <xdr:col>8</xdr:col>
      <xdr:colOff>485767</xdr:colOff>
      <xdr:row>5</xdr:row>
      <xdr:rowOff>201706</xdr:rowOff>
    </xdr:from>
    <xdr:to>
      <xdr:col>8</xdr:col>
      <xdr:colOff>1815353</xdr:colOff>
      <xdr:row>13</xdr:row>
      <xdr:rowOff>33619</xdr:rowOff>
    </xdr:to>
    <xdr:sp macro="[0]!PortableWaterServicing" textlink="">
      <xdr:nvSpPr>
        <xdr:cNvPr id="43" name="TextBox 42">
          <a:extLst>
            <a:ext uri="{FF2B5EF4-FFF2-40B4-BE49-F238E27FC236}">
              <a16:creationId xmlns="" xmlns:a16="http://schemas.microsoft.com/office/drawing/2014/main" id="{00000000-0008-0000-0100-00002B000000}"/>
            </a:ext>
          </a:extLst>
        </xdr:cNvPr>
        <xdr:cNvSpPr txBox="1"/>
      </xdr:nvSpPr>
      <xdr:spPr>
        <a:xfrm>
          <a:off x="3432914" y="1636059"/>
          <a:ext cx="1329586" cy="459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72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Portable Water Servicing</a:t>
          </a:r>
        </a:p>
      </xdr:txBody>
    </xdr:sp>
    <xdr:clientData/>
  </xdr:twoCellAnchor>
  <xdr:twoCellAnchor editAs="absolute">
    <xdr:from>
      <xdr:col>8</xdr:col>
      <xdr:colOff>485767</xdr:colOff>
      <xdr:row>3</xdr:row>
      <xdr:rowOff>218214</xdr:rowOff>
    </xdr:from>
    <xdr:to>
      <xdr:col>8</xdr:col>
      <xdr:colOff>2314567</xdr:colOff>
      <xdr:row>4</xdr:row>
      <xdr:rowOff>52815</xdr:rowOff>
    </xdr:to>
    <xdr:sp macro="[0]!SafetyDuringFueling" textlink="">
      <xdr:nvSpPr>
        <xdr:cNvPr id="44" name="TextBox 43">
          <a:extLst>
            <a:ext uri="{FF2B5EF4-FFF2-40B4-BE49-F238E27FC236}">
              <a16:creationId xmlns=""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3432914" y="1047449"/>
          <a:ext cx="18288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Safety During Fueling/Defueling</a:t>
          </a:r>
        </a:p>
      </xdr:txBody>
    </xdr:sp>
    <xdr:clientData/>
  </xdr:twoCellAnchor>
  <xdr:twoCellAnchor editAs="absolute">
    <xdr:from>
      <xdr:col>8</xdr:col>
      <xdr:colOff>496973</xdr:colOff>
      <xdr:row>3</xdr:row>
      <xdr:rowOff>64059</xdr:rowOff>
    </xdr:from>
    <xdr:to>
      <xdr:col>8</xdr:col>
      <xdr:colOff>2325773</xdr:colOff>
      <xdr:row>3</xdr:row>
      <xdr:rowOff>201219</xdr:rowOff>
    </xdr:to>
    <xdr:sp macro="[0]!RampSafety" textlink="">
      <xdr:nvSpPr>
        <xdr:cNvPr id="45" name="TextBox 44">
          <a:extLst>
            <a:ext uri="{FF2B5EF4-FFF2-40B4-BE49-F238E27FC236}">
              <a16:creationId xmlns=""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3444120" y="893294"/>
          <a:ext cx="18288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Ramp Safety in Aircraft Handling</a:t>
          </a:r>
        </a:p>
      </xdr:txBody>
    </xdr:sp>
    <xdr:clientData/>
  </xdr:twoCellAnchor>
  <xdr:twoCellAnchor editAs="absolute">
    <xdr:from>
      <xdr:col>8</xdr:col>
      <xdr:colOff>474561</xdr:colOff>
      <xdr:row>5</xdr:row>
      <xdr:rowOff>97974</xdr:rowOff>
    </xdr:from>
    <xdr:to>
      <xdr:col>8</xdr:col>
      <xdr:colOff>1388961</xdr:colOff>
      <xdr:row>5</xdr:row>
      <xdr:rowOff>235134</xdr:rowOff>
    </xdr:to>
    <xdr:sp macro="[0]!ToiletServicing" textlink="">
      <xdr:nvSpPr>
        <xdr:cNvPr id="47" name="TextBox 46">
          <a:extLst>
            <a:ext uri="{FF2B5EF4-FFF2-40B4-BE49-F238E27FC236}">
              <a16:creationId xmlns="" xmlns:a16="http://schemas.microsoft.com/office/drawing/2014/main" id="{00000000-0008-0000-0100-00002F000000}"/>
            </a:ext>
          </a:extLst>
        </xdr:cNvPr>
        <xdr:cNvSpPr txBox="1"/>
      </xdr:nvSpPr>
      <xdr:spPr>
        <a:xfrm>
          <a:off x="3421708" y="1532327"/>
          <a:ext cx="9144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Toilet Servicing</a:t>
          </a:r>
        </a:p>
      </xdr:txBody>
    </xdr:sp>
    <xdr:clientData/>
  </xdr:twoCellAnchor>
  <xdr:twoCellAnchor editAs="absolute">
    <xdr:from>
      <xdr:col>8</xdr:col>
      <xdr:colOff>1669674</xdr:colOff>
      <xdr:row>4</xdr:row>
      <xdr:rowOff>190499</xdr:rowOff>
    </xdr:from>
    <xdr:to>
      <xdr:col>8</xdr:col>
      <xdr:colOff>2465287</xdr:colOff>
      <xdr:row>6</xdr:row>
      <xdr:rowOff>0</xdr:rowOff>
    </xdr:to>
    <xdr:sp macro="[0]!AircraftCabinServicing" textlink="">
      <xdr:nvSpPr>
        <xdr:cNvPr id="48" name="TextBox 47">
          <a:extLst>
            <a:ext uri="{FF2B5EF4-FFF2-40B4-BE49-F238E27FC236}">
              <a16:creationId xmlns=""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4616821" y="1322293"/>
          <a:ext cx="795613" cy="4146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Cabin Servicing</a:t>
          </a:r>
        </a:p>
      </xdr:txBody>
    </xdr:sp>
    <xdr:clientData/>
  </xdr:twoCellAnchor>
  <xdr:twoCellAnchor editAs="absolute">
    <xdr:from>
      <xdr:col>8</xdr:col>
      <xdr:colOff>485767</xdr:colOff>
      <xdr:row>4</xdr:row>
      <xdr:rowOff>69809</xdr:rowOff>
    </xdr:from>
    <xdr:to>
      <xdr:col>8</xdr:col>
      <xdr:colOff>2314567</xdr:colOff>
      <xdr:row>4</xdr:row>
      <xdr:rowOff>206969</xdr:rowOff>
    </xdr:to>
    <xdr:sp macro="[0]!AdverseWeatherConditions" textlink="">
      <xdr:nvSpPr>
        <xdr:cNvPr id="49" name="TextBox 48">
          <a:extLst>
            <a:ext uri="{FF2B5EF4-FFF2-40B4-BE49-F238E27FC236}">
              <a16:creationId xmlns="" xmlns:a16="http://schemas.microsoft.com/office/drawing/2014/main" id="{00000000-0008-0000-0100-000031000000}"/>
            </a:ext>
          </a:extLst>
        </xdr:cNvPr>
        <xdr:cNvSpPr txBox="1"/>
      </xdr:nvSpPr>
      <xdr:spPr>
        <a:xfrm>
          <a:off x="3432914" y="1201603"/>
          <a:ext cx="18288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Adverse Weather Conditions</a:t>
          </a:r>
        </a:p>
      </xdr:txBody>
    </xdr:sp>
    <xdr:clientData/>
  </xdr:twoCellAnchor>
  <xdr:twoCellAnchor editAs="absolute">
    <xdr:from>
      <xdr:col>8</xdr:col>
      <xdr:colOff>485767</xdr:colOff>
      <xdr:row>4</xdr:row>
      <xdr:rowOff>235171</xdr:rowOff>
    </xdr:from>
    <xdr:to>
      <xdr:col>8</xdr:col>
      <xdr:colOff>1400167</xdr:colOff>
      <xdr:row>5</xdr:row>
      <xdr:rowOff>69772</xdr:rowOff>
    </xdr:to>
    <xdr:sp macro="[0]!HandSignals" textlink="">
      <xdr:nvSpPr>
        <xdr:cNvPr id="50" name="TextBox 49">
          <a:extLst>
            <a:ext uri="{FF2B5EF4-FFF2-40B4-BE49-F238E27FC236}">
              <a16:creationId xmlns="" xmlns:a16="http://schemas.microsoft.com/office/drawing/2014/main" id="{00000000-0008-0000-0100-000032000000}"/>
            </a:ext>
          </a:extLst>
        </xdr:cNvPr>
        <xdr:cNvSpPr txBox="1"/>
      </xdr:nvSpPr>
      <xdr:spPr>
        <a:xfrm>
          <a:off x="3432914" y="1366965"/>
          <a:ext cx="9144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Hand Signals</a:t>
          </a:r>
        </a:p>
      </xdr:txBody>
    </xdr:sp>
    <xdr:clientData/>
  </xdr:twoCellAnchor>
  <xdr:twoCellAnchor editAs="absolute">
    <xdr:from>
      <xdr:col>7</xdr:col>
      <xdr:colOff>302419</xdr:colOff>
      <xdr:row>0</xdr:row>
      <xdr:rowOff>71430</xdr:rowOff>
    </xdr:from>
    <xdr:to>
      <xdr:col>7</xdr:col>
      <xdr:colOff>616743</xdr:colOff>
      <xdr:row>0</xdr:row>
      <xdr:rowOff>361575</xdr:rowOff>
    </xdr:to>
    <xdr:pic>
      <xdr:nvPicPr>
        <xdr:cNvPr id="57" name="Picture 56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419" y="71430"/>
          <a:ext cx="314324" cy="290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11</xdr:col>
      <xdr:colOff>2275914</xdr:colOff>
      <xdr:row>0</xdr:row>
      <xdr:rowOff>28575</xdr:rowOff>
    </xdr:from>
    <xdr:to>
      <xdr:col>11</xdr:col>
      <xdr:colOff>2786084</xdr:colOff>
      <xdr:row>0</xdr:row>
      <xdr:rowOff>390535</xdr:rowOff>
    </xdr:to>
    <xdr:pic>
      <xdr:nvPicPr>
        <xdr:cNvPr id="77" name="Picture 76">
          <a:extLst>
            <a:ext uri="{FF2B5EF4-FFF2-40B4-BE49-F238E27FC236}">
              <a16:creationId xmlns="" xmlns:a16="http://schemas.microsoft.com/office/drawing/2014/main" id="{00000000-0008-0000-01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34800" y="28575"/>
          <a:ext cx="510170" cy="361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8</xdr:row>
      <xdr:rowOff>9526</xdr:rowOff>
    </xdr:from>
    <xdr:to>
      <xdr:col>12</xdr:col>
      <xdr:colOff>1575</xdr:colOff>
      <xdr:row>8</xdr:row>
      <xdr:rowOff>9526</xdr:rowOff>
    </xdr:to>
    <xdr:cxnSp macro="">
      <xdr:nvCxnSpPr>
        <xdr:cNvPr id="6" name="Straight Connector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0" y="2071408"/>
          <a:ext cx="14793340" cy="0"/>
        </a:xfrm>
        <a:prstGeom prst="line">
          <a:avLst/>
        </a:prstGeom>
        <a:ln w="12700">
          <a:solidFill>
            <a:srgbClr val="0A4279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442810</xdr:colOff>
      <xdr:row>3</xdr:row>
      <xdr:rowOff>52735</xdr:rowOff>
    </xdr:from>
    <xdr:to>
      <xdr:col>8</xdr:col>
      <xdr:colOff>442810</xdr:colOff>
      <xdr:row>6</xdr:row>
      <xdr:rowOff>242338</xdr:rowOff>
    </xdr:to>
    <xdr:cxnSp macro="">
      <xdr:nvCxnSpPr>
        <xdr:cNvPr id="80" name="Straight Connector 79">
          <a:extLst>
            <a:ext uri="{FF2B5EF4-FFF2-40B4-BE49-F238E27FC236}">
              <a16:creationId xmlns="" xmlns:a16="http://schemas.microsoft.com/office/drawing/2014/main" id="{00000000-0008-0000-0100-000050000000}"/>
            </a:ext>
          </a:extLst>
        </xdr:cNvPr>
        <xdr:cNvCxnSpPr/>
      </xdr:nvCxnSpPr>
      <xdr:spPr>
        <a:xfrm>
          <a:off x="3389957" y="881970"/>
          <a:ext cx="0" cy="1097280"/>
        </a:xfrm>
        <a:prstGeom prst="line">
          <a:avLst/>
        </a:prstGeom>
        <a:ln w="12700" cap="rnd">
          <a:solidFill>
            <a:srgbClr val="0A4279"/>
          </a:solidFill>
          <a:bevel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2142750</xdr:colOff>
      <xdr:row>3</xdr:row>
      <xdr:rowOff>52735</xdr:rowOff>
    </xdr:from>
    <xdr:to>
      <xdr:col>7</xdr:col>
      <xdr:colOff>2142750</xdr:colOff>
      <xdr:row>6</xdr:row>
      <xdr:rowOff>242338</xdr:rowOff>
    </xdr:to>
    <xdr:cxnSp macro="">
      <xdr:nvCxnSpPr>
        <xdr:cNvPr id="85" name="Straight Connector 84">
          <a:extLst>
            <a:ext uri="{FF2B5EF4-FFF2-40B4-BE49-F238E27FC236}">
              <a16:creationId xmlns=""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2142750" y="881970"/>
          <a:ext cx="0" cy="1097280"/>
        </a:xfrm>
        <a:prstGeom prst="line">
          <a:avLst/>
        </a:prstGeom>
        <a:ln w="12700" cap="rnd">
          <a:solidFill>
            <a:srgbClr val="0A4279"/>
          </a:solidFill>
          <a:bevel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1086811</xdr:colOff>
      <xdr:row>0</xdr:row>
      <xdr:rowOff>104776</xdr:rowOff>
    </xdr:from>
    <xdr:to>
      <xdr:col>7</xdr:col>
      <xdr:colOff>1400011</xdr:colOff>
      <xdr:row>0</xdr:row>
      <xdr:rowOff>342169</xdr:rowOff>
    </xdr:to>
    <xdr:pic macro="[0]!OpenDefaultChart">
      <xdr:nvPicPr>
        <xdr:cNvPr id="95" name="Picture 94">
          <a:extLst>
            <a:ext uri="{FF2B5EF4-FFF2-40B4-BE49-F238E27FC236}">
              <a16:creationId xmlns="" xmlns:a16="http://schemas.microsoft.com/office/drawing/2014/main" id="{00000000-0008-0000-01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6811" y="104776"/>
          <a:ext cx="313200" cy="2373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2</xdr:row>
      <xdr:rowOff>75145</xdr:rowOff>
    </xdr:from>
    <xdr:to>
      <xdr:col>0</xdr:col>
      <xdr:colOff>0</xdr:colOff>
      <xdr:row>5</xdr:row>
      <xdr:rowOff>201706</xdr:rowOff>
    </xdr:to>
    <xdr:cxnSp macro="">
      <xdr:nvCxnSpPr>
        <xdr:cNvPr id="96" name="Straight Connector 95">
          <a:extLst>
            <a:ext uri="{FF2B5EF4-FFF2-40B4-BE49-F238E27FC236}">
              <a16:creationId xmlns="" xmlns:a16="http://schemas.microsoft.com/office/drawing/2014/main" id="{00000000-0008-0000-0100-000060000000}"/>
            </a:ext>
          </a:extLst>
        </xdr:cNvPr>
        <xdr:cNvCxnSpPr/>
      </xdr:nvCxnSpPr>
      <xdr:spPr>
        <a:xfrm>
          <a:off x="9525" y="703795"/>
          <a:ext cx="0" cy="924980"/>
        </a:xfrm>
        <a:prstGeom prst="line">
          <a:avLst/>
        </a:prstGeom>
        <a:ln w="12700" cap="rnd">
          <a:solidFill>
            <a:srgbClr val="0A4279"/>
          </a:solidFill>
          <a:bevel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587369</xdr:colOff>
      <xdr:row>3</xdr:row>
      <xdr:rowOff>52735</xdr:rowOff>
    </xdr:from>
    <xdr:to>
      <xdr:col>10</xdr:col>
      <xdr:colOff>587369</xdr:colOff>
      <xdr:row>6</xdr:row>
      <xdr:rowOff>235323</xdr:rowOff>
    </xdr:to>
    <xdr:cxnSp macro="">
      <xdr:nvCxnSpPr>
        <xdr:cNvPr id="97" name="Straight Connector 96">
          <a:extLst>
            <a:ext uri="{FF2B5EF4-FFF2-40B4-BE49-F238E27FC236}">
              <a16:creationId xmlns="" xmlns:a16="http://schemas.microsoft.com/office/drawing/2014/main" id="{00000000-0008-0000-0100-000061000000}"/>
            </a:ext>
          </a:extLst>
        </xdr:cNvPr>
        <xdr:cNvCxnSpPr/>
      </xdr:nvCxnSpPr>
      <xdr:spPr>
        <a:xfrm>
          <a:off x="8599575" y="881970"/>
          <a:ext cx="0" cy="1090265"/>
        </a:xfrm>
        <a:prstGeom prst="line">
          <a:avLst/>
        </a:prstGeom>
        <a:ln w="12700" cap="rnd">
          <a:solidFill>
            <a:srgbClr val="0A4279"/>
          </a:solidFill>
          <a:bevel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2830285</xdr:colOff>
      <xdr:row>0</xdr:row>
      <xdr:rowOff>138793</xdr:rowOff>
    </xdr:from>
    <xdr:to>
      <xdr:col>11</xdr:col>
      <xdr:colOff>3429001</xdr:colOff>
      <xdr:row>0</xdr:row>
      <xdr:rowOff>371475</xdr:rowOff>
    </xdr:to>
    <xdr:sp macro="[0]!reset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0697935" y="138793"/>
          <a:ext cx="598716" cy="232682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Reset</a:t>
          </a:r>
        </a:p>
      </xdr:txBody>
    </xdr:sp>
    <xdr:clientData/>
  </xdr:twoCellAnchor>
  <xdr:twoCellAnchor editAs="absolute">
    <xdr:from>
      <xdr:col>10</xdr:col>
      <xdr:colOff>593912</xdr:colOff>
      <xdr:row>0</xdr:row>
      <xdr:rowOff>424143</xdr:rowOff>
    </xdr:from>
    <xdr:to>
      <xdr:col>11</xdr:col>
      <xdr:colOff>2633382</xdr:colOff>
      <xdr:row>3</xdr:row>
      <xdr:rowOff>33820</xdr:rowOff>
    </xdr:to>
    <xdr:sp macro="" textlink="">
      <xdr:nvSpPr>
        <xdr:cNvPr id="52" name="TextBox 51">
          <a:extLst>
            <a:ext uri="{FF2B5EF4-FFF2-40B4-BE49-F238E27FC236}">
              <a16:creationId xmlns="" xmlns:a16="http://schemas.microsoft.com/office/drawing/2014/main" id="{00000000-0008-0000-0100-000034000000}"/>
            </a:ext>
          </a:extLst>
        </xdr:cNvPr>
        <xdr:cNvSpPr txBox="1"/>
      </xdr:nvSpPr>
      <xdr:spPr>
        <a:xfrm>
          <a:off x="8606118" y="424143"/>
          <a:ext cx="3485029" cy="438912"/>
        </a:xfrm>
        <a:prstGeom prst="rect">
          <a:avLst/>
        </a:prstGeom>
        <a:solidFill>
          <a:srgbClr val="0A4279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>
              <a:solidFill>
                <a:schemeClr val="bg1"/>
              </a:solidFill>
            </a:rPr>
            <a:t>Load Control</a:t>
          </a:r>
        </a:p>
      </xdr:txBody>
    </xdr:sp>
    <xdr:clientData/>
  </xdr:twoCellAnchor>
  <xdr:twoCellAnchor editAs="absolute">
    <xdr:from>
      <xdr:col>8</xdr:col>
      <xdr:colOff>3301253</xdr:colOff>
      <xdr:row>3</xdr:row>
      <xdr:rowOff>82961</xdr:rowOff>
    </xdr:from>
    <xdr:to>
      <xdr:col>9</xdr:col>
      <xdr:colOff>138505</xdr:colOff>
      <xdr:row>3</xdr:row>
      <xdr:rowOff>220121</xdr:rowOff>
    </xdr:to>
    <xdr:sp macro="[0]!AircraftArrival" textlink="">
      <xdr:nvSpPr>
        <xdr:cNvPr id="55" name="TextBox 54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SpPr txBox="1"/>
      </xdr:nvSpPr>
      <xdr:spPr>
        <a:xfrm>
          <a:off x="6248400" y="912196"/>
          <a:ext cx="100584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Arrival</a:t>
          </a:r>
        </a:p>
      </xdr:txBody>
    </xdr:sp>
    <xdr:clientData/>
  </xdr:twoCellAnchor>
  <xdr:twoCellAnchor editAs="absolute">
    <xdr:from>
      <xdr:col>8</xdr:col>
      <xdr:colOff>3278842</xdr:colOff>
      <xdr:row>3</xdr:row>
      <xdr:rowOff>268978</xdr:rowOff>
    </xdr:from>
    <xdr:to>
      <xdr:col>9</xdr:col>
      <xdr:colOff>116094</xdr:colOff>
      <xdr:row>4</xdr:row>
      <xdr:rowOff>103579</xdr:rowOff>
    </xdr:to>
    <xdr:sp macro="[0]!AircraftChoking" textlink="">
      <xdr:nvSpPr>
        <xdr:cNvPr id="56" name="TextBox 55">
          <a:extLst>
            <a:ext uri="{FF2B5EF4-FFF2-40B4-BE49-F238E27FC236}">
              <a16:creationId xmlns=""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6225989" y="1098213"/>
          <a:ext cx="100584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Chocking</a:t>
          </a:r>
        </a:p>
      </xdr:txBody>
    </xdr:sp>
    <xdr:clientData/>
  </xdr:twoCellAnchor>
  <xdr:twoCellAnchor editAs="absolute">
    <xdr:from>
      <xdr:col>8</xdr:col>
      <xdr:colOff>3278840</xdr:colOff>
      <xdr:row>4</xdr:row>
      <xdr:rowOff>152437</xdr:rowOff>
    </xdr:from>
    <xdr:to>
      <xdr:col>9</xdr:col>
      <xdr:colOff>116092</xdr:colOff>
      <xdr:row>4</xdr:row>
      <xdr:rowOff>289597</xdr:rowOff>
    </xdr:to>
    <xdr:sp macro="[0]!AircraftConing" textlink="">
      <xdr:nvSpPr>
        <xdr:cNvPr id="58" name="TextBox 57">
          <a:extLst>
            <a:ext uri="{FF2B5EF4-FFF2-40B4-BE49-F238E27FC236}">
              <a16:creationId xmlns="" xmlns:a16="http://schemas.microsoft.com/office/drawing/2014/main" id="{00000000-0008-0000-0100-00003A000000}"/>
            </a:ext>
          </a:extLst>
        </xdr:cNvPr>
        <xdr:cNvSpPr txBox="1"/>
      </xdr:nvSpPr>
      <xdr:spPr>
        <a:xfrm>
          <a:off x="6225987" y="1284231"/>
          <a:ext cx="100584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Coning</a:t>
          </a:r>
        </a:p>
      </xdr:txBody>
    </xdr:sp>
    <xdr:clientData/>
  </xdr:twoCellAnchor>
  <xdr:twoCellAnchor editAs="absolute">
    <xdr:from>
      <xdr:col>8</xdr:col>
      <xdr:colOff>3256429</xdr:colOff>
      <xdr:row>5</xdr:row>
      <xdr:rowOff>47103</xdr:rowOff>
    </xdr:from>
    <xdr:to>
      <xdr:col>9</xdr:col>
      <xdr:colOff>93681</xdr:colOff>
      <xdr:row>5</xdr:row>
      <xdr:rowOff>184263</xdr:rowOff>
    </xdr:to>
    <xdr:sp macro="[0]!AircraftDoors" textlink="">
      <xdr:nvSpPr>
        <xdr:cNvPr id="59" name="TextBox 58">
          <a:extLst>
            <a:ext uri="{FF2B5EF4-FFF2-40B4-BE49-F238E27FC236}">
              <a16:creationId xmlns="" xmlns:a16="http://schemas.microsoft.com/office/drawing/2014/main" id="{00000000-0008-0000-0100-00003B000000}"/>
            </a:ext>
          </a:extLst>
        </xdr:cNvPr>
        <xdr:cNvSpPr txBox="1"/>
      </xdr:nvSpPr>
      <xdr:spPr>
        <a:xfrm>
          <a:off x="6203576" y="1481456"/>
          <a:ext cx="100584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Doors</a:t>
          </a:r>
        </a:p>
      </xdr:txBody>
    </xdr:sp>
    <xdr:clientData/>
  </xdr:twoCellAnchor>
  <xdr:twoCellAnchor editAs="absolute">
    <xdr:from>
      <xdr:col>8</xdr:col>
      <xdr:colOff>3245223</xdr:colOff>
      <xdr:row>5</xdr:row>
      <xdr:rowOff>255531</xdr:rowOff>
    </xdr:from>
    <xdr:to>
      <xdr:col>9</xdr:col>
      <xdr:colOff>82475</xdr:colOff>
      <xdr:row>6</xdr:row>
      <xdr:rowOff>90132</xdr:rowOff>
    </xdr:to>
    <xdr:sp macro="[0]!AircraftLoading" textlink="">
      <xdr:nvSpPr>
        <xdr:cNvPr id="60" name="TextBox 59">
          <a:extLst>
            <a:ext uri="{FF2B5EF4-FFF2-40B4-BE49-F238E27FC236}">
              <a16:creationId xmlns="" xmlns:a16="http://schemas.microsoft.com/office/drawing/2014/main" id="{00000000-0008-0000-0100-00003C000000}"/>
            </a:ext>
          </a:extLst>
        </xdr:cNvPr>
        <xdr:cNvSpPr txBox="1"/>
      </xdr:nvSpPr>
      <xdr:spPr>
        <a:xfrm>
          <a:off x="6192370" y="1689884"/>
          <a:ext cx="100584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Loading</a:t>
          </a:r>
        </a:p>
      </xdr:txBody>
    </xdr:sp>
    <xdr:clientData/>
  </xdr:twoCellAnchor>
  <xdr:twoCellAnchor editAs="absolute">
    <xdr:from>
      <xdr:col>9</xdr:col>
      <xdr:colOff>248768</xdr:colOff>
      <xdr:row>3</xdr:row>
      <xdr:rowOff>78478</xdr:rowOff>
    </xdr:from>
    <xdr:to>
      <xdr:col>10</xdr:col>
      <xdr:colOff>723897</xdr:colOff>
      <xdr:row>3</xdr:row>
      <xdr:rowOff>215638</xdr:rowOff>
    </xdr:to>
    <xdr:sp macro="[0]!AircraftDeparture" textlink="">
      <xdr:nvSpPr>
        <xdr:cNvPr id="79" name="TextBox 78">
          <a:extLst>
            <a:ext uri="{FF2B5EF4-FFF2-40B4-BE49-F238E27FC236}">
              <a16:creationId xmlns="" xmlns:a16="http://schemas.microsoft.com/office/drawing/2014/main" id="{00000000-0008-0000-0100-00004F000000}"/>
            </a:ext>
          </a:extLst>
        </xdr:cNvPr>
        <xdr:cNvSpPr txBox="1"/>
      </xdr:nvSpPr>
      <xdr:spPr>
        <a:xfrm>
          <a:off x="7364503" y="907713"/>
          <a:ext cx="13716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Departure</a:t>
          </a:r>
        </a:p>
      </xdr:txBody>
    </xdr:sp>
    <xdr:clientData/>
  </xdr:twoCellAnchor>
  <xdr:twoCellAnchor editAs="absolute">
    <xdr:from>
      <xdr:col>9</xdr:col>
      <xdr:colOff>237563</xdr:colOff>
      <xdr:row>3</xdr:row>
      <xdr:rowOff>264496</xdr:rowOff>
    </xdr:from>
    <xdr:to>
      <xdr:col>10</xdr:col>
      <xdr:colOff>712692</xdr:colOff>
      <xdr:row>4</xdr:row>
      <xdr:rowOff>99097</xdr:rowOff>
    </xdr:to>
    <xdr:sp macro="[0]!PPU" textlink="">
      <xdr:nvSpPr>
        <xdr:cNvPr id="81" name="TextBox 80">
          <a:extLst>
            <a:ext uri="{FF2B5EF4-FFF2-40B4-BE49-F238E27FC236}">
              <a16:creationId xmlns="" xmlns:a16="http://schemas.microsoft.com/office/drawing/2014/main" id="{00000000-0008-0000-0100-000051000000}"/>
            </a:ext>
          </a:extLst>
        </xdr:cNvPr>
        <xdr:cNvSpPr txBox="1"/>
      </xdr:nvSpPr>
      <xdr:spPr>
        <a:xfrm>
          <a:off x="7353298" y="1093731"/>
          <a:ext cx="13716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Power Push Unit (PPU)</a:t>
          </a:r>
        </a:p>
      </xdr:txBody>
    </xdr:sp>
    <xdr:clientData/>
  </xdr:twoCellAnchor>
  <xdr:twoCellAnchor editAs="absolute">
    <xdr:from>
      <xdr:col>9</xdr:col>
      <xdr:colOff>237562</xdr:colOff>
      <xdr:row>4</xdr:row>
      <xdr:rowOff>159161</xdr:rowOff>
    </xdr:from>
    <xdr:to>
      <xdr:col>10</xdr:col>
      <xdr:colOff>712691</xdr:colOff>
      <xdr:row>4</xdr:row>
      <xdr:rowOff>296321</xdr:rowOff>
    </xdr:to>
    <xdr:sp macro="[0]!OpenRampDeparture" textlink="">
      <xdr:nvSpPr>
        <xdr:cNvPr id="82" name="TextBox 81">
          <a:extLst>
            <a:ext uri="{FF2B5EF4-FFF2-40B4-BE49-F238E27FC236}">
              <a16:creationId xmlns="" xmlns:a16="http://schemas.microsoft.com/office/drawing/2014/main" id="{00000000-0008-0000-0100-000052000000}"/>
            </a:ext>
          </a:extLst>
        </xdr:cNvPr>
        <xdr:cNvSpPr txBox="1"/>
      </xdr:nvSpPr>
      <xdr:spPr>
        <a:xfrm>
          <a:off x="7353297" y="1290955"/>
          <a:ext cx="13716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Open Ramp</a:t>
          </a:r>
          <a:r>
            <a:rPr lang="en-US" sz="1000" baseline="0">
              <a:solidFill>
                <a:srgbClr val="4EA9E3"/>
              </a:solidFill>
            </a:rPr>
            <a:t> Departure</a:t>
          </a:r>
          <a:endParaRPr lang="en-US" sz="1000">
            <a:solidFill>
              <a:srgbClr val="4EA9E3"/>
            </a:solidFill>
          </a:endParaRPr>
        </a:p>
      </xdr:txBody>
    </xdr:sp>
    <xdr:clientData/>
  </xdr:twoCellAnchor>
  <xdr:twoCellAnchor editAs="absolute">
    <xdr:from>
      <xdr:col>9</xdr:col>
      <xdr:colOff>237561</xdr:colOff>
      <xdr:row>5</xdr:row>
      <xdr:rowOff>42620</xdr:rowOff>
    </xdr:from>
    <xdr:to>
      <xdr:col>10</xdr:col>
      <xdr:colOff>712690</xdr:colOff>
      <xdr:row>5</xdr:row>
      <xdr:rowOff>179780</xdr:rowOff>
    </xdr:to>
    <xdr:sp macro="[0]!AircraftTowing" textlink="">
      <xdr:nvSpPr>
        <xdr:cNvPr id="83" name="TextBox 82">
          <a:extLst>
            <a:ext uri="{FF2B5EF4-FFF2-40B4-BE49-F238E27FC236}">
              <a16:creationId xmlns="" xmlns:a16="http://schemas.microsoft.com/office/drawing/2014/main" id="{00000000-0008-0000-0100-000053000000}"/>
            </a:ext>
          </a:extLst>
        </xdr:cNvPr>
        <xdr:cNvSpPr txBox="1"/>
      </xdr:nvSpPr>
      <xdr:spPr>
        <a:xfrm>
          <a:off x="7353296" y="1476973"/>
          <a:ext cx="1371600" cy="137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36000" rtlCol="0" anchor="ctr"/>
        <a:lstStyle/>
        <a:p>
          <a:pPr algn="l"/>
          <a:r>
            <a:rPr lang="en-US" sz="1000">
              <a:solidFill>
                <a:srgbClr val="4EA9E3"/>
              </a:solidFill>
            </a:rPr>
            <a:t>Aircraft Towing</a:t>
          </a:r>
        </a:p>
      </xdr:txBody>
    </xdr:sp>
    <xdr:clientData/>
  </xdr:twoCellAnchor>
  <xdr:twoCellAnchor editAs="absolute">
    <xdr:from>
      <xdr:col>11</xdr:col>
      <xdr:colOff>2667001</xdr:colOff>
      <xdr:row>0</xdr:row>
      <xdr:rowOff>424143</xdr:rowOff>
    </xdr:from>
    <xdr:to>
      <xdr:col>11</xdr:col>
      <xdr:colOff>6555441</xdr:colOff>
      <xdr:row>3</xdr:row>
      <xdr:rowOff>33820</xdr:rowOff>
    </xdr:to>
    <xdr:sp macro="" textlink="">
      <xdr:nvSpPr>
        <xdr:cNvPr id="51" name="TextBox 50">
          <a:extLst>
            <a:ext uri="{FF2B5EF4-FFF2-40B4-BE49-F238E27FC236}">
              <a16:creationId xmlns="" xmlns:a16="http://schemas.microsoft.com/office/drawing/2014/main" id="{00000000-0008-0000-0100-000033000000}"/>
            </a:ext>
          </a:extLst>
        </xdr:cNvPr>
        <xdr:cNvSpPr txBox="1"/>
      </xdr:nvSpPr>
      <xdr:spPr>
        <a:xfrm>
          <a:off x="12124766" y="424143"/>
          <a:ext cx="3888440" cy="438912"/>
        </a:xfrm>
        <a:prstGeom prst="rect">
          <a:avLst/>
        </a:prstGeom>
        <a:solidFill>
          <a:srgbClr val="0A4279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Airside Safety Operational Oversight</a:t>
          </a:r>
        </a:p>
      </xdr:txBody>
    </xdr:sp>
    <xdr:clientData/>
  </xdr:twoCellAnchor>
  <xdr:twoCellAnchor editAs="absolute">
    <xdr:from>
      <xdr:col>11</xdr:col>
      <xdr:colOff>2644773</xdr:colOff>
      <xdr:row>3</xdr:row>
      <xdr:rowOff>52735</xdr:rowOff>
    </xdr:from>
    <xdr:to>
      <xdr:col>11</xdr:col>
      <xdr:colOff>2644773</xdr:colOff>
      <xdr:row>6</xdr:row>
      <xdr:rowOff>242338</xdr:rowOff>
    </xdr:to>
    <xdr:cxnSp macro="">
      <xdr:nvCxnSpPr>
        <xdr:cNvPr id="53" name="Straight Connector 52">
          <a:extLst>
            <a:ext uri="{FF2B5EF4-FFF2-40B4-BE49-F238E27FC236}">
              <a16:creationId xmlns="" xmlns:a16="http://schemas.microsoft.com/office/drawing/2014/main" id="{00000000-0008-0000-0100-000035000000}"/>
            </a:ext>
          </a:extLst>
        </xdr:cNvPr>
        <xdr:cNvCxnSpPr/>
      </xdr:nvCxnSpPr>
      <xdr:spPr>
        <a:xfrm>
          <a:off x="12102538" y="881970"/>
          <a:ext cx="0" cy="1097280"/>
        </a:xfrm>
        <a:prstGeom prst="line">
          <a:avLst/>
        </a:prstGeom>
        <a:ln w="12700" cap="rnd">
          <a:solidFill>
            <a:srgbClr val="0A4279"/>
          </a:solidFill>
          <a:bevel/>
        </a:ln>
        <a:effectLst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638736</xdr:colOff>
      <xdr:row>3</xdr:row>
      <xdr:rowOff>67236</xdr:rowOff>
    </xdr:from>
    <xdr:to>
      <xdr:col>11</xdr:col>
      <xdr:colOff>747657</xdr:colOff>
      <xdr:row>3</xdr:row>
      <xdr:rowOff>231828</xdr:rowOff>
    </xdr:to>
    <xdr:sp macro="[0]!Module1.introduction5" textlink="">
      <xdr:nvSpPr>
        <xdr:cNvPr id="10" name="TextBox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8650942" y="896471"/>
          <a:ext cx="1554480" cy="1645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Introduction</a:t>
          </a:r>
        </a:p>
      </xdr:txBody>
    </xdr:sp>
    <xdr:clientData/>
  </xdr:twoCellAnchor>
  <xdr:twoCellAnchor>
    <xdr:from>
      <xdr:col>10</xdr:col>
      <xdr:colOff>627530</xdr:colOff>
      <xdr:row>3</xdr:row>
      <xdr:rowOff>233083</xdr:rowOff>
    </xdr:from>
    <xdr:to>
      <xdr:col>11</xdr:col>
      <xdr:colOff>736451</xdr:colOff>
      <xdr:row>4</xdr:row>
      <xdr:rowOff>95116</xdr:rowOff>
    </xdr:to>
    <xdr:sp macro="[0]!LoadControlPrinciples" textlink="">
      <xdr:nvSpPr>
        <xdr:cNvPr id="76" name="TextBox 75">
          <a:extLst>
            <a:ext uri="{FF2B5EF4-FFF2-40B4-BE49-F238E27FC236}">
              <a16:creationId xmlns="" xmlns:a16="http://schemas.microsoft.com/office/drawing/2014/main" id="{00000000-0008-0000-0100-00004C000000}"/>
            </a:ext>
          </a:extLst>
        </xdr:cNvPr>
        <xdr:cNvSpPr txBox="1"/>
      </xdr:nvSpPr>
      <xdr:spPr>
        <a:xfrm>
          <a:off x="8639736" y="1062318"/>
          <a:ext cx="1554480" cy="1645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Load Control Principles</a:t>
          </a:r>
        </a:p>
      </xdr:txBody>
    </xdr:sp>
    <xdr:clientData/>
  </xdr:twoCellAnchor>
  <xdr:twoCellAnchor>
    <xdr:from>
      <xdr:col>10</xdr:col>
      <xdr:colOff>627531</xdr:colOff>
      <xdr:row>4</xdr:row>
      <xdr:rowOff>118783</xdr:rowOff>
    </xdr:from>
    <xdr:to>
      <xdr:col>11</xdr:col>
      <xdr:colOff>736452</xdr:colOff>
      <xdr:row>4</xdr:row>
      <xdr:rowOff>283375</xdr:rowOff>
    </xdr:to>
    <xdr:sp macro="[0]!RegulatoryRequirements" textlink="">
      <xdr:nvSpPr>
        <xdr:cNvPr id="78" name="TextBox 77">
          <a:extLst>
            <a:ext uri="{FF2B5EF4-FFF2-40B4-BE49-F238E27FC236}">
              <a16:creationId xmlns="" xmlns:a16="http://schemas.microsoft.com/office/drawing/2014/main" id="{00000000-0008-0000-0100-00004E000000}"/>
            </a:ext>
          </a:extLst>
        </xdr:cNvPr>
        <xdr:cNvSpPr txBox="1"/>
      </xdr:nvSpPr>
      <xdr:spPr>
        <a:xfrm>
          <a:off x="8639737" y="1250577"/>
          <a:ext cx="1554480" cy="1645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Regulatory Requirements</a:t>
          </a:r>
        </a:p>
      </xdr:txBody>
    </xdr:sp>
    <xdr:clientData/>
  </xdr:twoCellAnchor>
  <xdr:twoCellAnchor>
    <xdr:from>
      <xdr:col>10</xdr:col>
      <xdr:colOff>616324</xdr:colOff>
      <xdr:row>4</xdr:row>
      <xdr:rowOff>295836</xdr:rowOff>
    </xdr:from>
    <xdr:to>
      <xdr:col>11</xdr:col>
      <xdr:colOff>725245</xdr:colOff>
      <xdr:row>5</xdr:row>
      <xdr:rowOff>157869</xdr:rowOff>
    </xdr:to>
    <xdr:sp macro="[0]!LoadControlProcessFlow" textlink="">
      <xdr:nvSpPr>
        <xdr:cNvPr id="88" name="TextBox 87">
          <a:extLst>
            <a:ext uri="{FF2B5EF4-FFF2-40B4-BE49-F238E27FC236}">
              <a16:creationId xmlns="" xmlns:a16="http://schemas.microsoft.com/office/drawing/2014/main" id="{00000000-0008-0000-0100-000058000000}"/>
            </a:ext>
          </a:extLst>
        </xdr:cNvPr>
        <xdr:cNvSpPr txBox="1"/>
      </xdr:nvSpPr>
      <xdr:spPr>
        <a:xfrm>
          <a:off x="8628530" y="1427630"/>
          <a:ext cx="1554480" cy="1645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Load Control Tasks</a:t>
          </a:r>
        </a:p>
      </xdr:txBody>
    </xdr:sp>
    <xdr:clientData/>
  </xdr:twoCellAnchor>
  <xdr:twoCellAnchor>
    <xdr:from>
      <xdr:col>10</xdr:col>
      <xdr:colOff>627529</xdr:colOff>
      <xdr:row>5</xdr:row>
      <xdr:rowOff>181536</xdr:rowOff>
    </xdr:from>
    <xdr:to>
      <xdr:col>11</xdr:col>
      <xdr:colOff>1311087</xdr:colOff>
      <xdr:row>6</xdr:row>
      <xdr:rowOff>67235</xdr:rowOff>
    </xdr:to>
    <xdr:sp macro="[0]!InformationExchange" textlink="">
      <xdr:nvSpPr>
        <xdr:cNvPr id="89" name="TextBox 88">
          <a:extLst>
            <a:ext uri="{FF2B5EF4-FFF2-40B4-BE49-F238E27FC236}">
              <a16:creationId xmlns="" xmlns:a16="http://schemas.microsoft.com/office/drawing/2014/main" id="{00000000-0008-0000-0100-000059000000}"/>
            </a:ext>
          </a:extLst>
        </xdr:cNvPr>
        <xdr:cNvSpPr txBox="1"/>
      </xdr:nvSpPr>
      <xdr:spPr>
        <a:xfrm>
          <a:off x="8639735" y="1615889"/>
          <a:ext cx="2129117" cy="1882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Load Control</a:t>
          </a:r>
          <a:r>
            <a:rPr lang="en-US" sz="1000" baseline="0">
              <a:solidFill>
                <a:schemeClr val="accent5"/>
              </a:solidFill>
            </a:rPr>
            <a:t> Task Job Responsibility</a:t>
          </a:r>
          <a:endParaRPr lang="en-US" sz="1000">
            <a:solidFill>
              <a:schemeClr val="accent5"/>
            </a:solidFill>
          </a:endParaRPr>
        </a:p>
      </xdr:txBody>
    </xdr:sp>
    <xdr:clientData/>
  </xdr:twoCellAnchor>
  <xdr:twoCellAnchor>
    <xdr:from>
      <xdr:col>10</xdr:col>
      <xdr:colOff>616324</xdr:colOff>
      <xdr:row>6</xdr:row>
      <xdr:rowOff>56029</xdr:rowOff>
    </xdr:from>
    <xdr:to>
      <xdr:col>11</xdr:col>
      <xdr:colOff>907676</xdr:colOff>
      <xdr:row>6</xdr:row>
      <xdr:rowOff>224116</xdr:rowOff>
    </xdr:to>
    <xdr:sp macro="[0]!LoadPlanning" textlink="">
      <xdr:nvSpPr>
        <xdr:cNvPr id="90" name="TextBox 89">
          <a:extLst>
            <a:ext uri="{FF2B5EF4-FFF2-40B4-BE49-F238E27FC236}">
              <a16:creationId xmlns="" xmlns:a16="http://schemas.microsoft.com/office/drawing/2014/main" id="{00000000-0008-0000-0100-00005A000000}"/>
            </a:ext>
          </a:extLst>
        </xdr:cNvPr>
        <xdr:cNvSpPr txBox="1"/>
      </xdr:nvSpPr>
      <xdr:spPr>
        <a:xfrm>
          <a:off x="8628530" y="1792941"/>
          <a:ext cx="1736911" cy="1680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Qualification Requirements</a:t>
          </a:r>
        </a:p>
      </xdr:txBody>
    </xdr:sp>
    <xdr:clientData/>
  </xdr:twoCellAnchor>
  <xdr:twoCellAnchor>
    <xdr:from>
      <xdr:col>11</xdr:col>
      <xdr:colOff>1479175</xdr:colOff>
      <xdr:row>3</xdr:row>
      <xdr:rowOff>78441</xdr:rowOff>
    </xdr:from>
    <xdr:to>
      <xdr:col>11</xdr:col>
      <xdr:colOff>2521322</xdr:colOff>
      <xdr:row>3</xdr:row>
      <xdr:rowOff>243033</xdr:rowOff>
    </xdr:to>
    <xdr:sp macro="[0]!Module1.Loadsheet" textlink="">
      <xdr:nvSpPr>
        <xdr:cNvPr id="91" name="TextBox 90">
          <a:extLst>
            <a:ext uri="{FF2B5EF4-FFF2-40B4-BE49-F238E27FC236}">
              <a16:creationId xmlns="" xmlns:a16="http://schemas.microsoft.com/office/drawing/2014/main" id="{00000000-0008-0000-0100-00005B000000}"/>
            </a:ext>
          </a:extLst>
        </xdr:cNvPr>
        <xdr:cNvSpPr txBox="1"/>
      </xdr:nvSpPr>
      <xdr:spPr>
        <a:xfrm>
          <a:off x="9681881" y="907676"/>
          <a:ext cx="1042147" cy="1645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Documentation</a:t>
          </a:r>
        </a:p>
      </xdr:txBody>
    </xdr:sp>
    <xdr:clientData/>
  </xdr:twoCellAnchor>
  <xdr:twoCellAnchor>
    <xdr:from>
      <xdr:col>11</xdr:col>
      <xdr:colOff>1490380</xdr:colOff>
      <xdr:row>3</xdr:row>
      <xdr:rowOff>264459</xdr:rowOff>
    </xdr:from>
    <xdr:to>
      <xdr:col>11</xdr:col>
      <xdr:colOff>2532527</xdr:colOff>
      <xdr:row>5</xdr:row>
      <xdr:rowOff>78441</xdr:rowOff>
    </xdr:to>
    <xdr:sp macro="[0]!PostDepartureMessaging" textlink="">
      <xdr:nvSpPr>
        <xdr:cNvPr id="92" name="TextBox 91">
          <a:extLst>
            <a:ext uri="{FF2B5EF4-FFF2-40B4-BE49-F238E27FC236}">
              <a16:creationId xmlns="" xmlns:a16="http://schemas.microsoft.com/office/drawing/2014/main" id="{00000000-0008-0000-0100-00005C000000}"/>
            </a:ext>
          </a:extLst>
        </xdr:cNvPr>
        <xdr:cNvSpPr txBox="1"/>
      </xdr:nvSpPr>
      <xdr:spPr>
        <a:xfrm>
          <a:off x="9693086" y="1093694"/>
          <a:ext cx="1042147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Load Control Process</a:t>
          </a:r>
          <a:r>
            <a:rPr lang="en-US" sz="1000" baseline="0">
              <a:solidFill>
                <a:schemeClr val="accent5"/>
              </a:solidFill>
            </a:rPr>
            <a:t> Flow</a:t>
          </a:r>
          <a:endParaRPr lang="en-US" sz="1000">
            <a:solidFill>
              <a:schemeClr val="accent5"/>
            </a:solidFill>
          </a:endParaRPr>
        </a:p>
      </xdr:txBody>
    </xdr:sp>
    <xdr:clientData/>
  </xdr:twoCellAnchor>
  <xdr:twoCellAnchor>
    <xdr:from>
      <xdr:col>11</xdr:col>
      <xdr:colOff>2830606</xdr:colOff>
      <xdr:row>3</xdr:row>
      <xdr:rowOff>62754</xdr:rowOff>
    </xdr:from>
    <xdr:to>
      <xdr:col>11</xdr:col>
      <xdr:colOff>4385086</xdr:colOff>
      <xdr:row>3</xdr:row>
      <xdr:rowOff>227346</xdr:rowOff>
    </xdr:to>
    <xdr:sp macro="[0]!Introdution6" textlink="">
      <xdr:nvSpPr>
        <xdr:cNvPr id="93" name="TextBox 92">
          <a:extLst>
            <a:ext uri="{FF2B5EF4-FFF2-40B4-BE49-F238E27FC236}">
              <a16:creationId xmlns="" xmlns:a16="http://schemas.microsoft.com/office/drawing/2014/main" id="{00000000-0008-0000-0100-00005D000000}"/>
            </a:ext>
          </a:extLst>
        </xdr:cNvPr>
        <xdr:cNvSpPr txBox="1"/>
      </xdr:nvSpPr>
      <xdr:spPr>
        <a:xfrm>
          <a:off x="10764371" y="891989"/>
          <a:ext cx="1554480" cy="1645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Introduction</a:t>
          </a:r>
        </a:p>
      </xdr:txBody>
    </xdr:sp>
    <xdr:clientData/>
  </xdr:twoCellAnchor>
  <xdr:twoCellAnchor>
    <xdr:from>
      <xdr:col>11</xdr:col>
      <xdr:colOff>2830606</xdr:colOff>
      <xdr:row>3</xdr:row>
      <xdr:rowOff>232217</xdr:rowOff>
    </xdr:from>
    <xdr:to>
      <xdr:col>11</xdr:col>
      <xdr:colOff>4385086</xdr:colOff>
      <xdr:row>4</xdr:row>
      <xdr:rowOff>94250</xdr:rowOff>
    </xdr:to>
    <xdr:sp macro="[0]!SupervisionScope" textlink="">
      <xdr:nvSpPr>
        <xdr:cNvPr id="94" name="TextBox 93">
          <a:extLst>
            <a:ext uri="{FF2B5EF4-FFF2-40B4-BE49-F238E27FC236}">
              <a16:creationId xmlns="" xmlns:a16="http://schemas.microsoft.com/office/drawing/2014/main" id="{00000000-0008-0000-0100-00005E000000}"/>
            </a:ext>
          </a:extLst>
        </xdr:cNvPr>
        <xdr:cNvSpPr txBox="1"/>
      </xdr:nvSpPr>
      <xdr:spPr>
        <a:xfrm>
          <a:off x="10764371" y="1061452"/>
          <a:ext cx="1554480" cy="1645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Supervision Scope</a:t>
          </a:r>
        </a:p>
      </xdr:txBody>
    </xdr:sp>
    <xdr:clientData/>
  </xdr:twoCellAnchor>
  <xdr:twoCellAnchor>
    <xdr:from>
      <xdr:col>11</xdr:col>
      <xdr:colOff>2830606</xdr:colOff>
      <xdr:row>4</xdr:row>
      <xdr:rowOff>99121</xdr:rowOff>
    </xdr:from>
    <xdr:to>
      <xdr:col>11</xdr:col>
      <xdr:colOff>4717675</xdr:colOff>
      <xdr:row>5</xdr:row>
      <xdr:rowOff>208042</xdr:rowOff>
    </xdr:to>
    <xdr:sp macro="[0]!TurnaroundCoordination" textlink="">
      <xdr:nvSpPr>
        <xdr:cNvPr id="98" name="TextBox 97">
          <a:extLst>
            <a:ext uri="{FF2B5EF4-FFF2-40B4-BE49-F238E27FC236}">
              <a16:creationId xmlns="" xmlns:a16="http://schemas.microsoft.com/office/drawing/2014/main" id="{00000000-0008-0000-0100-000062000000}"/>
            </a:ext>
          </a:extLst>
        </xdr:cNvPr>
        <xdr:cNvSpPr txBox="1"/>
      </xdr:nvSpPr>
      <xdr:spPr>
        <a:xfrm>
          <a:off x="10764371" y="1230915"/>
          <a:ext cx="1887069" cy="4114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Turnaround</a:t>
          </a:r>
          <a:r>
            <a:rPr lang="en-US" sz="1000" baseline="0">
              <a:solidFill>
                <a:schemeClr val="accent5"/>
              </a:solidFill>
            </a:rPr>
            <a:t> Coordination /Supervision Requirements</a:t>
          </a:r>
          <a:endParaRPr lang="en-US" sz="1000">
            <a:solidFill>
              <a:schemeClr val="accent5"/>
            </a:solidFill>
          </a:endParaRPr>
        </a:p>
      </xdr:txBody>
    </xdr:sp>
    <xdr:clientData/>
  </xdr:twoCellAnchor>
  <xdr:twoCellAnchor>
    <xdr:from>
      <xdr:col>11</xdr:col>
      <xdr:colOff>2830606</xdr:colOff>
      <xdr:row>5</xdr:row>
      <xdr:rowOff>212912</xdr:rowOff>
    </xdr:from>
    <xdr:to>
      <xdr:col>11</xdr:col>
      <xdr:colOff>4728882</xdr:colOff>
      <xdr:row>7</xdr:row>
      <xdr:rowOff>19274</xdr:rowOff>
    </xdr:to>
    <xdr:sp macro="[0]!ReportingIncidents" textlink="">
      <xdr:nvSpPr>
        <xdr:cNvPr id="99" name="TextBox 98">
          <a:extLst>
            <a:ext uri="{FF2B5EF4-FFF2-40B4-BE49-F238E27FC236}">
              <a16:creationId xmlns="" xmlns:a16="http://schemas.microsoft.com/office/drawing/2014/main" id="{00000000-0008-0000-0100-000063000000}"/>
            </a:ext>
          </a:extLst>
        </xdr:cNvPr>
        <xdr:cNvSpPr txBox="1"/>
      </xdr:nvSpPr>
      <xdr:spPr>
        <a:xfrm>
          <a:off x="10764371" y="1647265"/>
          <a:ext cx="1898276" cy="4114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Reporting-Incidents, Accidents and Near-Misses</a:t>
          </a:r>
        </a:p>
      </xdr:txBody>
    </xdr:sp>
    <xdr:clientData/>
  </xdr:twoCellAnchor>
  <xdr:twoCellAnchor>
    <xdr:from>
      <xdr:col>11</xdr:col>
      <xdr:colOff>4697506</xdr:colOff>
      <xdr:row>3</xdr:row>
      <xdr:rowOff>58272</xdr:rowOff>
    </xdr:from>
    <xdr:to>
      <xdr:col>11</xdr:col>
      <xdr:colOff>6251986</xdr:colOff>
      <xdr:row>4</xdr:row>
      <xdr:rowOff>167193</xdr:rowOff>
    </xdr:to>
    <xdr:sp macro="[0]!AirsideSafetyinvestigationProcedure" textlink="">
      <xdr:nvSpPr>
        <xdr:cNvPr id="102" name="TextBox 101">
          <a:extLst>
            <a:ext uri="{FF2B5EF4-FFF2-40B4-BE49-F238E27FC236}">
              <a16:creationId xmlns="" xmlns:a16="http://schemas.microsoft.com/office/drawing/2014/main" id="{00000000-0008-0000-0100-000066000000}"/>
            </a:ext>
          </a:extLst>
        </xdr:cNvPr>
        <xdr:cNvSpPr txBox="1"/>
      </xdr:nvSpPr>
      <xdr:spPr>
        <a:xfrm>
          <a:off x="12631271" y="887507"/>
          <a:ext cx="1554480" cy="4114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Airside Safety Investigation</a:t>
          </a:r>
          <a:r>
            <a:rPr lang="en-US" sz="1000" baseline="0">
              <a:solidFill>
                <a:schemeClr val="accent5"/>
              </a:solidFill>
            </a:rPr>
            <a:t> Procedure</a:t>
          </a:r>
          <a:endParaRPr lang="en-US" sz="1000">
            <a:solidFill>
              <a:schemeClr val="accent5"/>
            </a:solidFill>
          </a:endParaRPr>
        </a:p>
      </xdr:txBody>
    </xdr:sp>
    <xdr:clientData/>
  </xdr:twoCellAnchor>
  <xdr:twoCellAnchor>
    <xdr:from>
      <xdr:col>11</xdr:col>
      <xdr:colOff>4697506</xdr:colOff>
      <xdr:row>4</xdr:row>
      <xdr:rowOff>159872</xdr:rowOff>
    </xdr:from>
    <xdr:to>
      <xdr:col>12</xdr:col>
      <xdr:colOff>186016</xdr:colOff>
      <xdr:row>5</xdr:row>
      <xdr:rowOff>40193</xdr:rowOff>
    </xdr:to>
    <xdr:sp macro="[0]!MonitoringProcedures" textlink="">
      <xdr:nvSpPr>
        <xdr:cNvPr id="109" name="TextBox 108">
          <a:extLst>
            <a:ext uri="{FF2B5EF4-FFF2-40B4-BE49-F238E27FC236}">
              <a16:creationId xmlns="" xmlns:a16="http://schemas.microsoft.com/office/drawing/2014/main" id="{00000000-0008-0000-0100-00006D000000}"/>
            </a:ext>
          </a:extLst>
        </xdr:cNvPr>
        <xdr:cNvSpPr txBox="1"/>
      </xdr:nvSpPr>
      <xdr:spPr>
        <a:xfrm>
          <a:off x="12631271" y="1291666"/>
          <a:ext cx="2077569" cy="182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Monitoring Procedures</a:t>
          </a:r>
        </a:p>
      </xdr:txBody>
    </xdr:sp>
    <xdr:clientData/>
  </xdr:twoCellAnchor>
  <xdr:twoCellAnchor>
    <xdr:from>
      <xdr:col>11</xdr:col>
      <xdr:colOff>4697506</xdr:colOff>
      <xdr:row>5</xdr:row>
      <xdr:rowOff>208430</xdr:rowOff>
    </xdr:from>
    <xdr:to>
      <xdr:col>12</xdr:col>
      <xdr:colOff>197223</xdr:colOff>
      <xdr:row>7</xdr:row>
      <xdr:rowOff>11205</xdr:rowOff>
    </xdr:to>
    <xdr:sp macro="[0]!AdverseWeatherOversightProcedures" textlink="">
      <xdr:nvSpPr>
        <xdr:cNvPr id="110" name="TextBox 109">
          <a:extLst>
            <a:ext uri="{FF2B5EF4-FFF2-40B4-BE49-F238E27FC236}">
              <a16:creationId xmlns="" xmlns:a16="http://schemas.microsoft.com/office/drawing/2014/main" id="{00000000-0008-0000-0100-00006E000000}"/>
            </a:ext>
          </a:extLst>
        </xdr:cNvPr>
        <xdr:cNvSpPr txBox="1"/>
      </xdr:nvSpPr>
      <xdr:spPr>
        <a:xfrm>
          <a:off x="12631271" y="1642783"/>
          <a:ext cx="2088776" cy="4078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Adverse Weather Oversight Procedures</a:t>
          </a:r>
        </a:p>
      </xdr:txBody>
    </xdr:sp>
    <xdr:clientData/>
  </xdr:twoCellAnchor>
  <xdr:twoCellAnchor>
    <xdr:from>
      <xdr:col>11</xdr:col>
      <xdr:colOff>4697506</xdr:colOff>
      <xdr:row>5</xdr:row>
      <xdr:rowOff>32872</xdr:rowOff>
    </xdr:from>
    <xdr:to>
      <xdr:col>12</xdr:col>
      <xdr:colOff>186016</xdr:colOff>
      <xdr:row>5</xdr:row>
      <xdr:rowOff>215752</xdr:rowOff>
    </xdr:to>
    <xdr:sp macro="[0]!EmergencyResponseProcedures" textlink="">
      <xdr:nvSpPr>
        <xdr:cNvPr id="111" name="TextBox 110">
          <a:extLst>
            <a:ext uri="{FF2B5EF4-FFF2-40B4-BE49-F238E27FC236}">
              <a16:creationId xmlns="" xmlns:a16="http://schemas.microsoft.com/office/drawing/2014/main" id="{00000000-0008-0000-0100-00006F000000}"/>
            </a:ext>
          </a:extLst>
        </xdr:cNvPr>
        <xdr:cNvSpPr txBox="1"/>
      </xdr:nvSpPr>
      <xdr:spPr>
        <a:xfrm>
          <a:off x="12631271" y="1467225"/>
          <a:ext cx="2077569" cy="182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>
              <a:solidFill>
                <a:schemeClr val="accent5"/>
              </a:solidFill>
            </a:rPr>
            <a:t>Emergency Response Procedures</a:t>
          </a:r>
        </a:p>
      </xdr:txBody>
    </xdr:sp>
    <xdr:clientData/>
  </xdr:twoCellAnchor>
  <xdr:twoCellAnchor>
    <xdr:from>
      <xdr:col>8</xdr:col>
      <xdr:colOff>1602442</xdr:colOff>
      <xdr:row>5</xdr:row>
      <xdr:rowOff>235322</xdr:rowOff>
    </xdr:from>
    <xdr:to>
      <xdr:col>8</xdr:col>
      <xdr:colOff>3529853</xdr:colOff>
      <xdr:row>13</xdr:row>
      <xdr:rowOff>179294</xdr:rowOff>
    </xdr:to>
    <xdr:sp macro="[0]!SafetyDuringDeicing" textlink="">
      <xdr:nvSpPr>
        <xdr:cNvPr id="4" name="TextBox 3">
          <a:extLst>
            <a:ext uri="{FF2B5EF4-FFF2-40B4-BE49-F238E27FC236}">
              <a16:creationId xmlns="" xmlns:a16="http://schemas.microsoft.com/office/drawing/2014/main" id="{430D5265-8572-4795-8530-22D739D93241}"/>
            </a:ext>
          </a:extLst>
        </xdr:cNvPr>
        <xdr:cNvSpPr txBox="1"/>
      </xdr:nvSpPr>
      <xdr:spPr>
        <a:xfrm>
          <a:off x="4549589" y="1669675"/>
          <a:ext cx="1927411" cy="571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solidFill>
                <a:srgbClr val="4EA9E3"/>
              </a:solidFill>
            </a:rPr>
            <a:t>Safety During Aircraft Deicing/Anti-icing Operations</a:t>
          </a:r>
        </a:p>
      </xdr:txBody>
    </xdr:sp>
    <xdr:clientData/>
  </xdr:twoCellAnchor>
  <xdr:twoCellAnchor>
    <xdr:from>
      <xdr:col>0</xdr:col>
      <xdr:colOff>0</xdr:colOff>
      <xdr:row>7</xdr:row>
      <xdr:rowOff>11206</xdr:rowOff>
    </xdr:from>
    <xdr:to>
      <xdr:col>12</xdr:col>
      <xdr:colOff>0</xdr:colOff>
      <xdr:row>7</xdr:row>
      <xdr:rowOff>11206</xdr:rowOff>
    </xdr:to>
    <xdr:cxnSp macro="">
      <xdr:nvCxnSpPr>
        <xdr:cNvPr id="12" name="Straight Connector 11">
          <a:extLst>
            <a:ext uri="{FF2B5EF4-FFF2-40B4-BE49-F238E27FC236}">
              <a16:creationId xmlns="" xmlns:a16="http://schemas.microsoft.com/office/drawing/2014/main" id="{A62F956D-106C-48BD-8FB5-24DD7AC96B44}"/>
            </a:ext>
          </a:extLst>
        </xdr:cNvPr>
        <xdr:cNvCxnSpPr/>
      </xdr:nvCxnSpPr>
      <xdr:spPr>
        <a:xfrm>
          <a:off x="0" y="2050677"/>
          <a:ext cx="14791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200024</xdr:colOff>
      <xdr:row>12</xdr:row>
      <xdr:rowOff>206374</xdr:rowOff>
    </xdr:from>
    <xdr:to>
      <xdr:col>8</xdr:col>
      <xdr:colOff>808499</xdr:colOff>
      <xdr:row>35</xdr:row>
      <xdr:rowOff>77342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904875</xdr:colOff>
      <xdr:row>13</xdr:row>
      <xdr:rowOff>0</xdr:rowOff>
    </xdr:from>
    <xdr:to>
      <xdr:col>15</xdr:col>
      <xdr:colOff>1713375</xdr:colOff>
      <xdr:row>35</xdr:row>
      <xdr:rowOff>79375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15</xdr:col>
      <xdr:colOff>1790700</xdr:colOff>
      <xdr:row>13</xdr:row>
      <xdr:rowOff>95250</xdr:rowOff>
    </xdr:from>
    <xdr:to>
      <xdr:col>22</xdr:col>
      <xdr:colOff>36975</xdr:colOff>
      <xdr:row>35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22</xdr:col>
      <xdr:colOff>1504950</xdr:colOff>
      <xdr:row>16</xdr:row>
      <xdr:rowOff>57150</xdr:rowOff>
    </xdr:from>
    <xdr:to>
      <xdr:col>29</xdr:col>
      <xdr:colOff>446550</xdr:colOff>
      <xdr:row>38</xdr:row>
      <xdr:rowOff>150368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29</xdr:col>
      <xdr:colOff>1333500</xdr:colOff>
      <xdr:row>17</xdr:row>
      <xdr:rowOff>57150</xdr:rowOff>
    </xdr:from>
    <xdr:to>
      <xdr:col>35</xdr:col>
      <xdr:colOff>1056150</xdr:colOff>
      <xdr:row>39</xdr:row>
      <xdr:rowOff>134493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35</xdr:col>
      <xdr:colOff>933450</xdr:colOff>
      <xdr:row>17</xdr:row>
      <xdr:rowOff>66675</xdr:rowOff>
    </xdr:from>
    <xdr:to>
      <xdr:col>40</xdr:col>
      <xdr:colOff>1132350</xdr:colOff>
      <xdr:row>39</xdr:row>
      <xdr:rowOff>144018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41</xdr:col>
      <xdr:colOff>1676400</xdr:colOff>
      <xdr:row>18</xdr:row>
      <xdr:rowOff>152400</xdr:rowOff>
    </xdr:from>
    <xdr:to>
      <xdr:col>49</xdr:col>
      <xdr:colOff>332250</xdr:colOff>
      <xdr:row>41</xdr:row>
      <xdr:rowOff>7493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15</xdr:col>
      <xdr:colOff>1114425</xdr:colOff>
      <xdr:row>48</xdr:row>
      <xdr:rowOff>161923</xdr:rowOff>
    </xdr:from>
    <xdr:to>
      <xdr:col>21</xdr:col>
      <xdr:colOff>522750</xdr:colOff>
      <xdr:row>71</xdr:row>
      <xdr:rowOff>64641</xdr:rowOff>
    </xdr:to>
    <xdr:graphicFrame macro="">
      <xdr:nvGraphicFramePr>
        <xdr:cNvPr id="10" name="Chart 9">
          <a:extLst>
            <a:ext uri="{FF2B5EF4-FFF2-40B4-BE49-F238E27FC236}">
              <a16:creationId xmlns="" xmlns:a16="http://schemas.microsoft.com/office/drawing/2014/main" id="{D736F4C2-FD68-4BCD-BD44-24B569DBC6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22</xdr:col>
      <xdr:colOff>819150</xdr:colOff>
      <xdr:row>52</xdr:row>
      <xdr:rowOff>66674</xdr:rowOff>
    </xdr:from>
    <xdr:to>
      <xdr:col>28</xdr:col>
      <xdr:colOff>922800</xdr:colOff>
      <xdr:row>75</xdr:row>
      <xdr:rowOff>1142</xdr:rowOff>
    </xdr:to>
    <xdr:graphicFrame macro="">
      <xdr:nvGraphicFramePr>
        <xdr:cNvPr id="11" name="Chart 10">
          <a:extLst>
            <a:ext uri="{FF2B5EF4-FFF2-40B4-BE49-F238E27FC236}">
              <a16:creationId xmlns="" xmlns:a16="http://schemas.microsoft.com/office/drawing/2014/main" id="{79A57B96-67EB-4D9D-B917-E45D470AC8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76200</xdr:colOff>
      <xdr:row>4</xdr:row>
      <xdr:rowOff>38100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0" y="0"/>
          <a:ext cx="13992225" cy="800100"/>
          <a:chOff x="0" y="0"/>
          <a:chExt cx="12639675" cy="800100"/>
        </a:xfrm>
      </xdr:grpSpPr>
      <xdr:grpSp>
        <xdr:nvGrpSpPr>
          <xdr:cNvPr id="9" name="IATA Logo Background">
            <a:extLst>
              <a:ext uri="{FF2B5EF4-FFF2-40B4-BE49-F238E27FC236}">
                <a16:creationId xmlns="" xmlns:a16="http://schemas.microsoft.com/office/drawing/2014/main" id="{00000000-0008-0000-0300-000009000000}"/>
              </a:ext>
            </a:extLst>
          </xdr:cNvPr>
          <xdr:cNvGrpSpPr/>
        </xdr:nvGrpSpPr>
        <xdr:grpSpPr>
          <a:xfrm>
            <a:off x="0" y="0"/>
            <a:ext cx="12639675" cy="800100"/>
            <a:chOff x="19051" y="0"/>
            <a:chExt cx="12763500" cy="800100"/>
          </a:xfrm>
        </xdr:grpSpPr>
        <xdr:sp macro="" textlink="">
          <xdr:nvSpPr>
            <xdr:cNvPr id="10" name="AutoShape 2">
              <a:extLst>
                <a:ext uri="{FF2B5EF4-FFF2-40B4-BE49-F238E27FC236}">
                  <a16:creationId xmlns="" xmlns:a16="http://schemas.microsoft.com/office/drawing/2014/main" id="{00000000-0008-0000-0300-00000A000000}"/>
                </a:ext>
              </a:extLst>
            </xdr:cNvPr>
            <xdr:cNvSpPr>
              <a:spLocks noChangeAspect="1" noChangeArrowheads="1" noTextEdit="1"/>
            </xdr:cNvSpPr>
          </xdr:nvSpPr>
          <xdr:spPr bwMode="auto">
            <a:xfrm>
              <a:off x="19051" y="0"/>
              <a:ext cx="12676451" cy="8001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1" name="Rectangle 4">
              <a:extLst>
                <a:ext uri="{FF2B5EF4-FFF2-40B4-BE49-F238E27FC236}">
                  <a16:creationId xmlns="" xmlns:a16="http://schemas.microsoft.com/office/drawing/2014/main" id="{00000000-0008-0000-0300-00000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0"/>
              <a:ext cx="12763500" cy="600075"/>
            </a:xfrm>
            <a:prstGeom prst="rect">
              <a:avLst/>
            </a:prstGeom>
            <a:solidFill>
              <a:srgbClr val="00305B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2" name="Rectangle 5">
              <a:extLst>
                <a:ext uri="{FF2B5EF4-FFF2-40B4-BE49-F238E27FC236}">
                  <a16:creationId xmlns="" xmlns:a16="http://schemas.microsoft.com/office/drawing/2014/main" id="{00000000-0008-0000-0300-00000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81025"/>
              <a:ext cx="12763500" cy="47625"/>
            </a:xfrm>
            <a:prstGeom prst="rect">
              <a:avLst/>
            </a:prstGeom>
            <a:solidFill>
              <a:srgbClr val="0093D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3" name="Rectangle 6">
              <a:extLst>
                <a:ext uri="{FF2B5EF4-FFF2-40B4-BE49-F238E27FC236}">
                  <a16:creationId xmlns="" xmlns:a16="http://schemas.microsoft.com/office/drawing/2014/main" id="{00000000-0008-0000-0300-00000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47700"/>
              <a:ext cx="12763500" cy="9525"/>
            </a:xfrm>
            <a:prstGeom prst="rect">
              <a:avLst/>
            </a:prstGeom>
            <a:solidFill>
              <a:srgbClr val="0093D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4" name="Rectangle 7">
              <a:extLst>
                <a:ext uri="{FF2B5EF4-FFF2-40B4-BE49-F238E27FC236}">
                  <a16:creationId xmlns="" xmlns:a16="http://schemas.microsoft.com/office/drawing/2014/main" id="{00000000-0008-0000-0300-00000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04825"/>
              <a:ext cx="12763500" cy="3810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5" name="Rectangle 8">
              <a:extLst>
                <a:ext uri="{FF2B5EF4-FFF2-40B4-BE49-F238E27FC236}">
                  <a16:creationId xmlns="" xmlns:a16="http://schemas.microsoft.com/office/drawing/2014/main" id="{00000000-0008-0000-0300-00000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95250"/>
              <a:ext cx="12763500" cy="952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6" name="Rectangle 9">
              <a:extLst>
                <a:ext uri="{FF2B5EF4-FFF2-40B4-BE49-F238E27FC236}">
                  <a16:creationId xmlns="" xmlns:a16="http://schemas.microsoft.com/office/drawing/2014/main" id="{00000000-0008-0000-0300-00001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104775"/>
              <a:ext cx="12763500" cy="2857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7" name="Rectangle 10">
              <a:extLst>
                <a:ext uri="{FF2B5EF4-FFF2-40B4-BE49-F238E27FC236}">
                  <a16:creationId xmlns="" xmlns:a16="http://schemas.microsoft.com/office/drawing/2014/main" id="{00000000-0008-0000-0300-00001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323850"/>
              <a:ext cx="12763500" cy="15240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8" name="Rectangle 11">
              <a:extLst>
                <a:ext uri="{FF2B5EF4-FFF2-40B4-BE49-F238E27FC236}">
                  <a16:creationId xmlns="" xmlns:a16="http://schemas.microsoft.com/office/drawing/2014/main" id="{00000000-0008-0000-0300-00001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238125"/>
              <a:ext cx="12763500" cy="3810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9" name="Rectangle 12">
              <a:extLst>
                <a:ext uri="{FF2B5EF4-FFF2-40B4-BE49-F238E27FC236}">
                  <a16:creationId xmlns="" xmlns:a16="http://schemas.microsoft.com/office/drawing/2014/main" id="{00000000-0008-0000-0300-00001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295275"/>
              <a:ext cx="12763500" cy="952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0" name="Rectangle 13">
              <a:extLst>
                <a:ext uri="{FF2B5EF4-FFF2-40B4-BE49-F238E27FC236}">
                  <a16:creationId xmlns="" xmlns:a16="http://schemas.microsoft.com/office/drawing/2014/main" id="{00000000-0008-0000-0300-00001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219075"/>
              <a:ext cx="12763500" cy="9525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1" name="Rectangle 14">
              <a:extLst>
                <a:ext uri="{FF2B5EF4-FFF2-40B4-BE49-F238E27FC236}">
                  <a16:creationId xmlns="" xmlns:a16="http://schemas.microsoft.com/office/drawing/2014/main" id="{00000000-0008-0000-0300-00001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81025"/>
              <a:ext cx="12763500" cy="19050"/>
            </a:xfrm>
            <a:prstGeom prst="rect">
              <a:avLst/>
            </a:prstGeom>
            <a:solidFill>
              <a:srgbClr val="00427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2" name="Rectangle 15">
              <a:extLst>
                <a:ext uri="{FF2B5EF4-FFF2-40B4-BE49-F238E27FC236}">
                  <a16:creationId xmlns="" xmlns:a16="http://schemas.microsoft.com/office/drawing/2014/main" id="{00000000-0008-0000-0300-00001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57225"/>
              <a:ext cx="12763500" cy="38100"/>
            </a:xfrm>
            <a:prstGeom prst="rect">
              <a:avLst/>
            </a:prstGeom>
            <a:solidFill>
              <a:srgbClr val="5CA9DD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3" name="Rectangle 16">
              <a:extLst>
                <a:ext uri="{FF2B5EF4-FFF2-40B4-BE49-F238E27FC236}">
                  <a16:creationId xmlns="" xmlns:a16="http://schemas.microsoft.com/office/drawing/2014/main" id="{00000000-0008-0000-0300-00001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542925"/>
              <a:ext cx="12763500" cy="38100"/>
            </a:xfrm>
            <a:prstGeom prst="rect">
              <a:avLst/>
            </a:prstGeom>
            <a:solidFill>
              <a:srgbClr val="007AC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4" name="Rectangle 17">
              <a:extLst>
                <a:ext uri="{FF2B5EF4-FFF2-40B4-BE49-F238E27FC236}">
                  <a16:creationId xmlns="" xmlns:a16="http://schemas.microsoft.com/office/drawing/2014/main" id="{00000000-0008-0000-0300-00001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495300"/>
              <a:ext cx="12763500" cy="9525"/>
            </a:xfrm>
            <a:prstGeom prst="rect">
              <a:avLst/>
            </a:prstGeom>
            <a:solidFill>
              <a:srgbClr val="007AC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5" name="Rectangle 18">
              <a:extLst>
                <a:ext uri="{FF2B5EF4-FFF2-40B4-BE49-F238E27FC236}">
                  <a16:creationId xmlns="" xmlns:a16="http://schemas.microsoft.com/office/drawing/2014/main" id="{00000000-0008-0000-0300-00001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28650"/>
              <a:ext cx="12763500" cy="19050"/>
            </a:xfrm>
            <a:prstGeom prst="rect">
              <a:avLst/>
            </a:prstGeom>
            <a:solidFill>
              <a:srgbClr val="007AC1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6" name="Rectangle 19">
              <a:extLst>
                <a:ext uri="{FF2B5EF4-FFF2-40B4-BE49-F238E27FC236}">
                  <a16:creationId xmlns="" xmlns:a16="http://schemas.microsoft.com/office/drawing/2014/main" id="{00000000-0008-0000-0300-00001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657225"/>
              <a:ext cx="12763500" cy="9525"/>
            </a:xfrm>
            <a:prstGeom prst="rect">
              <a:avLst/>
            </a:prstGeom>
            <a:solidFill>
              <a:srgbClr val="0093D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7" name="Rectangle 20">
              <a:extLst>
                <a:ext uri="{FF2B5EF4-FFF2-40B4-BE49-F238E27FC236}">
                  <a16:creationId xmlns="" xmlns:a16="http://schemas.microsoft.com/office/drawing/2014/main" id="{00000000-0008-0000-0300-00001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04850"/>
              <a:ext cx="12763500" cy="2857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8" name="Rectangle 21">
              <a:extLst>
                <a:ext uri="{FF2B5EF4-FFF2-40B4-BE49-F238E27FC236}">
                  <a16:creationId xmlns="" xmlns:a16="http://schemas.microsoft.com/office/drawing/2014/main" id="{00000000-0008-0000-0300-00001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42950"/>
              <a:ext cx="12763500" cy="952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29" name="Rectangle 22">
              <a:extLst>
                <a:ext uri="{FF2B5EF4-FFF2-40B4-BE49-F238E27FC236}">
                  <a16:creationId xmlns="" xmlns:a16="http://schemas.microsoft.com/office/drawing/2014/main" id="{00000000-0008-0000-0300-00001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90575"/>
              <a:ext cx="12763500" cy="952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30" name="Rectangle 23">
              <a:extLst>
                <a:ext uri="{FF2B5EF4-FFF2-40B4-BE49-F238E27FC236}">
                  <a16:creationId xmlns="" xmlns:a16="http://schemas.microsoft.com/office/drawing/2014/main" id="{00000000-0008-0000-0300-00001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051" y="771525"/>
              <a:ext cx="12763500" cy="9525"/>
            </a:xfrm>
            <a:prstGeom prst="rect">
              <a:avLst/>
            </a:prstGeom>
            <a:solidFill>
              <a:srgbClr val="9DD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</xdr:grpSp>
      <xdr:sp macro="" textlink="">
        <xdr:nvSpPr>
          <xdr:cNvPr id="32" name="Freeform 24">
            <a:extLst>
              <a:ext uri="{FF2B5EF4-FFF2-40B4-BE49-F238E27FC236}">
                <a16:creationId xmlns="" xmlns:a16="http://schemas.microsoft.com/office/drawing/2014/main" id="{00000000-0008-0000-0300-000020000000}"/>
              </a:ext>
            </a:extLst>
          </xdr:cNvPr>
          <xdr:cNvSpPr>
            <a:spLocks noEditPoints="1"/>
          </xdr:cNvSpPr>
        </xdr:nvSpPr>
        <xdr:spPr bwMode="auto">
          <a:xfrm>
            <a:off x="6086475" y="104775"/>
            <a:ext cx="523875" cy="342900"/>
          </a:xfrm>
          <a:custGeom>
            <a:avLst/>
            <a:gdLst>
              <a:gd name="T0" fmla="*/ 40 w 162"/>
              <a:gd name="T1" fmla="*/ 72 h 105"/>
              <a:gd name="T2" fmla="*/ 55 w 162"/>
              <a:gd name="T3" fmla="*/ 94 h 105"/>
              <a:gd name="T4" fmla="*/ 55 w 162"/>
              <a:gd name="T5" fmla="*/ 94 h 105"/>
              <a:gd name="T6" fmla="*/ 67 w 162"/>
              <a:gd name="T7" fmla="*/ 72 h 105"/>
              <a:gd name="T8" fmla="*/ 63 w 162"/>
              <a:gd name="T9" fmla="*/ 101 h 105"/>
              <a:gd name="T10" fmla="*/ 40 w 162"/>
              <a:gd name="T11" fmla="*/ 105 h 105"/>
              <a:gd name="T12" fmla="*/ 78 w 162"/>
              <a:gd name="T13" fmla="*/ 80 h 105"/>
              <a:gd name="T14" fmla="*/ 107 w 162"/>
              <a:gd name="T15" fmla="*/ 80 h 105"/>
              <a:gd name="T16" fmla="*/ 84 w 162"/>
              <a:gd name="T17" fmla="*/ 105 h 105"/>
              <a:gd name="T18" fmla="*/ 126 w 162"/>
              <a:gd name="T19" fmla="*/ 82 h 105"/>
              <a:gd name="T20" fmla="*/ 122 w 162"/>
              <a:gd name="T21" fmla="*/ 72 h 105"/>
              <a:gd name="T22" fmla="*/ 129 w 162"/>
              <a:gd name="T23" fmla="*/ 105 h 105"/>
              <a:gd name="T24" fmla="*/ 116 w 162"/>
              <a:gd name="T25" fmla="*/ 105 h 105"/>
              <a:gd name="T26" fmla="*/ 112 w 162"/>
              <a:gd name="T27" fmla="*/ 34 h 105"/>
              <a:gd name="T28" fmla="*/ 130 w 162"/>
              <a:gd name="T29" fmla="*/ 65 h 105"/>
              <a:gd name="T30" fmla="*/ 111 w 162"/>
              <a:gd name="T31" fmla="*/ 57 h 105"/>
              <a:gd name="T32" fmla="*/ 115 w 162"/>
              <a:gd name="T33" fmla="*/ 50 h 105"/>
              <a:gd name="T34" fmla="*/ 155 w 162"/>
              <a:gd name="T35" fmla="*/ 42 h 105"/>
              <a:gd name="T36" fmla="*/ 155 w 162"/>
              <a:gd name="T37" fmla="*/ 40 h 105"/>
              <a:gd name="T38" fmla="*/ 50 w 162"/>
              <a:gd name="T39" fmla="*/ 34 h 105"/>
              <a:gd name="T40" fmla="*/ 33 w 162"/>
              <a:gd name="T41" fmla="*/ 65 h 105"/>
              <a:gd name="T42" fmla="*/ 52 w 162"/>
              <a:gd name="T43" fmla="*/ 57 h 105"/>
              <a:gd name="T44" fmla="*/ 48 w 162"/>
              <a:gd name="T45" fmla="*/ 50 h 105"/>
              <a:gd name="T46" fmla="*/ 8 w 162"/>
              <a:gd name="T47" fmla="*/ 42 h 105"/>
              <a:gd name="T48" fmla="*/ 7 w 162"/>
              <a:gd name="T49" fmla="*/ 40 h 105"/>
              <a:gd name="T50" fmla="*/ 71 w 162"/>
              <a:gd name="T51" fmla="*/ 10 h 105"/>
              <a:gd name="T52" fmla="*/ 56 w 162"/>
              <a:gd name="T53" fmla="*/ 24 h 105"/>
              <a:gd name="T54" fmla="*/ 63 w 162"/>
              <a:gd name="T55" fmla="*/ 7 h 105"/>
              <a:gd name="T56" fmla="*/ 80 w 162"/>
              <a:gd name="T57" fmla="*/ 24 h 105"/>
              <a:gd name="T58" fmla="*/ 80 w 162"/>
              <a:gd name="T59" fmla="*/ 14 h 105"/>
              <a:gd name="T60" fmla="*/ 84 w 162"/>
              <a:gd name="T61" fmla="*/ 0 h 105"/>
              <a:gd name="T62" fmla="*/ 95 w 162"/>
              <a:gd name="T63" fmla="*/ 24 h 105"/>
              <a:gd name="T64" fmla="*/ 107 w 162"/>
              <a:gd name="T65" fmla="*/ 24 h 105"/>
              <a:gd name="T66" fmla="*/ 93 w 162"/>
              <a:gd name="T67" fmla="*/ 24 h 105"/>
              <a:gd name="T68" fmla="*/ 65 w 162"/>
              <a:gd name="T69" fmla="*/ 45 h 105"/>
              <a:gd name="T70" fmla="*/ 65 w 162"/>
              <a:gd name="T71" fmla="*/ 45 h 105"/>
              <a:gd name="T72" fmla="*/ 70 w 162"/>
              <a:gd name="T73" fmla="*/ 39 h 105"/>
              <a:gd name="T74" fmla="*/ 80 w 162"/>
              <a:gd name="T75" fmla="*/ 37 h 105"/>
              <a:gd name="T76" fmla="*/ 72 w 162"/>
              <a:gd name="T77" fmla="*/ 39 h 105"/>
              <a:gd name="T78" fmla="*/ 91 w 162"/>
              <a:gd name="T79" fmla="*/ 41 h 105"/>
              <a:gd name="T80" fmla="*/ 107 w 162"/>
              <a:gd name="T81" fmla="*/ 26 h 105"/>
              <a:gd name="T82" fmla="*/ 99 w 162"/>
              <a:gd name="T83" fmla="*/ 44 h 105"/>
              <a:gd name="T84" fmla="*/ 82 w 162"/>
              <a:gd name="T85" fmla="*/ 26 h 105"/>
              <a:gd name="T86" fmla="*/ 82 w 162"/>
              <a:gd name="T87" fmla="*/ 37 h 105"/>
              <a:gd name="T88" fmla="*/ 80 w 162"/>
              <a:gd name="T89" fmla="*/ 12 h 105"/>
              <a:gd name="T90" fmla="*/ 90 w 162"/>
              <a:gd name="T91" fmla="*/ 11 h 105"/>
              <a:gd name="T92" fmla="*/ 80 w 162"/>
              <a:gd name="T93" fmla="*/ 50 h 105"/>
              <a:gd name="T94" fmla="*/ 80 w 162"/>
              <a:gd name="T95" fmla="*/ 50 h 105"/>
              <a:gd name="T96" fmla="*/ 82 w 162"/>
              <a:gd name="T97" fmla="*/ 39 h 10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162" h="105">
                <a:moveTo>
                  <a:pt x="23" y="105"/>
                </a:moveTo>
                <a:cubicBezTo>
                  <a:pt x="30" y="72"/>
                  <a:pt x="30" y="72"/>
                  <a:pt x="30" y="72"/>
                </a:cubicBezTo>
                <a:cubicBezTo>
                  <a:pt x="40" y="72"/>
                  <a:pt x="40" y="72"/>
                  <a:pt x="40" y="72"/>
                </a:cubicBezTo>
                <a:cubicBezTo>
                  <a:pt x="34" y="105"/>
                  <a:pt x="34" y="105"/>
                  <a:pt x="34" y="105"/>
                </a:cubicBezTo>
                <a:cubicBezTo>
                  <a:pt x="23" y="105"/>
                  <a:pt x="23" y="105"/>
                  <a:pt x="23" y="105"/>
                </a:cubicBezTo>
                <a:close/>
                <a:moveTo>
                  <a:pt x="55" y="94"/>
                </a:moveTo>
                <a:cubicBezTo>
                  <a:pt x="62" y="94"/>
                  <a:pt x="62" y="94"/>
                  <a:pt x="62" y="94"/>
                </a:cubicBezTo>
                <a:cubicBezTo>
                  <a:pt x="61" y="82"/>
                  <a:pt x="61" y="82"/>
                  <a:pt x="61" y="82"/>
                </a:cubicBezTo>
                <a:cubicBezTo>
                  <a:pt x="55" y="94"/>
                  <a:pt x="55" y="94"/>
                  <a:pt x="55" y="94"/>
                </a:cubicBezTo>
                <a:close/>
                <a:moveTo>
                  <a:pt x="40" y="105"/>
                </a:moveTo>
                <a:cubicBezTo>
                  <a:pt x="57" y="72"/>
                  <a:pt x="57" y="72"/>
                  <a:pt x="57" y="72"/>
                </a:cubicBezTo>
                <a:cubicBezTo>
                  <a:pt x="67" y="72"/>
                  <a:pt x="67" y="72"/>
                  <a:pt x="67" y="72"/>
                </a:cubicBezTo>
                <a:cubicBezTo>
                  <a:pt x="74" y="105"/>
                  <a:pt x="74" y="105"/>
                  <a:pt x="74" y="105"/>
                </a:cubicBezTo>
                <a:cubicBezTo>
                  <a:pt x="64" y="105"/>
                  <a:pt x="64" y="105"/>
                  <a:pt x="64" y="105"/>
                </a:cubicBezTo>
                <a:cubicBezTo>
                  <a:pt x="63" y="101"/>
                  <a:pt x="63" y="101"/>
                  <a:pt x="63" y="101"/>
                </a:cubicBezTo>
                <a:cubicBezTo>
                  <a:pt x="53" y="101"/>
                  <a:pt x="53" y="101"/>
                  <a:pt x="53" y="101"/>
                </a:cubicBezTo>
                <a:cubicBezTo>
                  <a:pt x="51" y="105"/>
                  <a:pt x="51" y="105"/>
                  <a:pt x="51" y="105"/>
                </a:cubicBezTo>
                <a:cubicBezTo>
                  <a:pt x="40" y="105"/>
                  <a:pt x="40" y="105"/>
                  <a:pt x="40" y="105"/>
                </a:cubicBezTo>
                <a:close/>
                <a:moveTo>
                  <a:pt x="84" y="105"/>
                </a:moveTo>
                <a:cubicBezTo>
                  <a:pt x="88" y="80"/>
                  <a:pt x="88" y="80"/>
                  <a:pt x="88" y="80"/>
                </a:cubicBezTo>
                <a:cubicBezTo>
                  <a:pt x="78" y="80"/>
                  <a:pt x="78" y="80"/>
                  <a:pt x="78" y="80"/>
                </a:cubicBezTo>
                <a:cubicBezTo>
                  <a:pt x="80" y="71"/>
                  <a:pt x="80" y="71"/>
                  <a:pt x="80" y="71"/>
                </a:cubicBezTo>
                <a:cubicBezTo>
                  <a:pt x="109" y="71"/>
                  <a:pt x="109" y="71"/>
                  <a:pt x="109" y="71"/>
                </a:cubicBezTo>
                <a:cubicBezTo>
                  <a:pt x="107" y="80"/>
                  <a:pt x="107" y="80"/>
                  <a:pt x="107" y="80"/>
                </a:cubicBezTo>
                <a:cubicBezTo>
                  <a:pt x="98" y="80"/>
                  <a:pt x="98" y="80"/>
                  <a:pt x="98" y="80"/>
                </a:cubicBezTo>
                <a:cubicBezTo>
                  <a:pt x="95" y="105"/>
                  <a:pt x="95" y="105"/>
                  <a:pt x="95" y="105"/>
                </a:cubicBezTo>
                <a:cubicBezTo>
                  <a:pt x="84" y="105"/>
                  <a:pt x="84" y="105"/>
                  <a:pt x="84" y="105"/>
                </a:cubicBezTo>
                <a:close/>
                <a:moveTo>
                  <a:pt x="120" y="94"/>
                </a:moveTo>
                <a:cubicBezTo>
                  <a:pt x="127" y="94"/>
                  <a:pt x="127" y="94"/>
                  <a:pt x="127" y="94"/>
                </a:cubicBezTo>
                <a:cubicBezTo>
                  <a:pt x="126" y="82"/>
                  <a:pt x="126" y="82"/>
                  <a:pt x="126" y="82"/>
                </a:cubicBezTo>
                <a:cubicBezTo>
                  <a:pt x="120" y="94"/>
                  <a:pt x="120" y="94"/>
                  <a:pt x="120" y="94"/>
                </a:cubicBezTo>
                <a:close/>
                <a:moveTo>
                  <a:pt x="105" y="105"/>
                </a:moveTo>
                <a:cubicBezTo>
                  <a:pt x="122" y="72"/>
                  <a:pt x="122" y="72"/>
                  <a:pt x="122" y="72"/>
                </a:cubicBezTo>
                <a:cubicBezTo>
                  <a:pt x="132" y="72"/>
                  <a:pt x="132" y="72"/>
                  <a:pt x="132" y="72"/>
                </a:cubicBezTo>
                <a:cubicBezTo>
                  <a:pt x="139" y="105"/>
                  <a:pt x="139" y="105"/>
                  <a:pt x="139" y="105"/>
                </a:cubicBezTo>
                <a:cubicBezTo>
                  <a:pt x="129" y="105"/>
                  <a:pt x="129" y="105"/>
                  <a:pt x="129" y="105"/>
                </a:cubicBezTo>
                <a:cubicBezTo>
                  <a:pt x="128" y="101"/>
                  <a:pt x="128" y="101"/>
                  <a:pt x="128" y="101"/>
                </a:cubicBezTo>
                <a:cubicBezTo>
                  <a:pt x="118" y="101"/>
                  <a:pt x="118" y="101"/>
                  <a:pt x="118" y="101"/>
                </a:cubicBezTo>
                <a:cubicBezTo>
                  <a:pt x="116" y="105"/>
                  <a:pt x="116" y="105"/>
                  <a:pt x="116" y="105"/>
                </a:cubicBezTo>
                <a:cubicBezTo>
                  <a:pt x="105" y="105"/>
                  <a:pt x="105" y="105"/>
                  <a:pt x="105" y="105"/>
                </a:cubicBezTo>
                <a:close/>
                <a:moveTo>
                  <a:pt x="162" y="34"/>
                </a:moveTo>
                <a:cubicBezTo>
                  <a:pt x="112" y="34"/>
                  <a:pt x="112" y="34"/>
                  <a:pt x="112" y="34"/>
                </a:cubicBezTo>
                <a:cubicBezTo>
                  <a:pt x="110" y="43"/>
                  <a:pt x="103" y="51"/>
                  <a:pt x="91" y="57"/>
                </a:cubicBezTo>
                <a:cubicBezTo>
                  <a:pt x="92" y="61"/>
                  <a:pt x="97" y="65"/>
                  <a:pt x="102" y="65"/>
                </a:cubicBezTo>
                <a:cubicBezTo>
                  <a:pt x="130" y="65"/>
                  <a:pt x="130" y="65"/>
                  <a:pt x="130" y="65"/>
                </a:cubicBezTo>
                <a:cubicBezTo>
                  <a:pt x="134" y="65"/>
                  <a:pt x="137" y="62"/>
                  <a:pt x="139" y="59"/>
                </a:cubicBezTo>
                <a:cubicBezTo>
                  <a:pt x="111" y="59"/>
                  <a:pt x="111" y="59"/>
                  <a:pt x="111" y="59"/>
                </a:cubicBezTo>
                <a:cubicBezTo>
                  <a:pt x="109" y="58"/>
                  <a:pt x="109" y="57"/>
                  <a:pt x="111" y="57"/>
                </a:cubicBezTo>
                <a:cubicBezTo>
                  <a:pt x="138" y="57"/>
                  <a:pt x="138" y="57"/>
                  <a:pt x="138" y="57"/>
                </a:cubicBezTo>
                <a:cubicBezTo>
                  <a:pt x="142" y="57"/>
                  <a:pt x="145" y="54"/>
                  <a:pt x="147" y="50"/>
                </a:cubicBezTo>
                <a:cubicBezTo>
                  <a:pt x="115" y="50"/>
                  <a:pt x="115" y="50"/>
                  <a:pt x="115" y="50"/>
                </a:cubicBezTo>
                <a:cubicBezTo>
                  <a:pt x="113" y="50"/>
                  <a:pt x="113" y="49"/>
                  <a:pt x="115" y="49"/>
                </a:cubicBezTo>
                <a:cubicBezTo>
                  <a:pt x="147" y="49"/>
                  <a:pt x="147" y="49"/>
                  <a:pt x="147" y="49"/>
                </a:cubicBezTo>
                <a:cubicBezTo>
                  <a:pt x="150" y="49"/>
                  <a:pt x="153" y="45"/>
                  <a:pt x="155" y="42"/>
                </a:cubicBezTo>
                <a:cubicBezTo>
                  <a:pt x="119" y="42"/>
                  <a:pt x="119" y="42"/>
                  <a:pt x="119" y="42"/>
                </a:cubicBezTo>
                <a:cubicBezTo>
                  <a:pt x="117" y="42"/>
                  <a:pt x="117" y="40"/>
                  <a:pt x="119" y="40"/>
                </a:cubicBezTo>
                <a:cubicBezTo>
                  <a:pt x="155" y="40"/>
                  <a:pt x="155" y="40"/>
                  <a:pt x="155" y="40"/>
                </a:cubicBezTo>
                <a:cubicBezTo>
                  <a:pt x="158" y="40"/>
                  <a:pt x="160" y="37"/>
                  <a:pt x="162" y="34"/>
                </a:cubicBezTo>
                <a:close/>
                <a:moveTo>
                  <a:pt x="0" y="34"/>
                </a:moveTo>
                <a:cubicBezTo>
                  <a:pt x="50" y="34"/>
                  <a:pt x="50" y="34"/>
                  <a:pt x="50" y="34"/>
                </a:cubicBezTo>
                <a:cubicBezTo>
                  <a:pt x="52" y="43"/>
                  <a:pt x="59" y="51"/>
                  <a:pt x="72" y="57"/>
                </a:cubicBezTo>
                <a:cubicBezTo>
                  <a:pt x="70" y="61"/>
                  <a:pt x="65" y="65"/>
                  <a:pt x="60" y="65"/>
                </a:cubicBezTo>
                <a:cubicBezTo>
                  <a:pt x="33" y="65"/>
                  <a:pt x="33" y="65"/>
                  <a:pt x="33" y="65"/>
                </a:cubicBezTo>
                <a:cubicBezTo>
                  <a:pt x="28" y="65"/>
                  <a:pt x="25" y="62"/>
                  <a:pt x="24" y="59"/>
                </a:cubicBezTo>
                <a:cubicBezTo>
                  <a:pt x="52" y="59"/>
                  <a:pt x="52" y="59"/>
                  <a:pt x="52" y="59"/>
                </a:cubicBezTo>
                <a:cubicBezTo>
                  <a:pt x="53" y="58"/>
                  <a:pt x="53" y="57"/>
                  <a:pt x="52" y="57"/>
                </a:cubicBezTo>
                <a:cubicBezTo>
                  <a:pt x="24" y="57"/>
                  <a:pt x="24" y="57"/>
                  <a:pt x="24" y="57"/>
                </a:cubicBezTo>
                <a:cubicBezTo>
                  <a:pt x="21" y="57"/>
                  <a:pt x="17" y="54"/>
                  <a:pt x="16" y="50"/>
                </a:cubicBezTo>
                <a:cubicBezTo>
                  <a:pt x="48" y="50"/>
                  <a:pt x="48" y="50"/>
                  <a:pt x="48" y="50"/>
                </a:cubicBezTo>
                <a:cubicBezTo>
                  <a:pt x="49" y="50"/>
                  <a:pt x="49" y="49"/>
                  <a:pt x="48" y="49"/>
                </a:cubicBezTo>
                <a:cubicBezTo>
                  <a:pt x="15" y="49"/>
                  <a:pt x="15" y="49"/>
                  <a:pt x="15" y="49"/>
                </a:cubicBezTo>
                <a:cubicBezTo>
                  <a:pt x="12" y="49"/>
                  <a:pt x="9" y="45"/>
                  <a:pt x="8" y="42"/>
                </a:cubicBezTo>
                <a:cubicBezTo>
                  <a:pt x="43" y="42"/>
                  <a:pt x="43" y="42"/>
                  <a:pt x="43" y="42"/>
                </a:cubicBezTo>
                <a:cubicBezTo>
                  <a:pt x="45" y="42"/>
                  <a:pt x="45" y="40"/>
                  <a:pt x="43" y="40"/>
                </a:cubicBezTo>
                <a:cubicBezTo>
                  <a:pt x="7" y="40"/>
                  <a:pt x="7" y="40"/>
                  <a:pt x="7" y="40"/>
                </a:cubicBezTo>
                <a:cubicBezTo>
                  <a:pt x="4" y="40"/>
                  <a:pt x="2" y="37"/>
                  <a:pt x="0" y="34"/>
                </a:cubicBezTo>
                <a:close/>
                <a:moveTo>
                  <a:pt x="65" y="6"/>
                </a:moveTo>
                <a:cubicBezTo>
                  <a:pt x="66" y="8"/>
                  <a:pt x="69" y="9"/>
                  <a:pt x="71" y="10"/>
                </a:cubicBezTo>
                <a:cubicBezTo>
                  <a:pt x="73" y="6"/>
                  <a:pt x="75" y="3"/>
                  <a:pt x="79" y="0"/>
                </a:cubicBezTo>
                <a:cubicBezTo>
                  <a:pt x="73" y="1"/>
                  <a:pt x="69" y="3"/>
                  <a:pt x="65" y="6"/>
                </a:cubicBezTo>
                <a:close/>
                <a:moveTo>
                  <a:pt x="56" y="24"/>
                </a:moveTo>
                <a:cubicBezTo>
                  <a:pt x="67" y="24"/>
                  <a:pt x="67" y="24"/>
                  <a:pt x="67" y="24"/>
                </a:cubicBezTo>
                <a:cubicBezTo>
                  <a:pt x="67" y="20"/>
                  <a:pt x="68" y="16"/>
                  <a:pt x="70" y="12"/>
                </a:cubicBezTo>
                <a:cubicBezTo>
                  <a:pt x="67" y="10"/>
                  <a:pt x="65" y="9"/>
                  <a:pt x="63" y="7"/>
                </a:cubicBezTo>
                <a:cubicBezTo>
                  <a:pt x="58" y="12"/>
                  <a:pt x="56" y="18"/>
                  <a:pt x="56" y="24"/>
                </a:cubicBezTo>
                <a:close/>
                <a:moveTo>
                  <a:pt x="80" y="14"/>
                </a:moveTo>
                <a:cubicBezTo>
                  <a:pt x="80" y="24"/>
                  <a:pt x="80" y="24"/>
                  <a:pt x="80" y="24"/>
                </a:cubicBezTo>
                <a:cubicBezTo>
                  <a:pt x="69" y="24"/>
                  <a:pt x="69" y="24"/>
                  <a:pt x="69" y="24"/>
                </a:cubicBezTo>
                <a:cubicBezTo>
                  <a:pt x="69" y="20"/>
                  <a:pt x="70" y="16"/>
                  <a:pt x="72" y="12"/>
                </a:cubicBezTo>
                <a:cubicBezTo>
                  <a:pt x="74" y="13"/>
                  <a:pt x="77" y="14"/>
                  <a:pt x="80" y="14"/>
                </a:cubicBezTo>
                <a:close/>
                <a:moveTo>
                  <a:pt x="98" y="6"/>
                </a:moveTo>
                <a:cubicBezTo>
                  <a:pt x="96" y="8"/>
                  <a:pt x="94" y="9"/>
                  <a:pt x="91" y="10"/>
                </a:cubicBezTo>
                <a:cubicBezTo>
                  <a:pt x="89" y="6"/>
                  <a:pt x="87" y="3"/>
                  <a:pt x="84" y="0"/>
                </a:cubicBezTo>
                <a:cubicBezTo>
                  <a:pt x="89" y="1"/>
                  <a:pt x="94" y="3"/>
                  <a:pt x="98" y="6"/>
                </a:cubicBezTo>
                <a:close/>
                <a:moveTo>
                  <a:pt x="107" y="24"/>
                </a:moveTo>
                <a:cubicBezTo>
                  <a:pt x="95" y="24"/>
                  <a:pt x="95" y="24"/>
                  <a:pt x="95" y="24"/>
                </a:cubicBezTo>
                <a:cubicBezTo>
                  <a:pt x="95" y="20"/>
                  <a:pt x="94" y="16"/>
                  <a:pt x="92" y="12"/>
                </a:cubicBezTo>
                <a:cubicBezTo>
                  <a:pt x="95" y="10"/>
                  <a:pt x="97" y="9"/>
                  <a:pt x="99" y="7"/>
                </a:cubicBezTo>
                <a:cubicBezTo>
                  <a:pt x="104" y="12"/>
                  <a:pt x="106" y="18"/>
                  <a:pt x="107" y="24"/>
                </a:cubicBezTo>
                <a:close/>
                <a:moveTo>
                  <a:pt x="82" y="14"/>
                </a:moveTo>
                <a:cubicBezTo>
                  <a:pt x="82" y="24"/>
                  <a:pt x="82" y="24"/>
                  <a:pt x="82" y="24"/>
                </a:cubicBezTo>
                <a:cubicBezTo>
                  <a:pt x="93" y="24"/>
                  <a:pt x="93" y="24"/>
                  <a:pt x="93" y="24"/>
                </a:cubicBezTo>
                <a:cubicBezTo>
                  <a:pt x="93" y="20"/>
                  <a:pt x="92" y="16"/>
                  <a:pt x="91" y="12"/>
                </a:cubicBezTo>
                <a:cubicBezTo>
                  <a:pt x="88" y="13"/>
                  <a:pt x="85" y="14"/>
                  <a:pt x="82" y="14"/>
                </a:cubicBezTo>
                <a:close/>
                <a:moveTo>
                  <a:pt x="65" y="45"/>
                </a:moveTo>
                <a:cubicBezTo>
                  <a:pt x="66" y="43"/>
                  <a:pt x="69" y="42"/>
                  <a:pt x="71" y="41"/>
                </a:cubicBezTo>
                <a:cubicBezTo>
                  <a:pt x="73" y="45"/>
                  <a:pt x="75" y="48"/>
                  <a:pt x="79" y="51"/>
                </a:cubicBezTo>
                <a:cubicBezTo>
                  <a:pt x="73" y="50"/>
                  <a:pt x="69" y="48"/>
                  <a:pt x="65" y="45"/>
                </a:cubicBezTo>
                <a:close/>
                <a:moveTo>
                  <a:pt x="56" y="26"/>
                </a:moveTo>
                <a:cubicBezTo>
                  <a:pt x="67" y="26"/>
                  <a:pt x="67" y="26"/>
                  <a:pt x="67" y="26"/>
                </a:cubicBezTo>
                <a:cubicBezTo>
                  <a:pt x="67" y="31"/>
                  <a:pt x="68" y="35"/>
                  <a:pt x="70" y="39"/>
                </a:cubicBezTo>
                <a:cubicBezTo>
                  <a:pt x="67" y="41"/>
                  <a:pt x="65" y="42"/>
                  <a:pt x="63" y="44"/>
                </a:cubicBezTo>
                <a:cubicBezTo>
                  <a:pt x="59" y="39"/>
                  <a:pt x="56" y="33"/>
                  <a:pt x="56" y="26"/>
                </a:cubicBezTo>
                <a:close/>
                <a:moveTo>
                  <a:pt x="80" y="37"/>
                </a:moveTo>
                <a:cubicBezTo>
                  <a:pt x="80" y="26"/>
                  <a:pt x="80" y="26"/>
                  <a:pt x="80" y="26"/>
                </a:cubicBezTo>
                <a:cubicBezTo>
                  <a:pt x="69" y="26"/>
                  <a:pt x="69" y="26"/>
                  <a:pt x="69" y="26"/>
                </a:cubicBezTo>
                <a:cubicBezTo>
                  <a:pt x="69" y="31"/>
                  <a:pt x="70" y="35"/>
                  <a:pt x="72" y="39"/>
                </a:cubicBezTo>
                <a:cubicBezTo>
                  <a:pt x="74" y="38"/>
                  <a:pt x="77" y="37"/>
                  <a:pt x="80" y="37"/>
                </a:cubicBezTo>
                <a:close/>
                <a:moveTo>
                  <a:pt x="98" y="45"/>
                </a:moveTo>
                <a:cubicBezTo>
                  <a:pt x="96" y="43"/>
                  <a:pt x="94" y="42"/>
                  <a:pt x="91" y="41"/>
                </a:cubicBezTo>
                <a:cubicBezTo>
                  <a:pt x="89" y="45"/>
                  <a:pt x="87" y="48"/>
                  <a:pt x="84" y="51"/>
                </a:cubicBezTo>
                <a:cubicBezTo>
                  <a:pt x="89" y="50"/>
                  <a:pt x="94" y="48"/>
                  <a:pt x="98" y="45"/>
                </a:cubicBezTo>
                <a:close/>
                <a:moveTo>
                  <a:pt x="107" y="26"/>
                </a:moveTo>
                <a:cubicBezTo>
                  <a:pt x="95" y="26"/>
                  <a:pt x="95" y="26"/>
                  <a:pt x="95" y="26"/>
                </a:cubicBezTo>
                <a:cubicBezTo>
                  <a:pt x="95" y="31"/>
                  <a:pt x="94" y="35"/>
                  <a:pt x="92" y="39"/>
                </a:cubicBezTo>
                <a:cubicBezTo>
                  <a:pt x="95" y="41"/>
                  <a:pt x="97" y="42"/>
                  <a:pt x="99" y="44"/>
                </a:cubicBezTo>
                <a:cubicBezTo>
                  <a:pt x="104" y="39"/>
                  <a:pt x="106" y="33"/>
                  <a:pt x="107" y="26"/>
                </a:cubicBezTo>
                <a:close/>
                <a:moveTo>
                  <a:pt x="82" y="37"/>
                </a:moveTo>
                <a:cubicBezTo>
                  <a:pt x="82" y="26"/>
                  <a:pt x="82" y="26"/>
                  <a:pt x="82" y="26"/>
                </a:cubicBezTo>
                <a:cubicBezTo>
                  <a:pt x="93" y="26"/>
                  <a:pt x="93" y="26"/>
                  <a:pt x="93" y="26"/>
                </a:cubicBezTo>
                <a:cubicBezTo>
                  <a:pt x="93" y="31"/>
                  <a:pt x="92" y="35"/>
                  <a:pt x="91" y="39"/>
                </a:cubicBezTo>
                <a:cubicBezTo>
                  <a:pt x="88" y="38"/>
                  <a:pt x="85" y="37"/>
                  <a:pt x="82" y="37"/>
                </a:cubicBezTo>
                <a:close/>
                <a:moveTo>
                  <a:pt x="80" y="1"/>
                </a:moveTo>
                <a:cubicBezTo>
                  <a:pt x="77" y="4"/>
                  <a:pt x="74" y="7"/>
                  <a:pt x="73" y="11"/>
                </a:cubicBezTo>
                <a:cubicBezTo>
                  <a:pt x="75" y="11"/>
                  <a:pt x="78" y="12"/>
                  <a:pt x="80" y="12"/>
                </a:cubicBezTo>
                <a:cubicBezTo>
                  <a:pt x="80" y="1"/>
                  <a:pt x="80" y="1"/>
                  <a:pt x="80" y="1"/>
                </a:cubicBezTo>
                <a:close/>
                <a:moveTo>
                  <a:pt x="82" y="1"/>
                </a:moveTo>
                <a:cubicBezTo>
                  <a:pt x="85" y="4"/>
                  <a:pt x="88" y="7"/>
                  <a:pt x="90" y="11"/>
                </a:cubicBezTo>
                <a:cubicBezTo>
                  <a:pt x="87" y="11"/>
                  <a:pt x="85" y="12"/>
                  <a:pt x="82" y="12"/>
                </a:cubicBezTo>
                <a:cubicBezTo>
                  <a:pt x="82" y="1"/>
                  <a:pt x="82" y="1"/>
                  <a:pt x="82" y="1"/>
                </a:cubicBezTo>
                <a:close/>
                <a:moveTo>
                  <a:pt x="80" y="50"/>
                </a:moveTo>
                <a:cubicBezTo>
                  <a:pt x="77" y="47"/>
                  <a:pt x="74" y="44"/>
                  <a:pt x="73" y="40"/>
                </a:cubicBezTo>
                <a:cubicBezTo>
                  <a:pt x="75" y="39"/>
                  <a:pt x="78" y="39"/>
                  <a:pt x="80" y="39"/>
                </a:cubicBezTo>
                <a:cubicBezTo>
                  <a:pt x="80" y="50"/>
                  <a:pt x="80" y="50"/>
                  <a:pt x="80" y="50"/>
                </a:cubicBezTo>
                <a:close/>
                <a:moveTo>
                  <a:pt x="82" y="50"/>
                </a:moveTo>
                <a:cubicBezTo>
                  <a:pt x="85" y="47"/>
                  <a:pt x="88" y="44"/>
                  <a:pt x="90" y="40"/>
                </a:cubicBezTo>
                <a:cubicBezTo>
                  <a:pt x="87" y="39"/>
                  <a:pt x="85" y="39"/>
                  <a:pt x="82" y="39"/>
                </a:cubicBezTo>
                <a:cubicBezTo>
                  <a:pt x="82" y="50"/>
                  <a:pt x="82" y="50"/>
                  <a:pt x="82" y="50"/>
                </a:cubicBez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xdr:twoCellAnchor editAs="absolute">
    <xdr:from>
      <xdr:col>0</xdr:col>
      <xdr:colOff>161925</xdr:colOff>
      <xdr:row>4</xdr:row>
      <xdr:rowOff>95250</xdr:rowOff>
    </xdr:from>
    <xdr:to>
      <xdr:col>0</xdr:col>
      <xdr:colOff>476249</xdr:colOff>
      <xdr:row>6</xdr:row>
      <xdr:rowOff>4395</xdr:rowOff>
    </xdr:to>
    <xdr:pic>
      <xdr:nvPicPr>
        <xdr:cNvPr id="33" name="Picture 32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857250"/>
          <a:ext cx="314324" cy="290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133350</xdr:colOff>
      <xdr:row>7</xdr:row>
      <xdr:rowOff>180974</xdr:rowOff>
    </xdr:from>
    <xdr:to>
      <xdr:col>1</xdr:col>
      <xdr:colOff>1371600</xdr:colOff>
      <xdr:row>10</xdr:row>
      <xdr:rowOff>133349</xdr:rowOff>
    </xdr:to>
    <xdr:sp macro="[0]!ChartPassenggerHandlingProcedures" textlink="">
      <xdr:nvSpPr>
        <xdr:cNvPr id="34" name="Button1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SpPr/>
      </xdr:nvSpPr>
      <xdr:spPr>
        <a:xfrm>
          <a:off x="133350" y="1514474"/>
          <a:ext cx="2085975" cy="52387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3175">
          <a:solidFill>
            <a:schemeClr val="tx1">
              <a:alpha val="25000"/>
            </a:schemeClr>
          </a:solidFill>
        </a:ln>
        <a:effectLst>
          <a:outerShdw dist="127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0">
              <a:latin typeface="+mn-lt"/>
              <a:cs typeface="Latha" panose="020B0604020202020204" pitchFamily="34" charset="0"/>
            </a:rPr>
            <a:t>Passenger</a:t>
          </a:r>
          <a:r>
            <a:rPr lang="en-US" sz="1100" b="0" baseline="0">
              <a:latin typeface="+mn-lt"/>
              <a:cs typeface="Latha" panose="020B0604020202020204" pitchFamily="34" charset="0"/>
            </a:rPr>
            <a:t> Handling Procedures</a:t>
          </a:r>
          <a:endParaRPr lang="en-US" sz="1100" b="0">
            <a:latin typeface="+mn-lt"/>
            <a:cs typeface="Latha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133350</xdr:colOff>
      <xdr:row>10</xdr:row>
      <xdr:rowOff>151160</xdr:rowOff>
    </xdr:from>
    <xdr:to>
      <xdr:col>1</xdr:col>
      <xdr:colOff>1381125</xdr:colOff>
      <xdr:row>13</xdr:row>
      <xdr:rowOff>73436</xdr:rowOff>
    </xdr:to>
    <xdr:sp macro="[0]!ChartBaggageHandlingProcedures" textlink="">
      <xdr:nvSpPr>
        <xdr:cNvPr id="40" name="Button1">
          <a:extLst>
            <a:ext uri="{FF2B5EF4-FFF2-40B4-BE49-F238E27FC236}">
              <a16:creationId xmlns="" xmlns:a16="http://schemas.microsoft.com/office/drawing/2014/main" id="{00000000-0008-0000-0300-000028000000}"/>
            </a:ext>
          </a:extLst>
        </xdr:cNvPr>
        <xdr:cNvSpPr/>
      </xdr:nvSpPr>
      <xdr:spPr>
        <a:xfrm>
          <a:off x="133350" y="2056160"/>
          <a:ext cx="2095500" cy="493776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3175">
          <a:solidFill>
            <a:schemeClr val="tx1">
              <a:alpha val="25000"/>
            </a:schemeClr>
          </a:solidFill>
        </a:ln>
        <a:effectLst>
          <a:outerShdw dist="127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0">
              <a:latin typeface="+mn-lt"/>
              <a:cs typeface="Latha" panose="020B0604020202020204" pitchFamily="34" charset="0"/>
            </a:rPr>
            <a:t>Baggage</a:t>
          </a:r>
          <a:r>
            <a:rPr lang="en-US" sz="1100" b="0" baseline="0">
              <a:latin typeface="+mn-lt"/>
              <a:cs typeface="Latha" panose="020B0604020202020204" pitchFamily="34" charset="0"/>
            </a:rPr>
            <a:t> Handling Procedures</a:t>
          </a:r>
          <a:endParaRPr lang="en-US" sz="1100" b="0">
            <a:latin typeface="+mn-lt"/>
            <a:cs typeface="Latha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133349</xdr:colOff>
      <xdr:row>13</xdr:row>
      <xdr:rowOff>91247</xdr:rowOff>
    </xdr:from>
    <xdr:to>
      <xdr:col>1</xdr:col>
      <xdr:colOff>1371599</xdr:colOff>
      <xdr:row>16</xdr:row>
      <xdr:rowOff>57151</xdr:rowOff>
    </xdr:to>
    <xdr:sp macro="[0]!ChartCargoMailHandlingProcedures" textlink="">
      <xdr:nvSpPr>
        <xdr:cNvPr id="41" name="Button1">
          <a:extLst>
            <a:ext uri="{FF2B5EF4-FFF2-40B4-BE49-F238E27FC236}">
              <a16:creationId xmlns="" xmlns:a16="http://schemas.microsoft.com/office/drawing/2014/main" id="{00000000-0008-0000-0300-000029000000}"/>
            </a:ext>
          </a:extLst>
        </xdr:cNvPr>
        <xdr:cNvSpPr/>
      </xdr:nvSpPr>
      <xdr:spPr>
        <a:xfrm>
          <a:off x="133349" y="2567747"/>
          <a:ext cx="2085975" cy="53740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3175">
          <a:solidFill>
            <a:schemeClr val="tx1">
              <a:alpha val="25000"/>
            </a:schemeClr>
          </a:solidFill>
        </a:ln>
        <a:effectLst>
          <a:outerShdw dist="127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Aircraft General Safety / Servicing Operations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0</xdr:col>
      <xdr:colOff>142875</xdr:colOff>
      <xdr:row>16</xdr:row>
      <xdr:rowOff>80480</xdr:rowOff>
    </xdr:from>
    <xdr:to>
      <xdr:col>1</xdr:col>
      <xdr:colOff>1381126</xdr:colOff>
      <xdr:row>19</xdr:row>
      <xdr:rowOff>0</xdr:rowOff>
    </xdr:to>
    <xdr:sp macro="[0]!ChartAircraftHandlingProcedures" textlink="">
      <xdr:nvSpPr>
        <xdr:cNvPr id="42" name="Button1">
          <a:extLst>
            <a:ext uri="{FF2B5EF4-FFF2-40B4-BE49-F238E27FC236}">
              <a16:creationId xmlns="" xmlns:a16="http://schemas.microsoft.com/office/drawing/2014/main" id="{00000000-0008-0000-0300-00002A000000}"/>
            </a:ext>
          </a:extLst>
        </xdr:cNvPr>
        <xdr:cNvSpPr/>
      </xdr:nvSpPr>
      <xdr:spPr>
        <a:xfrm>
          <a:off x="142875" y="3128480"/>
          <a:ext cx="2085976" cy="49102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3175">
          <a:solidFill>
            <a:schemeClr val="tx1">
              <a:alpha val="25000"/>
            </a:schemeClr>
          </a:solidFill>
        </a:ln>
        <a:effectLst>
          <a:outerShdw dist="127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0">
              <a:latin typeface="+mn-lt"/>
              <a:cs typeface="Latha" panose="020B0604020202020204" pitchFamily="34" charset="0"/>
            </a:rPr>
            <a:t>Aircraft Turn Around</a:t>
          </a:r>
        </a:p>
      </xdr:txBody>
    </xdr:sp>
    <xdr:clientData/>
  </xdr:twoCellAnchor>
  <xdr:twoCellAnchor editAs="absolute">
    <xdr:from>
      <xdr:col>0</xdr:col>
      <xdr:colOff>142874</xdr:colOff>
      <xdr:row>19</xdr:row>
      <xdr:rowOff>23361</xdr:rowOff>
    </xdr:from>
    <xdr:to>
      <xdr:col>1</xdr:col>
      <xdr:colOff>1381124</xdr:colOff>
      <xdr:row>21</xdr:row>
      <xdr:rowOff>142875</xdr:rowOff>
    </xdr:to>
    <xdr:sp macro="[0]!ChartLoadControl" textlink="">
      <xdr:nvSpPr>
        <xdr:cNvPr id="43" name="Button1">
          <a:extLst>
            <a:ext uri="{FF2B5EF4-FFF2-40B4-BE49-F238E27FC236}">
              <a16:creationId xmlns="" xmlns:a16="http://schemas.microsoft.com/office/drawing/2014/main" id="{00000000-0008-0000-0300-00002B000000}"/>
            </a:ext>
          </a:extLst>
        </xdr:cNvPr>
        <xdr:cNvSpPr/>
      </xdr:nvSpPr>
      <xdr:spPr>
        <a:xfrm>
          <a:off x="142874" y="3642861"/>
          <a:ext cx="2085975" cy="50051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3175">
          <a:solidFill>
            <a:schemeClr val="tx1">
              <a:alpha val="25000"/>
            </a:schemeClr>
          </a:solidFill>
        </a:ln>
        <a:effectLst>
          <a:outerShdw dist="127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0">
              <a:latin typeface="+mn-lt"/>
              <a:cs typeface="Latha" panose="020B0604020202020204" pitchFamily="34" charset="0"/>
            </a:rPr>
            <a:t>Load</a:t>
          </a:r>
          <a:r>
            <a:rPr lang="en-US" sz="1100" b="0" baseline="0">
              <a:latin typeface="+mn-lt"/>
              <a:cs typeface="Latha" panose="020B0604020202020204" pitchFamily="34" charset="0"/>
            </a:rPr>
            <a:t> Control</a:t>
          </a:r>
          <a:endParaRPr lang="en-US" sz="1100" b="0">
            <a:latin typeface="+mn-lt"/>
            <a:cs typeface="Latha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142875</xdr:colOff>
      <xdr:row>21</xdr:row>
      <xdr:rowOff>161923</xdr:rowOff>
    </xdr:from>
    <xdr:to>
      <xdr:col>1</xdr:col>
      <xdr:colOff>1390650</xdr:colOff>
      <xdr:row>24</xdr:row>
      <xdr:rowOff>95250</xdr:rowOff>
    </xdr:to>
    <xdr:sp macro="[0]!ChartAirsideSupervisionAndSafety" textlink="">
      <xdr:nvSpPr>
        <xdr:cNvPr id="44" name="Button1">
          <a:extLst>
            <a:ext uri="{FF2B5EF4-FFF2-40B4-BE49-F238E27FC236}">
              <a16:creationId xmlns="" xmlns:a16="http://schemas.microsoft.com/office/drawing/2014/main" id="{00000000-0008-0000-0300-00002C000000}"/>
            </a:ext>
          </a:extLst>
        </xdr:cNvPr>
        <xdr:cNvSpPr/>
      </xdr:nvSpPr>
      <xdr:spPr>
        <a:xfrm>
          <a:off x="142875" y="4162423"/>
          <a:ext cx="2095500" cy="504827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3175">
          <a:solidFill>
            <a:schemeClr val="tx1">
              <a:alpha val="25000"/>
            </a:schemeClr>
          </a:solidFill>
        </a:ln>
        <a:effectLst>
          <a:outerShdw dist="127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Airside Safety Operational Oversight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0</xdr:col>
      <xdr:colOff>142874</xdr:colOff>
      <xdr:row>6</xdr:row>
      <xdr:rowOff>38100</xdr:rowOff>
    </xdr:from>
    <xdr:to>
      <xdr:col>1</xdr:col>
      <xdr:colOff>1381125</xdr:colOff>
      <xdr:row>7</xdr:row>
      <xdr:rowOff>152400</xdr:rowOff>
    </xdr:to>
    <xdr:sp macro="[0]!OpenDefaultChart" textlink="">
      <xdr:nvSpPr>
        <xdr:cNvPr id="109" name="Rounded Rectangle 108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300-00006D000000}"/>
            </a:ext>
          </a:extLst>
        </xdr:cNvPr>
        <xdr:cNvSpPr/>
      </xdr:nvSpPr>
      <xdr:spPr>
        <a:xfrm>
          <a:off x="142874" y="1181100"/>
          <a:ext cx="2085976" cy="304800"/>
        </a:xfrm>
        <a:prstGeom prst="roundRect">
          <a:avLst/>
        </a:prstGeom>
        <a:solidFill>
          <a:srgbClr val="0A427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/>
            <a:t>Checklist</a:t>
          </a:r>
        </a:p>
      </xdr:txBody>
    </xdr:sp>
    <xdr:clientData/>
  </xdr:twoCellAnchor>
  <xdr:twoCellAnchor editAs="absolute">
    <xdr:from>
      <xdr:col>2</xdr:col>
      <xdr:colOff>0</xdr:colOff>
      <xdr:row>6</xdr:row>
      <xdr:rowOff>0</xdr:rowOff>
    </xdr:from>
    <xdr:to>
      <xdr:col>6</xdr:col>
      <xdr:colOff>513225</xdr:colOff>
      <xdr:row>28</xdr:row>
      <xdr:rowOff>109093</xdr:rowOff>
    </xdr:to>
    <xdr:graphicFrame macro="">
      <xdr:nvGraphicFramePr>
        <xdr:cNvPr id="52" name="Chart 51">
          <a:extLst>
            <a:ext uri="{FF2B5EF4-FFF2-40B4-BE49-F238E27FC236}">
              <a16:creationId xmlns="" xmlns:a16="http://schemas.microsoft.com/office/drawing/2014/main" id="{35017C85-7DC8-4C01-85F5-0B7709EFF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A21"/>
  <sheetViews>
    <sheetView showGridLines="0" showRowColHeaders="0" tabSelected="1" zoomScaleNormal="100" workbookViewId="0"/>
  </sheetViews>
  <sheetFormatPr defaultRowHeight="15" x14ac:dyDescent="0.25"/>
  <cols>
    <col min="1" max="11" width="12.7109375" customWidth="1"/>
    <col min="12" max="12" width="11.42578125" customWidth="1"/>
    <col min="13" max="13" width="16.140625" customWidth="1"/>
    <col min="14" max="14" width="12.5703125" customWidth="1"/>
    <col min="15" max="20" width="12.7109375" customWidth="1"/>
  </cols>
  <sheetData>
    <row r="5" ht="15" customHeight="1" x14ac:dyDescent="0.25"/>
    <row r="6" ht="15" customHeight="1" x14ac:dyDescent="0.25"/>
    <row r="7" ht="15" customHeight="1" x14ac:dyDescent="0.25"/>
    <row r="8" ht="15" customHeight="1" x14ac:dyDescent="0.25"/>
    <row r="9" ht="15" customHeight="1" x14ac:dyDescent="0.25"/>
    <row r="10" ht="15" customHeight="1" x14ac:dyDescent="0.25"/>
    <row r="11" ht="15" customHeight="1" x14ac:dyDescent="0.25"/>
    <row r="12" ht="15" customHeight="1" x14ac:dyDescent="0.25"/>
    <row r="13" ht="15" customHeight="1" x14ac:dyDescent="0.25"/>
    <row r="14" ht="15" customHeight="1" x14ac:dyDescent="0.25"/>
    <row r="15" ht="15" customHeight="1" x14ac:dyDescent="0.25"/>
    <row r="16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</sheetData>
  <sheetProtection formatCells="0" formatColumns="0" formatRows="0"/>
  <dataConsolidate/>
  <printOptions horizontalCentered="1"/>
  <pageMargins left="0.11811023622047245" right="0.11811023622047245" top="0.74803149606299213" bottom="0.74803149606299213" header="0.31496062992125984" footer="0.31496062992125984"/>
  <pageSetup paperSize="9" scale="38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A1:X495"/>
  <sheetViews>
    <sheetView showGridLines="0" topLeftCell="H1" zoomScale="85" zoomScaleNormal="85" workbookViewId="0">
      <pane ySplit="14" topLeftCell="A16" activePane="bottomLeft" state="frozen"/>
      <selection activeCell="H1" sqref="H1"/>
      <selection pane="bottomLeft" activeCell="L20" sqref="L20"/>
    </sheetView>
  </sheetViews>
  <sheetFormatPr defaultRowHeight="15.75" x14ac:dyDescent="0.25"/>
  <cols>
    <col min="1" max="1" width="1" style="45" hidden="1" customWidth="1"/>
    <col min="2" max="4" width="9.140625" style="45" hidden="1" customWidth="1"/>
    <col min="5" max="5" width="17.7109375" style="45" hidden="1" customWidth="1"/>
    <col min="6" max="6" width="11.85546875" style="45" hidden="1" customWidth="1"/>
    <col min="7" max="7" width="0.85546875" style="45" hidden="1" customWidth="1"/>
    <col min="8" max="8" width="44.140625" style="65" customWidth="1"/>
    <col min="9" max="9" width="62.5703125" style="65" customWidth="1"/>
    <col min="10" max="10" width="13.42578125" style="45" customWidth="1"/>
    <col min="11" max="11" width="21.7109375" style="63" customWidth="1"/>
    <col min="12" max="12" width="98.85546875" style="45" customWidth="1"/>
    <col min="13" max="16384" width="9.140625" style="45"/>
  </cols>
  <sheetData>
    <row r="1" spans="1:24" s="51" customFormat="1" ht="33.75" customHeight="1" x14ac:dyDescent="0.25">
      <c r="A1" s="45"/>
      <c r="B1" s="46"/>
      <c r="C1" s="46"/>
      <c r="D1" s="46"/>
      <c r="E1" s="46"/>
      <c r="F1" s="46"/>
      <c r="G1" s="45"/>
      <c r="H1" s="47"/>
      <c r="I1" s="48"/>
      <c r="J1" s="20" t="s">
        <v>161</v>
      </c>
      <c r="K1" s="49"/>
      <c r="L1" s="50"/>
      <c r="M1" s="45"/>
    </row>
    <row r="2" spans="1:24" x14ac:dyDescent="0.25">
      <c r="H2" s="21"/>
      <c r="I2" s="22"/>
      <c r="J2" s="23"/>
      <c r="K2" s="52"/>
      <c r="L2" s="53"/>
    </row>
    <row r="3" spans="1:24" x14ac:dyDescent="0.25">
      <c r="H3" s="21"/>
      <c r="I3" s="22"/>
      <c r="J3" s="23"/>
      <c r="K3" s="52"/>
      <c r="L3" s="24"/>
      <c r="X3" s="45" t="s">
        <v>412</v>
      </c>
    </row>
    <row r="4" spans="1:24" ht="24.6" customHeight="1" x14ac:dyDescent="0.25">
      <c r="H4" s="21"/>
      <c r="I4" s="22"/>
      <c r="J4" s="23"/>
      <c r="K4" s="52"/>
      <c r="L4" s="24"/>
      <c r="X4" s="45" t="s">
        <v>16</v>
      </c>
    </row>
    <row r="5" spans="1:24" ht="24.6" customHeight="1" x14ac:dyDescent="0.25">
      <c r="H5" s="21"/>
      <c r="I5" s="22"/>
      <c r="J5" s="23"/>
      <c r="K5" s="52"/>
      <c r="L5" s="24"/>
      <c r="X5" s="45" t="s">
        <v>413</v>
      </c>
    </row>
    <row r="6" spans="1:24" ht="24.6" customHeight="1" x14ac:dyDescent="0.25">
      <c r="H6" s="21"/>
      <c r="I6" s="22"/>
      <c r="J6" s="23"/>
      <c r="K6" s="52"/>
      <c r="L6" s="24"/>
    </row>
    <row r="7" spans="1:24" ht="24.6" customHeight="1" x14ac:dyDescent="0.25">
      <c r="H7" s="21"/>
      <c r="I7" s="22"/>
      <c r="J7" s="23"/>
      <c r="K7" s="52"/>
      <c r="L7" s="24"/>
    </row>
    <row r="8" spans="1:24" ht="1.5" customHeight="1" x14ac:dyDescent="0.25">
      <c r="H8" s="21"/>
      <c r="I8" s="22"/>
      <c r="J8" s="23"/>
      <c r="K8" s="52"/>
      <c r="L8" s="24"/>
    </row>
    <row r="9" spans="1:24" hidden="1" x14ac:dyDescent="0.25">
      <c r="H9" s="21"/>
      <c r="I9" s="22"/>
      <c r="J9" s="23"/>
      <c r="K9" s="52"/>
      <c r="L9" s="24"/>
    </row>
    <row r="10" spans="1:24" hidden="1" x14ac:dyDescent="0.25">
      <c r="H10" s="21"/>
      <c r="I10" s="22"/>
      <c r="J10" s="23"/>
      <c r="K10" s="52"/>
      <c r="L10" s="24"/>
    </row>
    <row r="11" spans="1:24" hidden="1" x14ac:dyDescent="0.25">
      <c r="H11" s="21"/>
      <c r="I11" s="22"/>
      <c r="J11" s="23"/>
      <c r="K11" s="52"/>
      <c r="L11" s="24"/>
    </row>
    <row r="12" spans="1:24" hidden="1" x14ac:dyDescent="0.25">
      <c r="H12" s="21"/>
      <c r="I12" s="22"/>
      <c r="J12" s="23"/>
      <c r="K12" s="52"/>
      <c r="L12" s="24"/>
    </row>
    <row r="13" spans="1:24" hidden="1" x14ac:dyDescent="0.25">
      <c r="H13" s="21"/>
      <c r="I13" s="22"/>
      <c r="J13" s="23"/>
      <c r="K13" s="23"/>
      <c r="L13" s="24"/>
    </row>
    <row r="14" spans="1:24" ht="32.25" thickBot="1" x14ac:dyDescent="0.3">
      <c r="H14" s="21"/>
      <c r="I14" s="22"/>
      <c r="J14" s="33" t="s">
        <v>162</v>
      </c>
      <c r="K14" s="34" t="s">
        <v>160</v>
      </c>
      <c r="L14" s="34" t="s">
        <v>159</v>
      </c>
    </row>
    <row r="15" spans="1:24" x14ac:dyDescent="0.25">
      <c r="H15" s="35" t="s">
        <v>134</v>
      </c>
      <c r="I15" s="36"/>
      <c r="J15" s="37"/>
      <c r="K15" s="37"/>
      <c r="L15" s="38"/>
    </row>
    <row r="16" spans="1:24" ht="16.5" thickBot="1" x14ac:dyDescent="0.3">
      <c r="A16" s="54"/>
      <c r="B16" s="54"/>
      <c r="C16" s="54"/>
      <c r="D16" s="54"/>
      <c r="E16" s="54"/>
      <c r="F16" s="54"/>
      <c r="G16" s="54"/>
      <c r="H16" s="39" t="s">
        <v>133</v>
      </c>
      <c r="I16" s="40"/>
      <c r="J16" s="41"/>
      <c r="K16" s="41"/>
      <c r="L16" s="42"/>
    </row>
    <row r="17" spans="8:12" x14ac:dyDescent="0.25">
      <c r="H17" s="148" t="s">
        <v>0</v>
      </c>
      <c r="I17" s="66" t="s">
        <v>1</v>
      </c>
      <c r="J17" s="106"/>
      <c r="K17" s="107"/>
      <c r="L17" s="108"/>
    </row>
    <row r="18" spans="8:12" x14ac:dyDescent="0.25">
      <c r="H18" s="149"/>
      <c r="I18" s="43" t="s">
        <v>2</v>
      </c>
      <c r="J18" s="109"/>
      <c r="K18" s="110"/>
      <c r="L18" s="111"/>
    </row>
    <row r="19" spans="8:12" x14ac:dyDescent="0.25">
      <c r="H19" s="80" t="s">
        <v>3</v>
      </c>
      <c r="I19" s="43"/>
      <c r="J19" s="109"/>
      <c r="K19" s="110"/>
      <c r="L19" s="111"/>
    </row>
    <row r="20" spans="8:12" x14ac:dyDescent="0.25">
      <c r="H20" s="149" t="s">
        <v>4</v>
      </c>
      <c r="I20" s="43" t="s">
        <v>165</v>
      </c>
      <c r="J20" s="109"/>
      <c r="K20" s="110"/>
      <c r="L20" s="111"/>
    </row>
    <row r="21" spans="8:12" x14ac:dyDescent="0.25">
      <c r="H21" s="149"/>
      <c r="I21" s="43" t="s">
        <v>166</v>
      </c>
      <c r="J21" s="109"/>
      <c r="K21" s="110"/>
      <c r="L21" s="111"/>
    </row>
    <row r="22" spans="8:12" ht="18.75" customHeight="1" x14ac:dyDescent="0.25">
      <c r="H22" s="149"/>
      <c r="I22" s="43" t="s">
        <v>167</v>
      </c>
      <c r="J22" s="109"/>
      <c r="K22" s="110"/>
      <c r="L22" s="111"/>
    </row>
    <row r="23" spans="8:12" x14ac:dyDescent="0.25">
      <c r="H23" s="149"/>
      <c r="I23" s="43" t="s">
        <v>168</v>
      </c>
      <c r="J23" s="109"/>
      <c r="K23" s="110"/>
      <c r="L23" s="111"/>
    </row>
    <row r="24" spans="8:12" x14ac:dyDescent="0.25">
      <c r="H24" s="149"/>
      <c r="I24" s="43" t="s">
        <v>169</v>
      </c>
      <c r="J24" s="109"/>
      <c r="K24" s="110"/>
      <c r="L24" s="111"/>
    </row>
    <row r="25" spans="8:12" x14ac:dyDescent="0.25">
      <c r="H25" s="149"/>
      <c r="I25" s="43" t="s">
        <v>170</v>
      </c>
      <c r="J25" s="109"/>
      <c r="K25" s="110"/>
      <c r="L25" s="111"/>
    </row>
    <row r="26" spans="8:12" x14ac:dyDescent="0.25">
      <c r="H26" s="149"/>
      <c r="I26" s="43" t="s">
        <v>171</v>
      </c>
      <c r="J26" s="109"/>
      <c r="K26" s="110"/>
      <c r="L26" s="111"/>
    </row>
    <row r="27" spans="8:12" x14ac:dyDescent="0.25">
      <c r="H27" s="149"/>
      <c r="I27" s="43" t="s">
        <v>172</v>
      </c>
      <c r="J27" s="109"/>
      <c r="K27" s="110"/>
      <c r="L27" s="111"/>
    </row>
    <row r="28" spans="8:12" x14ac:dyDescent="0.25">
      <c r="H28" s="149"/>
      <c r="I28" s="43" t="s">
        <v>173</v>
      </c>
      <c r="J28" s="109"/>
      <c r="K28" s="110"/>
      <c r="L28" s="111"/>
    </row>
    <row r="29" spans="8:12" x14ac:dyDescent="0.25">
      <c r="H29" s="149"/>
      <c r="I29" s="43" t="s">
        <v>241</v>
      </c>
      <c r="J29" s="109"/>
      <c r="K29" s="110"/>
      <c r="L29" s="111"/>
    </row>
    <row r="30" spans="8:12" x14ac:dyDescent="0.25">
      <c r="H30" s="149"/>
      <c r="I30" s="43" t="s">
        <v>242</v>
      </c>
      <c r="J30" s="109"/>
      <c r="K30" s="110"/>
      <c r="L30" s="111"/>
    </row>
    <row r="31" spans="8:12" x14ac:dyDescent="0.25">
      <c r="H31" s="149"/>
      <c r="I31" s="43" t="s">
        <v>174</v>
      </c>
      <c r="J31" s="109"/>
      <c r="K31" s="110"/>
      <c r="L31" s="111"/>
    </row>
    <row r="32" spans="8:12" x14ac:dyDescent="0.25">
      <c r="H32" s="44" t="s">
        <v>5</v>
      </c>
      <c r="I32" s="43"/>
      <c r="J32" s="109"/>
      <c r="K32" s="110"/>
      <c r="L32" s="111"/>
    </row>
    <row r="33" spans="8:12" x14ac:dyDescent="0.25">
      <c r="H33" s="149" t="s">
        <v>6</v>
      </c>
      <c r="I33" s="43" t="s">
        <v>175</v>
      </c>
      <c r="J33" s="109"/>
      <c r="K33" s="110"/>
      <c r="L33" s="111"/>
    </row>
    <row r="34" spans="8:12" x14ac:dyDescent="0.25">
      <c r="H34" s="149"/>
      <c r="I34" s="43" t="s">
        <v>176</v>
      </c>
      <c r="J34" s="109"/>
      <c r="K34" s="110"/>
      <c r="L34" s="111"/>
    </row>
    <row r="35" spans="8:12" x14ac:dyDescent="0.25">
      <c r="H35" s="149" t="s">
        <v>7</v>
      </c>
      <c r="I35" s="43" t="s">
        <v>8</v>
      </c>
      <c r="J35" s="109"/>
      <c r="K35" s="110"/>
      <c r="L35" s="111"/>
    </row>
    <row r="36" spans="8:12" x14ac:dyDescent="0.25">
      <c r="H36" s="149"/>
      <c r="I36" s="43" t="s">
        <v>9</v>
      </c>
      <c r="J36" s="109"/>
      <c r="K36" s="110"/>
      <c r="L36" s="111"/>
    </row>
    <row r="37" spans="8:12" x14ac:dyDescent="0.25">
      <c r="H37" s="149"/>
      <c r="I37" s="43" t="s">
        <v>10</v>
      </c>
      <c r="J37" s="109"/>
      <c r="K37" s="110"/>
      <c r="L37" s="111"/>
    </row>
    <row r="38" spans="8:12" x14ac:dyDescent="0.25">
      <c r="H38" s="149" t="s">
        <v>11</v>
      </c>
      <c r="I38" s="43" t="s">
        <v>177</v>
      </c>
      <c r="J38" s="109"/>
      <c r="K38" s="110"/>
      <c r="L38" s="111"/>
    </row>
    <row r="39" spans="8:12" x14ac:dyDescent="0.25">
      <c r="H39" s="149"/>
      <c r="I39" s="43" t="s">
        <v>178</v>
      </c>
      <c r="J39" s="109"/>
      <c r="K39" s="110"/>
      <c r="L39" s="111"/>
    </row>
    <row r="40" spans="8:12" x14ac:dyDescent="0.25">
      <c r="H40" s="149"/>
      <c r="I40" s="43" t="s">
        <v>179</v>
      </c>
      <c r="J40" s="109"/>
      <c r="K40" s="110"/>
      <c r="L40" s="111"/>
    </row>
    <row r="41" spans="8:12" x14ac:dyDescent="0.25">
      <c r="H41" s="149" t="s">
        <v>12</v>
      </c>
      <c r="I41" s="43" t="s">
        <v>180</v>
      </c>
      <c r="J41" s="109"/>
      <c r="K41" s="110"/>
      <c r="L41" s="111"/>
    </row>
    <row r="42" spans="8:12" x14ac:dyDescent="0.25">
      <c r="H42" s="149"/>
      <c r="I42" s="43" t="s">
        <v>181</v>
      </c>
      <c r="J42" s="109"/>
      <c r="K42" s="110"/>
      <c r="L42" s="111"/>
    </row>
    <row r="43" spans="8:12" x14ac:dyDescent="0.25">
      <c r="H43" s="149"/>
      <c r="I43" s="43" t="s">
        <v>182</v>
      </c>
      <c r="J43" s="109"/>
      <c r="K43" s="110"/>
      <c r="L43" s="111"/>
    </row>
    <row r="44" spans="8:12" x14ac:dyDescent="0.25">
      <c r="H44" s="149" t="s">
        <v>13</v>
      </c>
      <c r="I44" s="43" t="s">
        <v>14</v>
      </c>
      <c r="J44" s="109"/>
      <c r="K44" s="110"/>
      <c r="L44" s="111"/>
    </row>
    <row r="45" spans="8:12" ht="16.5" thickBot="1" x14ac:dyDescent="0.3">
      <c r="H45" s="150"/>
      <c r="I45" s="62" t="s">
        <v>15</v>
      </c>
      <c r="J45" s="112"/>
      <c r="K45" s="113"/>
      <c r="L45" s="114"/>
    </row>
    <row r="46" spans="8:12" x14ac:dyDescent="0.25">
      <c r="H46" s="55"/>
      <c r="I46" s="56"/>
      <c r="J46" s="57"/>
      <c r="K46" s="57"/>
      <c r="L46" s="58"/>
    </row>
    <row r="47" spans="8:12" ht="16.5" thickBot="1" x14ac:dyDescent="0.3">
      <c r="H47" s="39" t="s">
        <v>132</v>
      </c>
      <c r="I47" s="40"/>
      <c r="J47" s="41"/>
      <c r="K47" s="41"/>
      <c r="L47" s="42"/>
    </row>
    <row r="48" spans="8:12" x14ac:dyDescent="0.25">
      <c r="H48" s="148" t="s">
        <v>20</v>
      </c>
      <c r="I48" s="66" t="s">
        <v>183</v>
      </c>
      <c r="J48" s="106"/>
      <c r="K48" s="107"/>
      <c r="L48" s="108"/>
    </row>
    <row r="49" spans="8:12" x14ac:dyDescent="0.25">
      <c r="H49" s="149"/>
      <c r="I49" s="43" t="s">
        <v>21</v>
      </c>
      <c r="J49" s="109"/>
      <c r="K49" s="110"/>
      <c r="L49" s="111"/>
    </row>
    <row r="50" spans="8:12" x14ac:dyDescent="0.25">
      <c r="H50" s="149"/>
      <c r="I50" s="43" t="s">
        <v>22</v>
      </c>
      <c r="J50" s="109"/>
      <c r="K50" s="110"/>
      <c r="L50" s="111"/>
    </row>
    <row r="51" spans="8:12" x14ac:dyDescent="0.25">
      <c r="H51" s="149"/>
      <c r="I51" s="43" t="s">
        <v>23</v>
      </c>
      <c r="J51" s="109"/>
      <c r="K51" s="110"/>
      <c r="L51" s="111"/>
    </row>
    <row r="52" spans="8:12" x14ac:dyDescent="0.25">
      <c r="H52" s="44" t="s">
        <v>24</v>
      </c>
      <c r="I52" s="43"/>
      <c r="J52" s="109"/>
      <c r="K52" s="110"/>
      <c r="L52" s="111"/>
    </row>
    <row r="53" spans="8:12" ht="16.5" thickBot="1" x14ac:dyDescent="0.3">
      <c r="H53" s="61" t="s">
        <v>184</v>
      </c>
      <c r="I53" s="62"/>
      <c r="J53" s="112"/>
      <c r="K53" s="113"/>
      <c r="L53" s="114"/>
    </row>
    <row r="54" spans="8:12" x14ac:dyDescent="0.25">
      <c r="H54" s="59"/>
      <c r="I54" s="56"/>
      <c r="J54" s="57"/>
      <c r="K54" s="57"/>
      <c r="L54" s="58"/>
    </row>
    <row r="55" spans="8:12" ht="16.5" thickBot="1" x14ac:dyDescent="0.3">
      <c r="H55" s="79" t="s">
        <v>131</v>
      </c>
      <c r="I55" s="40"/>
      <c r="J55" s="41"/>
      <c r="K55" s="41"/>
      <c r="L55" s="42"/>
    </row>
    <row r="56" spans="8:12" x14ac:dyDescent="0.25">
      <c r="H56" s="67" t="s">
        <v>25</v>
      </c>
      <c r="I56" s="66"/>
      <c r="J56" s="106"/>
      <c r="K56" s="107"/>
      <c r="L56" s="108"/>
    </row>
    <row r="57" spans="8:12" x14ac:dyDescent="0.25">
      <c r="H57" s="44" t="s">
        <v>26</v>
      </c>
      <c r="I57" s="43"/>
      <c r="J57" s="109"/>
      <c r="K57" s="110"/>
      <c r="L57" s="111"/>
    </row>
    <row r="58" spans="8:12" ht="30" x14ac:dyDescent="0.25">
      <c r="H58" s="44" t="s">
        <v>243</v>
      </c>
      <c r="I58" s="43"/>
      <c r="J58" s="109"/>
      <c r="K58" s="110"/>
      <c r="L58" s="111"/>
    </row>
    <row r="59" spans="8:12" x14ac:dyDescent="0.25">
      <c r="H59" s="149" t="s">
        <v>27</v>
      </c>
      <c r="I59" s="43" t="s">
        <v>185</v>
      </c>
      <c r="J59" s="109"/>
      <c r="K59" s="110"/>
      <c r="L59" s="111"/>
    </row>
    <row r="60" spans="8:12" x14ac:dyDescent="0.25">
      <c r="H60" s="149"/>
      <c r="I60" s="43" t="s">
        <v>186</v>
      </c>
      <c r="J60" s="109"/>
      <c r="K60" s="110"/>
      <c r="L60" s="111"/>
    </row>
    <row r="61" spans="8:12" x14ac:dyDescent="0.25">
      <c r="H61" s="149"/>
      <c r="I61" s="60" t="s">
        <v>187</v>
      </c>
      <c r="J61" s="109"/>
      <c r="K61" s="110"/>
      <c r="L61" s="111"/>
    </row>
    <row r="62" spans="8:12" x14ac:dyDescent="0.25">
      <c r="H62" s="149"/>
      <c r="I62" s="60" t="s">
        <v>188</v>
      </c>
      <c r="J62" s="109"/>
      <c r="K62" s="110"/>
      <c r="L62" s="111"/>
    </row>
    <row r="63" spans="8:12" x14ac:dyDescent="0.25">
      <c r="H63" s="149"/>
      <c r="I63" s="43" t="s">
        <v>189</v>
      </c>
      <c r="J63" s="109"/>
      <c r="K63" s="110"/>
      <c r="L63" s="111"/>
    </row>
    <row r="64" spans="8:12" x14ac:dyDescent="0.25">
      <c r="H64" s="149"/>
      <c r="I64" s="60" t="s">
        <v>244</v>
      </c>
      <c r="J64" s="109"/>
      <c r="K64" s="110"/>
      <c r="L64" s="111"/>
    </row>
    <row r="65" spans="8:12" x14ac:dyDescent="0.25">
      <c r="H65" s="149"/>
      <c r="I65" s="60" t="s">
        <v>190</v>
      </c>
      <c r="J65" s="109"/>
      <c r="K65" s="110"/>
      <c r="L65" s="111"/>
    </row>
    <row r="66" spans="8:12" s="23" customFormat="1" ht="16.5" thickBot="1" x14ac:dyDescent="0.3">
      <c r="H66" s="150"/>
      <c r="I66" s="62" t="s">
        <v>191</v>
      </c>
      <c r="J66" s="112"/>
      <c r="K66" s="113"/>
      <c r="L66" s="114"/>
    </row>
    <row r="67" spans="8:12" x14ac:dyDescent="0.25">
      <c r="H67" s="55"/>
      <c r="I67" s="56"/>
      <c r="J67" s="57"/>
      <c r="K67" s="57"/>
      <c r="L67" s="58"/>
    </row>
    <row r="68" spans="8:12" ht="16.5" thickBot="1" x14ac:dyDescent="0.3">
      <c r="H68" s="79" t="s">
        <v>130</v>
      </c>
      <c r="I68" s="40"/>
      <c r="J68" s="41"/>
      <c r="K68" s="41"/>
      <c r="L68" s="42"/>
    </row>
    <row r="69" spans="8:12" x14ac:dyDescent="0.25">
      <c r="H69" s="148" t="s">
        <v>192</v>
      </c>
      <c r="I69" s="66" t="s">
        <v>193</v>
      </c>
      <c r="J69" s="106"/>
      <c r="K69" s="107"/>
      <c r="L69" s="108"/>
    </row>
    <row r="70" spans="8:12" x14ac:dyDescent="0.25">
      <c r="H70" s="149"/>
      <c r="I70" s="43" t="s">
        <v>197</v>
      </c>
      <c r="J70" s="109"/>
      <c r="K70" s="110"/>
      <c r="L70" s="111"/>
    </row>
    <row r="71" spans="8:12" x14ac:dyDescent="0.25">
      <c r="H71" s="149"/>
      <c r="I71" s="43" t="s">
        <v>194</v>
      </c>
      <c r="J71" s="109"/>
      <c r="K71" s="110"/>
      <c r="L71" s="111"/>
    </row>
    <row r="72" spans="8:12" x14ac:dyDescent="0.25">
      <c r="H72" s="149"/>
      <c r="I72" s="43" t="s">
        <v>195</v>
      </c>
      <c r="J72" s="109"/>
      <c r="K72" s="110"/>
      <c r="L72" s="111"/>
    </row>
    <row r="73" spans="8:12" x14ac:dyDescent="0.25">
      <c r="H73" s="149"/>
      <c r="I73" s="43" t="s">
        <v>196</v>
      </c>
      <c r="J73" s="109"/>
      <c r="K73" s="110"/>
      <c r="L73" s="111"/>
    </row>
    <row r="74" spans="8:12" x14ac:dyDescent="0.25">
      <c r="H74" s="149" t="s">
        <v>28</v>
      </c>
      <c r="I74" s="43" t="s">
        <v>29</v>
      </c>
      <c r="J74" s="109"/>
      <c r="K74" s="110"/>
      <c r="L74" s="111"/>
    </row>
    <row r="75" spans="8:12" x14ac:dyDescent="0.25">
      <c r="H75" s="149"/>
      <c r="I75" s="60" t="s">
        <v>198</v>
      </c>
      <c r="J75" s="109"/>
      <c r="K75" s="110"/>
      <c r="L75" s="111"/>
    </row>
    <row r="76" spans="8:12" x14ac:dyDescent="0.25">
      <c r="H76" s="149"/>
      <c r="I76" s="60" t="s">
        <v>199</v>
      </c>
      <c r="J76" s="109"/>
      <c r="K76" s="110"/>
      <c r="L76" s="111"/>
    </row>
    <row r="77" spans="8:12" x14ac:dyDescent="0.25">
      <c r="H77" s="149"/>
      <c r="I77" s="60" t="s">
        <v>200</v>
      </c>
      <c r="J77" s="109"/>
      <c r="K77" s="110"/>
      <c r="L77" s="111"/>
    </row>
    <row r="78" spans="8:12" x14ac:dyDescent="0.25">
      <c r="H78" s="149"/>
      <c r="I78" s="60" t="s">
        <v>201</v>
      </c>
      <c r="J78" s="109"/>
      <c r="K78" s="110"/>
      <c r="L78" s="111"/>
    </row>
    <row r="79" spans="8:12" x14ac:dyDescent="0.25">
      <c r="H79" s="149"/>
      <c r="I79" s="43" t="s">
        <v>30</v>
      </c>
      <c r="J79" s="109"/>
      <c r="K79" s="110"/>
      <c r="L79" s="111"/>
    </row>
    <row r="80" spans="8:12" x14ac:dyDescent="0.25">
      <c r="H80" s="149"/>
      <c r="I80" s="60" t="s">
        <v>202</v>
      </c>
      <c r="J80" s="109"/>
      <c r="K80" s="110"/>
      <c r="L80" s="111"/>
    </row>
    <row r="81" spans="8:12" x14ac:dyDescent="0.25">
      <c r="H81" s="149"/>
      <c r="I81" s="60" t="s">
        <v>245</v>
      </c>
      <c r="J81" s="109"/>
      <c r="K81" s="110"/>
      <c r="L81" s="111"/>
    </row>
    <row r="82" spans="8:12" x14ac:dyDescent="0.25">
      <c r="H82" s="149"/>
      <c r="I82" s="60" t="s">
        <v>246</v>
      </c>
      <c r="J82" s="109"/>
      <c r="K82" s="110"/>
      <c r="L82" s="111"/>
    </row>
    <row r="83" spans="8:12" x14ac:dyDescent="0.25">
      <c r="H83" s="149" t="s">
        <v>31</v>
      </c>
      <c r="I83" s="43" t="s">
        <v>32</v>
      </c>
      <c r="J83" s="109"/>
      <c r="K83" s="110"/>
      <c r="L83" s="111"/>
    </row>
    <row r="84" spans="8:12" x14ac:dyDescent="0.25">
      <c r="H84" s="149"/>
      <c r="I84" s="43" t="s">
        <v>33</v>
      </c>
      <c r="J84" s="109"/>
      <c r="K84" s="110"/>
      <c r="L84" s="111"/>
    </row>
    <row r="85" spans="8:12" ht="15.75" customHeight="1" x14ac:dyDescent="0.25">
      <c r="H85" s="149"/>
      <c r="I85" s="43" t="s">
        <v>247</v>
      </c>
      <c r="J85" s="109"/>
      <c r="K85" s="110"/>
      <c r="L85" s="111"/>
    </row>
    <row r="86" spans="8:12" x14ac:dyDescent="0.25">
      <c r="H86" s="149" t="s">
        <v>34</v>
      </c>
      <c r="I86" s="43" t="s">
        <v>203</v>
      </c>
      <c r="J86" s="109"/>
      <c r="K86" s="110"/>
      <c r="L86" s="111"/>
    </row>
    <row r="87" spans="8:12" x14ac:dyDescent="0.25">
      <c r="H87" s="149"/>
      <c r="I87" s="43" t="s">
        <v>204</v>
      </c>
      <c r="J87" s="109"/>
      <c r="K87" s="110"/>
      <c r="L87" s="111"/>
    </row>
    <row r="88" spans="8:12" ht="15" customHeight="1" x14ac:dyDescent="0.25">
      <c r="H88" s="149"/>
      <c r="I88" s="43" t="s">
        <v>205</v>
      </c>
      <c r="J88" s="109"/>
      <c r="K88" s="110"/>
      <c r="L88" s="111"/>
    </row>
    <row r="89" spans="8:12" x14ac:dyDescent="0.25">
      <c r="H89" s="149" t="s">
        <v>35</v>
      </c>
      <c r="I89" s="43" t="s">
        <v>206</v>
      </c>
      <c r="J89" s="109"/>
      <c r="K89" s="110"/>
      <c r="L89" s="111"/>
    </row>
    <row r="90" spans="8:12" ht="16.5" customHeight="1" x14ac:dyDescent="0.25">
      <c r="H90" s="149"/>
      <c r="I90" s="43" t="s">
        <v>207</v>
      </c>
      <c r="J90" s="109"/>
      <c r="K90" s="110"/>
      <c r="L90" s="111"/>
    </row>
    <row r="91" spans="8:12" x14ac:dyDescent="0.25">
      <c r="H91" s="149"/>
      <c r="I91" s="43" t="s">
        <v>248</v>
      </c>
      <c r="J91" s="109"/>
      <c r="K91" s="110"/>
      <c r="L91" s="111"/>
    </row>
    <row r="92" spans="8:12" ht="15" customHeight="1" x14ac:dyDescent="0.25">
      <c r="H92" s="149"/>
      <c r="I92" s="43" t="s">
        <v>208</v>
      </c>
      <c r="J92" s="109"/>
      <c r="K92" s="110"/>
      <c r="L92" s="111"/>
    </row>
    <row r="93" spans="8:12" ht="16.5" customHeight="1" x14ac:dyDescent="0.25">
      <c r="H93" s="149"/>
      <c r="I93" s="43" t="s">
        <v>209</v>
      </c>
      <c r="J93" s="109"/>
      <c r="K93" s="110"/>
      <c r="L93" s="111"/>
    </row>
    <row r="94" spans="8:12" ht="15.75" customHeight="1" x14ac:dyDescent="0.25">
      <c r="H94" s="149"/>
      <c r="I94" s="43" t="s">
        <v>210</v>
      </c>
      <c r="J94" s="109"/>
      <c r="K94" s="110"/>
      <c r="L94" s="111"/>
    </row>
    <row r="95" spans="8:12" x14ac:dyDescent="0.25">
      <c r="H95" s="149" t="s">
        <v>263</v>
      </c>
      <c r="I95" s="43" t="s">
        <v>264</v>
      </c>
      <c r="J95" s="109"/>
      <c r="K95" s="110"/>
      <c r="L95" s="111"/>
    </row>
    <row r="96" spans="8:12" x14ac:dyDescent="0.25">
      <c r="H96" s="149"/>
      <c r="I96" s="43" t="s">
        <v>265</v>
      </c>
      <c r="J96" s="109"/>
      <c r="K96" s="110"/>
      <c r="L96" s="111"/>
    </row>
    <row r="97" spans="8:12" x14ac:dyDescent="0.25">
      <c r="H97" s="149"/>
      <c r="I97" s="60" t="s">
        <v>266</v>
      </c>
      <c r="J97" s="109"/>
      <c r="K97" s="110"/>
      <c r="L97" s="111"/>
    </row>
    <row r="98" spans="8:12" x14ac:dyDescent="0.25">
      <c r="H98" s="149"/>
      <c r="I98" s="60" t="s">
        <v>408</v>
      </c>
      <c r="J98" s="109"/>
      <c r="K98" s="110"/>
      <c r="L98" s="111"/>
    </row>
    <row r="99" spans="8:12" ht="14.25" customHeight="1" x14ac:dyDescent="0.25">
      <c r="H99" s="149"/>
      <c r="I99" s="60" t="s">
        <v>267</v>
      </c>
      <c r="J99" s="109"/>
      <c r="K99" s="110"/>
      <c r="L99" s="111"/>
    </row>
    <row r="100" spans="8:12" ht="13.5" customHeight="1" x14ac:dyDescent="0.25">
      <c r="H100" s="149"/>
      <c r="I100" s="60" t="s">
        <v>268</v>
      </c>
      <c r="J100" s="109"/>
      <c r="K100" s="110"/>
      <c r="L100" s="111"/>
    </row>
    <row r="101" spans="8:12" x14ac:dyDescent="0.25">
      <c r="H101" s="44" t="s">
        <v>36</v>
      </c>
      <c r="I101" s="43"/>
      <c r="J101" s="109"/>
      <c r="K101" s="110"/>
      <c r="L101" s="111"/>
    </row>
    <row r="102" spans="8:12" x14ac:dyDescent="0.25">
      <c r="H102" s="44" t="s">
        <v>37</v>
      </c>
      <c r="I102" s="43"/>
      <c r="J102" s="109"/>
      <c r="K102" s="110"/>
      <c r="L102" s="111"/>
    </row>
    <row r="103" spans="8:12" x14ac:dyDescent="0.25">
      <c r="H103" s="44" t="s">
        <v>38</v>
      </c>
      <c r="I103" s="43"/>
      <c r="J103" s="109"/>
      <c r="K103" s="110"/>
      <c r="L103" s="111"/>
    </row>
    <row r="104" spans="8:12" x14ac:dyDescent="0.25">
      <c r="H104" s="149" t="s">
        <v>39</v>
      </c>
      <c r="I104" s="43" t="s">
        <v>40</v>
      </c>
      <c r="J104" s="109"/>
      <c r="K104" s="110"/>
      <c r="L104" s="111"/>
    </row>
    <row r="105" spans="8:12" x14ac:dyDescent="0.25">
      <c r="H105" s="149"/>
      <c r="I105" s="60" t="s">
        <v>211</v>
      </c>
      <c r="J105" s="109"/>
      <c r="K105" s="110"/>
      <c r="L105" s="111"/>
    </row>
    <row r="106" spans="8:12" x14ac:dyDescent="0.25">
      <c r="H106" s="149"/>
      <c r="I106" s="60" t="s">
        <v>212</v>
      </c>
      <c r="J106" s="109"/>
      <c r="K106" s="110"/>
      <c r="L106" s="111"/>
    </row>
    <row r="107" spans="8:12" x14ac:dyDescent="0.25">
      <c r="H107" s="149"/>
      <c r="I107" s="60" t="s">
        <v>213</v>
      </c>
      <c r="J107" s="109"/>
      <c r="K107" s="110"/>
      <c r="L107" s="111"/>
    </row>
    <row r="108" spans="8:12" x14ac:dyDescent="0.25">
      <c r="H108" s="149"/>
      <c r="I108" s="43" t="s">
        <v>41</v>
      </c>
      <c r="J108" s="109"/>
      <c r="K108" s="110"/>
      <c r="L108" s="111"/>
    </row>
    <row r="109" spans="8:12" x14ac:dyDescent="0.25">
      <c r="H109" s="149"/>
      <c r="I109" s="60" t="s">
        <v>214</v>
      </c>
      <c r="J109" s="109"/>
      <c r="K109" s="110"/>
      <c r="L109" s="111"/>
    </row>
    <row r="110" spans="8:12" x14ac:dyDescent="0.25">
      <c r="H110" s="149"/>
      <c r="I110" s="43" t="s">
        <v>249</v>
      </c>
      <c r="J110" s="109"/>
      <c r="K110" s="110"/>
      <c r="L110" s="111"/>
    </row>
    <row r="111" spans="8:12" x14ac:dyDescent="0.25">
      <c r="H111" s="149"/>
      <c r="I111" s="43" t="s">
        <v>250</v>
      </c>
      <c r="J111" s="109"/>
      <c r="K111" s="110"/>
      <c r="L111" s="111"/>
    </row>
    <row r="112" spans="8:12" x14ac:dyDescent="0.25">
      <c r="H112" s="149"/>
      <c r="I112" s="43" t="s">
        <v>251</v>
      </c>
      <c r="J112" s="109"/>
      <c r="K112" s="110"/>
      <c r="L112" s="111"/>
    </row>
    <row r="113" spans="8:12" x14ac:dyDescent="0.25">
      <c r="H113" s="149" t="s">
        <v>42</v>
      </c>
      <c r="I113" s="43" t="s">
        <v>43</v>
      </c>
      <c r="J113" s="109"/>
      <c r="K113" s="110"/>
      <c r="L113" s="111"/>
    </row>
    <row r="114" spans="8:12" x14ac:dyDescent="0.25">
      <c r="H114" s="149"/>
      <c r="I114" s="43" t="s">
        <v>44</v>
      </c>
      <c r="J114" s="109"/>
      <c r="K114" s="110"/>
      <c r="L114" s="111"/>
    </row>
    <row r="115" spans="8:12" x14ac:dyDescent="0.25">
      <c r="H115" s="149"/>
      <c r="I115" s="43" t="s">
        <v>45</v>
      </c>
      <c r="J115" s="109"/>
      <c r="K115" s="110"/>
      <c r="L115" s="111"/>
    </row>
    <row r="116" spans="8:12" s="23" customFormat="1" ht="16.5" thickBot="1" x14ac:dyDescent="0.3">
      <c r="H116" s="150"/>
      <c r="I116" s="62" t="s">
        <v>46</v>
      </c>
      <c r="J116" s="112"/>
      <c r="K116" s="113"/>
      <c r="L116" s="114"/>
    </row>
    <row r="117" spans="8:12" x14ac:dyDescent="0.25">
      <c r="H117" s="55"/>
      <c r="I117" s="56"/>
      <c r="J117" s="57"/>
      <c r="K117" s="57"/>
      <c r="L117" s="58"/>
    </row>
    <row r="118" spans="8:12" ht="16.5" thickBot="1" x14ac:dyDescent="0.3">
      <c r="H118" s="39" t="s">
        <v>129</v>
      </c>
      <c r="I118" s="40"/>
      <c r="J118" s="41"/>
      <c r="K118" s="41"/>
      <c r="L118" s="42"/>
    </row>
    <row r="119" spans="8:12" x14ac:dyDescent="0.25">
      <c r="H119" s="67" t="s">
        <v>19</v>
      </c>
      <c r="I119" s="66" t="s">
        <v>47</v>
      </c>
      <c r="J119" s="106"/>
      <c r="K119" s="107"/>
      <c r="L119" s="108"/>
    </row>
    <row r="120" spans="8:12" x14ac:dyDescent="0.25">
      <c r="H120" s="149" t="s">
        <v>48</v>
      </c>
      <c r="I120" s="43" t="s">
        <v>49</v>
      </c>
      <c r="J120" s="109"/>
      <c r="K120" s="110"/>
      <c r="L120" s="111"/>
    </row>
    <row r="121" spans="8:12" x14ac:dyDescent="0.25">
      <c r="H121" s="149"/>
      <c r="I121" s="43" t="s">
        <v>50</v>
      </c>
      <c r="J121" s="109"/>
      <c r="K121" s="110"/>
      <c r="L121" s="111"/>
    </row>
    <row r="122" spans="8:12" x14ac:dyDescent="0.25">
      <c r="H122" s="149"/>
      <c r="I122" s="43" t="s">
        <v>51</v>
      </c>
      <c r="J122" s="109"/>
      <c r="K122" s="110"/>
      <c r="L122" s="111"/>
    </row>
    <row r="123" spans="8:12" x14ac:dyDescent="0.25">
      <c r="H123" s="44" t="s">
        <v>52</v>
      </c>
      <c r="I123" s="43"/>
      <c r="J123" s="109"/>
      <c r="K123" s="110"/>
      <c r="L123" s="111"/>
    </row>
    <row r="124" spans="8:12" s="23" customFormat="1" x14ac:dyDescent="0.25">
      <c r="H124" s="44" t="s">
        <v>53</v>
      </c>
      <c r="I124" s="43"/>
      <c r="J124" s="109"/>
      <c r="K124" s="110"/>
      <c r="L124" s="111"/>
    </row>
    <row r="125" spans="8:12" s="23" customFormat="1" ht="30.75" thickBot="1" x14ac:dyDescent="0.3">
      <c r="H125" s="61" t="s">
        <v>54</v>
      </c>
      <c r="I125" s="62" t="s">
        <v>55</v>
      </c>
      <c r="J125" s="112"/>
      <c r="K125" s="113"/>
      <c r="L125" s="114"/>
    </row>
    <row r="126" spans="8:12" ht="16.5" thickBot="1" x14ac:dyDescent="0.3">
      <c r="H126" s="59"/>
      <c r="I126" s="56"/>
      <c r="J126" s="57"/>
      <c r="K126" s="57"/>
      <c r="L126" s="58"/>
    </row>
    <row r="127" spans="8:12" x14ac:dyDescent="0.25">
      <c r="H127" s="35" t="s">
        <v>56</v>
      </c>
      <c r="I127" s="36"/>
      <c r="J127" s="37"/>
      <c r="K127" s="37"/>
      <c r="L127" s="38"/>
    </row>
    <row r="128" spans="8:12" ht="16.5" thickBot="1" x14ac:dyDescent="0.3">
      <c r="H128" s="39" t="s">
        <v>128</v>
      </c>
      <c r="I128" s="40"/>
      <c r="J128" s="41"/>
      <c r="K128" s="41"/>
      <c r="L128" s="42"/>
    </row>
    <row r="129" spans="8:12" x14ac:dyDescent="0.25">
      <c r="H129" s="148" t="s">
        <v>63</v>
      </c>
      <c r="I129" s="66" t="s">
        <v>64</v>
      </c>
      <c r="J129" s="106"/>
      <c r="K129" s="107"/>
      <c r="L129" s="108"/>
    </row>
    <row r="130" spans="8:12" x14ac:dyDescent="0.25">
      <c r="H130" s="149"/>
      <c r="I130" s="43" t="s">
        <v>65</v>
      </c>
      <c r="J130" s="109"/>
      <c r="K130" s="110"/>
      <c r="L130" s="111"/>
    </row>
    <row r="131" spans="8:12" x14ac:dyDescent="0.25">
      <c r="H131" s="149" t="s">
        <v>66</v>
      </c>
      <c r="I131" s="43" t="s">
        <v>67</v>
      </c>
      <c r="J131" s="109"/>
      <c r="K131" s="110"/>
      <c r="L131" s="111"/>
    </row>
    <row r="132" spans="8:12" s="23" customFormat="1" x14ac:dyDescent="0.25">
      <c r="H132" s="149"/>
      <c r="I132" s="43" t="s">
        <v>68</v>
      </c>
      <c r="J132" s="109"/>
      <c r="K132" s="110"/>
      <c r="L132" s="111"/>
    </row>
    <row r="133" spans="8:12" ht="16.5" thickBot="1" x14ac:dyDescent="0.3">
      <c r="H133" s="150"/>
      <c r="I133" s="62" t="s">
        <v>69</v>
      </c>
      <c r="J133" s="112"/>
      <c r="K133" s="113"/>
      <c r="L133" s="114"/>
    </row>
    <row r="134" spans="8:12" x14ac:dyDescent="0.25">
      <c r="H134" s="55"/>
      <c r="I134" s="56"/>
      <c r="J134" s="57"/>
      <c r="K134" s="57"/>
      <c r="L134" s="58"/>
    </row>
    <row r="135" spans="8:12" ht="16.5" thickBot="1" x14ac:dyDescent="0.3">
      <c r="H135" s="39" t="s">
        <v>127</v>
      </c>
      <c r="I135" s="40"/>
      <c r="J135" s="41"/>
      <c r="K135" s="41"/>
      <c r="L135" s="42"/>
    </row>
    <row r="136" spans="8:12" x14ac:dyDescent="0.25">
      <c r="H136" s="148" t="s">
        <v>70</v>
      </c>
      <c r="I136" s="66" t="s">
        <v>71</v>
      </c>
      <c r="J136" s="106"/>
      <c r="K136" s="107"/>
      <c r="L136" s="108"/>
    </row>
    <row r="137" spans="8:12" x14ac:dyDescent="0.25">
      <c r="H137" s="149"/>
      <c r="I137" s="43" t="s">
        <v>72</v>
      </c>
      <c r="J137" s="109"/>
      <c r="K137" s="110"/>
      <c r="L137" s="111"/>
    </row>
    <row r="138" spans="8:12" x14ac:dyDescent="0.25">
      <c r="H138" s="44" t="s">
        <v>73</v>
      </c>
      <c r="I138" s="43"/>
      <c r="J138" s="109"/>
      <c r="K138" s="110"/>
      <c r="L138" s="111"/>
    </row>
    <row r="139" spans="8:12" x14ac:dyDescent="0.25">
      <c r="H139" s="44" t="s">
        <v>74</v>
      </c>
      <c r="I139" s="43"/>
      <c r="J139" s="109"/>
      <c r="K139" s="110"/>
      <c r="L139" s="111"/>
    </row>
    <row r="140" spans="8:12" s="23" customFormat="1" x14ac:dyDescent="0.25">
      <c r="H140" s="44" t="s">
        <v>75</v>
      </c>
      <c r="I140" s="43"/>
      <c r="J140" s="109"/>
      <c r="K140" s="110"/>
      <c r="L140" s="111"/>
    </row>
    <row r="141" spans="8:12" ht="16.5" thickBot="1" x14ac:dyDescent="0.3">
      <c r="H141" s="61" t="s">
        <v>76</v>
      </c>
      <c r="I141" s="62"/>
      <c r="J141" s="112"/>
      <c r="K141" s="113"/>
      <c r="L141" s="114"/>
    </row>
    <row r="142" spans="8:12" x14ac:dyDescent="0.25">
      <c r="H142" s="59"/>
      <c r="I142" s="56"/>
      <c r="J142" s="57"/>
      <c r="K142" s="57"/>
      <c r="L142" s="58"/>
    </row>
    <row r="143" spans="8:12" ht="16.5" thickBot="1" x14ac:dyDescent="0.3">
      <c r="H143" s="39" t="s">
        <v>126</v>
      </c>
      <c r="I143" s="40"/>
      <c r="J143" s="41"/>
      <c r="K143" s="41"/>
      <c r="L143" s="42"/>
    </row>
    <row r="144" spans="8:12" x14ac:dyDescent="0.25">
      <c r="H144" s="148" t="s">
        <v>77</v>
      </c>
      <c r="I144" s="66" t="s">
        <v>78</v>
      </c>
      <c r="J144" s="106"/>
      <c r="K144" s="107"/>
      <c r="L144" s="108"/>
    </row>
    <row r="145" spans="8:12" x14ac:dyDescent="0.25">
      <c r="H145" s="149"/>
      <c r="I145" s="43" t="s">
        <v>79</v>
      </c>
      <c r="J145" s="109"/>
      <c r="K145" s="110"/>
      <c r="L145" s="111"/>
    </row>
    <row r="146" spans="8:12" x14ac:dyDescent="0.25">
      <c r="H146" s="149" t="s">
        <v>80</v>
      </c>
      <c r="I146" s="43" t="s">
        <v>81</v>
      </c>
      <c r="J146" s="109"/>
      <c r="K146" s="110"/>
      <c r="L146" s="111"/>
    </row>
    <row r="147" spans="8:12" x14ac:dyDescent="0.25">
      <c r="H147" s="149"/>
      <c r="I147" s="43" t="s">
        <v>82</v>
      </c>
      <c r="J147" s="109"/>
      <c r="K147" s="110"/>
      <c r="L147" s="111"/>
    </row>
    <row r="148" spans="8:12" x14ac:dyDescent="0.25">
      <c r="H148" s="44" t="s">
        <v>83</v>
      </c>
      <c r="I148" s="43"/>
      <c r="J148" s="109"/>
      <c r="K148" s="110"/>
      <c r="L148" s="111"/>
    </row>
    <row r="149" spans="8:12" x14ac:dyDescent="0.25">
      <c r="H149" s="149" t="s">
        <v>84</v>
      </c>
      <c r="I149" s="43" t="s">
        <v>85</v>
      </c>
      <c r="J149" s="109"/>
      <c r="K149" s="110"/>
      <c r="L149" s="111"/>
    </row>
    <row r="150" spans="8:12" x14ac:dyDescent="0.25">
      <c r="H150" s="149"/>
      <c r="I150" s="43" t="s">
        <v>86</v>
      </c>
      <c r="J150" s="109"/>
      <c r="K150" s="110"/>
      <c r="L150" s="111"/>
    </row>
    <row r="151" spans="8:12" x14ac:dyDescent="0.25">
      <c r="H151" s="149"/>
      <c r="I151" s="43" t="s">
        <v>87</v>
      </c>
      <c r="J151" s="109"/>
      <c r="K151" s="110"/>
      <c r="L151" s="111"/>
    </row>
    <row r="152" spans="8:12" ht="33" customHeight="1" x14ac:dyDescent="0.25">
      <c r="H152" s="149"/>
      <c r="I152" s="43" t="s">
        <v>88</v>
      </c>
      <c r="J152" s="109"/>
      <c r="K152" s="110"/>
      <c r="L152" s="111"/>
    </row>
    <row r="153" spans="8:12" x14ac:dyDescent="0.25">
      <c r="H153" s="44" t="s">
        <v>89</v>
      </c>
      <c r="I153" s="43"/>
      <c r="J153" s="109"/>
      <c r="K153" s="110"/>
      <c r="L153" s="111"/>
    </row>
    <row r="154" spans="8:12" x14ac:dyDescent="0.25">
      <c r="H154" s="149" t="s">
        <v>90</v>
      </c>
      <c r="I154" s="43" t="s">
        <v>91</v>
      </c>
      <c r="J154" s="109"/>
      <c r="K154" s="110"/>
      <c r="L154" s="111"/>
    </row>
    <row r="155" spans="8:12" x14ac:dyDescent="0.25">
      <c r="H155" s="149"/>
      <c r="I155" s="43" t="s">
        <v>92</v>
      </c>
      <c r="J155" s="109"/>
      <c r="K155" s="110"/>
      <c r="L155" s="111"/>
    </row>
    <row r="156" spans="8:12" ht="30" x14ac:dyDescent="0.25">
      <c r="H156" s="149"/>
      <c r="I156" s="43" t="s">
        <v>93</v>
      </c>
      <c r="J156" s="109"/>
      <c r="K156" s="110"/>
      <c r="L156" s="111"/>
    </row>
    <row r="157" spans="8:12" ht="30" x14ac:dyDescent="0.25">
      <c r="H157" s="149"/>
      <c r="I157" s="43" t="s">
        <v>94</v>
      </c>
      <c r="J157" s="109"/>
      <c r="K157" s="110"/>
      <c r="L157" s="111"/>
    </row>
    <row r="158" spans="8:12" x14ac:dyDescent="0.25">
      <c r="H158" s="149"/>
      <c r="I158" s="43" t="s">
        <v>215</v>
      </c>
      <c r="J158" s="109"/>
      <c r="K158" s="110"/>
      <c r="L158" s="111"/>
    </row>
    <row r="159" spans="8:12" x14ac:dyDescent="0.25">
      <c r="H159" s="149" t="s">
        <v>400</v>
      </c>
      <c r="I159" s="43" t="s">
        <v>95</v>
      </c>
      <c r="J159" s="109"/>
      <c r="K159" s="110"/>
      <c r="L159" s="111"/>
    </row>
    <row r="160" spans="8:12" s="23" customFormat="1" x14ac:dyDescent="0.25">
      <c r="H160" s="149"/>
      <c r="I160" s="43" t="s">
        <v>96</v>
      </c>
      <c r="J160" s="109"/>
      <c r="K160" s="110"/>
      <c r="L160" s="111"/>
    </row>
    <row r="161" spans="8:12" ht="16.5" thickBot="1" x14ac:dyDescent="0.3">
      <c r="H161" s="150"/>
      <c r="I161" s="62" t="s">
        <v>97</v>
      </c>
      <c r="J161" s="112"/>
      <c r="K161" s="113"/>
      <c r="L161" s="114"/>
    </row>
    <row r="162" spans="8:12" x14ac:dyDescent="0.25">
      <c r="H162" s="55"/>
      <c r="I162" s="56"/>
      <c r="J162" s="57"/>
      <c r="K162" s="57"/>
      <c r="L162" s="58"/>
    </row>
    <row r="163" spans="8:12" ht="16.5" thickBot="1" x14ac:dyDescent="0.3">
      <c r="H163" s="39" t="s">
        <v>125</v>
      </c>
      <c r="I163" s="40"/>
      <c r="J163" s="41"/>
      <c r="K163" s="41"/>
      <c r="L163" s="42"/>
    </row>
    <row r="164" spans="8:12" x14ac:dyDescent="0.25">
      <c r="H164" s="148" t="s">
        <v>98</v>
      </c>
      <c r="I164" s="66" t="s">
        <v>216</v>
      </c>
      <c r="J164" s="106"/>
      <c r="K164" s="107"/>
      <c r="L164" s="108"/>
    </row>
    <row r="165" spans="8:12" x14ac:dyDescent="0.25">
      <c r="H165" s="149"/>
      <c r="I165" s="43" t="s">
        <v>252</v>
      </c>
      <c r="J165" s="109"/>
      <c r="K165" s="110"/>
      <c r="L165" s="111"/>
    </row>
    <row r="166" spans="8:12" x14ac:dyDescent="0.25">
      <c r="H166" s="44" t="s">
        <v>269</v>
      </c>
      <c r="I166" s="43"/>
      <c r="J166" s="109"/>
      <c r="K166" s="110"/>
      <c r="L166" s="111"/>
    </row>
    <row r="167" spans="8:12" ht="30" x14ac:dyDescent="0.25">
      <c r="H167" s="44" t="s">
        <v>99</v>
      </c>
      <c r="I167" s="43"/>
      <c r="J167" s="109"/>
      <c r="K167" s="110"/>
      <c r="L167" s="111"/>
    </row>
    <row r="168" spans="8:12" x14ac:dyDescent="0.25">
      <c r="H168" s="44" t="s">
        <v>100</v>
      </c>
      <c r="I168" s="43"/>
      <c r="J168" s="109"/>
      <c r="K168" s="110"/>
      <c r="L168" s="111"/>
    </row>
    <row r="169" spans="8:12" x14ac:dyDescent="0.25">
      <c r="H169" s="44" t="s">
        <v>253</v>
      </c>
      <c r="I169" s="43"/>
      <c r="J169" s="109"/>
      <c r="K169" s="110"/>
      <c r="L169" s="111"/>
    </row>
    <row r="170" spans="8:12" x14ac:dyDescent="0.25">
      <c r="H170" s="149" t="s">
        <v>101</v>
      </c>
      <c r="I170" s="43" t="s">
        <v>102</v>
      </c>
      <c r="J170" s="109"/>
      <c r="K170" s="110"/>
      <c r="L170" s="111"/>
    </row>
    <row r="171" spans="8:12" s="23" customFormat="1" x14ac:dyDescent="0.25">
      <c r="H171" s="149"/>
      <c r="I171" s="43" t="s">
        <v>103</v>
      </c>
      <c r="J171" s="109"/>
      <c r="K171" s="110"/>
      <c r="L171" s="111"/>
    </row>
    <row r="172" spans="8:12" ht="16.5" thickBot="1" x14ac:dyDescent="0.3">
      <c r="H172" s="150"/>
      <c r="I172" s="62" t="s">
        <v>104</v>
      </c>
      <c r="J172" s="112"/>
      <c r="K172" s="113"/>
      <c r="L172" s="114"/>
    </row>
    <row r="173" spans="8:12" x14ac:dyDescent="0.25">
      <c r="H173" s="55"/>
      <c r="I173" s="56"/>
      <c r="J173" s="57"/>
      <c r="K173" s="57"/>
      <c r="L173" s="58"/>
    </row>
    <row r="174" spans="8:12" ht="16.5" thickBot="1" x14ac:dyDescent="0.3">
      <c r="H174" s="39" t="s">
        <v>124</v>
      </c>
      <c r="I174" s="40"/>
      <c r="J174" s="41"/>
      <c r="K174" s="41"/>
      <c r="L174" s="42"/>
    </row>
    <row r="175" spans="8:12" ht="26.25" customHeight="1" x14ac:dyDescent="0.25">
      <c r="H175" s="67" t="s">
        <v>105</v>
      </c>
      <c r="I175" s="66"/>
      <c r="J175" s="106"/>
      <c r="K175" s="107"/>
      <c r="L175" s="108"/>
    </row>
    <row r="176" spans="8:12" x14ac:dyDescent="0.25">
      <c r="H176" s="44" t="s">
        <v>106</v>
      </c>
      <c r="I176" s="43"/>
      <c r="J176" s="109"/>
      <c r="K176" s="110"/>
      <c r="L176" s="111"/>
    </row>
    <row r="177" spans="8:12" x14ac:dyDescent="0.25">
      <c r="H177" s="149" t="s">
        <v>107</v>
      </c>
      <c r="I177" s="43" t="s">
        <v>217</v>
      </c>
      <c r="J177" s="109"/>
      <c r="K177" s="110"/>
      <c r="L177" s="111"/>
    </row>
    <row r="178" spans="8:12" x14ac:dyDescent="0.25">
      <c r="H178" s="149"/>
      <c r="I178" s="43" t="s">
        <v>254</v>
      </c>
      <c r="J178" s="109"/>
      <c r="K178" s="110"/>
      <c r="L178" s="111"/>
    </row>
    <row r="179" spans="8:12" x14ac:dyDescent="0.25">
      <c r="H179" s="149"/>
      <c r="I179" s="43" t="s">
        <v>255</v>
      </c>
      <c r="J179" s="109"/>
      <c r="K179" s="110"/>
      <c r="L179" s="111"/>
    </row>
    <row r="180" spans="8:12" x14ac:dyDescent="0.25">
      <c r="H180" s="149"/>
      <c r="I180" s="43" t="s">
        <v>256</v>
      </c>
      <c r="J180" s="109"/>
      <c r="K180" s="110"/>
      <c r="L180" s="111"/>
    </row>
    <row r="181" spans="8:12" x14ac:dyDescent="0.25">
      <c r="H181" s="44" t="s">
        <v>108</v>
      </c>
      <c r="I181" s="43"/>
      <c r="J181" s="109"/>
      <c r="K181" s="110"/>
      <c r="L181" s="111"/>
    </row>
    <row r="182" spans="8:12" x14ac:dyDescent="0.25">
      <c r="H182" s="44" t="s">
        <v>109</v>
      </c>
      <c r="I182" s="43"/>
      <c r="J182" s="109"/>
      <c r="K182" s="110"/>
      <c r="L182" s="111"/>
    </row>
    <row r="183" spans="8:12" s="23" customFormat="1" x14ac:dyDescent="0.25">
      <c r="H183" s="44" t="s">
        <v>110</v>
      </c>
      <c r="I183" s="43"/>
      <c r="J183" s="109"/>
      <c r="K183" s="110"/>
      <c r="L183" s="111"/>
    </row>
    <row r="184" spans="8:12" ht="16.5" thickBot="1" x14ac:dyDescent="0.3">
      <c r="H184" s="61" t="s">
        <v>111</v>
      </c>
      <c r="I184" s="62"/>
      <c r="J184" s="112"/>
      <c r="K184" s="113"/>
      <c r="L184" s="114"/>
    </row>
    <row r="185" spans="8:12" x14ac:dyDescent="0.25">
      <c r="H185" s="59"/>
      <c r="I185" s="56"/>
      <c r="J185" s="57"/>
      <c r="K185" s="57"/>
      <c r="L185" s="58"/>
    </row>
    <row r="186" spans="8:12" ht="16.5" thickBot="1" x14ac:dyDescent="0.3">
      <c r="H186" s="39" t="s">
        <v>123</v>
      </c>
      <c r="I186" s="40"/>
      <c r="J186" s="41"/>
      <c r="K186" s="41"/>
      <c r="L186" s="42"/>
    </row>
    <row r="187" spans="8:12" ht="30" x14ac:dyDescent="0.25">
      <c r="H187" s="67" t="s">
        <v>112</v>
      </c>
      <c r="I187" s="66"/>
      <c r="J187" s="106"/>
      <c r="K187" s="107"/>
      <c r="L187" s="108"/>
    </row>
    <row r="188" spans="8:12" x14ac:dyDescent="0.25">
      <c r="H188" s="44" t="s">
        <v>257</v>
      </c>
      <c r="I188" s="43"/>
      <c r="J188" s="109"/>
      <c r="K188" s="110"/>
      <c r="L188" s="111"/>
    </row>
    <row r="189" spans="8:12" x14ac:dyDescent="0.25">
      <c r="H189" s="44" t="s">
        <v>113</v>
      </c>
      <c r="I189" s="43"/>
      <c r="J189" s="109"/>
      <c r="K189" s="110"/>
      <c r="L189" s="111"/>
    </row>
    <row r="190" spans="8:12" ht="16.5" thickBot="1" x14ac:dyDescent="0.3">
      <c r="H190" s="61" t="s">
        <v>114</v>
      </c>
      <c r="I190" s="62"/>
      <c r="J190" s="112"/>
      <c r="K190" s="113"/>
      <c r="L190" s="114"/>
    </row>
    <row r="191" spans="8:12" ht="16.5" thickBot="1" x14ac:dyDescent="0.3">
      <c r="H191" s="72"/>
      <c r="I191" s="69"/>
      <c r="J191" s="70"/>
      <c r="K191" s="70"/>
      <c r="L191" s="71"/>
    </row>
    <row r="192" spans="8:12" x14ac:dyDescent="0.25">
      <c r="H192" s="35" t="s">
        <v>270</v>
      </c>
      <c r="I192" s="36"/>
      <c r="J192" s="37"/>
      <c r="K192" s="37"/>
      <c r="L192" s="38"/>
    </row>
    <row r="193" spans="8:12" ht="16.5" thickBot="1" x14ac:dyDescent="0.3">
      <c r="H193" s="79" t="s">
        <v>271</v>
      </c>
      <c r="I193" s="40"/>
      <c r="J193" s="41"/>
      <c r="K193" s="41"/>
      <c r="L193" s="42"/>
    </row>
    <row r="194" spans="8:12" x14ac:dyDescent="0.25">
      <c r="H194" s="67" t="s">
        <v>272</v>
      </c>
      <c r="I194" s="86"/>
      <c r="J194" s="106"/>
      <c r="K194" s="107"/>
      <c r="L194" s="108"/>
    </row>
    <row r="195" spans="8:12" x14ac:dyDescent="0.25">
      <c r="H195" s="149" t="s">
        <v>273</v>
      </c>
      <c r="I195" s="43" t="s">
        <v>446</v>
      </c>
      <c r="J195" s="109"/>
      <c r="K195" s="115"/>
      <c r="L195" s="111"/>
    </row>
    <row r="196" spans="8:12" x14ac:dyDescent="0.25">
      <c r="H196" s="149"/>
      <c r="I196" s="85" t="s">
        <v>274</v>
      </c>
      <c r="J196" s="109"/>
      <c r="K196" s="110"/>
      <c r="L196" s="111"/>
    </row>
    <row r="197" spans="8:12" x14ac:dyDescent="0.25">
      <c r="H197" s="149"/>
      <c r="I197" s="43" t="s">
        <v>275</v>
      </c>
      <c r="J197" s="109"/>
      <c r="K197" s="110"/>
      <c r="L197" s="111"/>
    </row>
    <row r="198" spans="8:12" x14ac:dyDescent="0.25">
      <c r="H198" s="149"/>
      <c r="I198" s="43" t="s">
        <v>459</v>
      </c>
      <c r="J198" s="109"/>
      <c r="K198" s="115"/>
      <c r="L198" s="111"/>
    </row>
    <row r="199" spans="8:12" ht="15.75" customHeight="1" x14ac:dyDescent="0.25">
      <c r="H199" s="151" t="s">
        <v>276</v>
      </c>
      <c r="I199" s="43" t="s">
        <v>447</v>
      </c>
      <c r="J199" s="109"/>
      <c r="K199" s="115"/>
      <c r="L199" s="111"/>
    </row>
    <row r="200" spans="8:12" x14ac:dyDescent="0.25">
      <c r="H200" s="152"/>
      <c r="I200" s="43" t="s">
        <v>448</v>
      </c>
      <c r="J200" s="109"/>
      <c r="K200" s="115"/>
      <c r="L200" s="111"/>
    </row>
    <row r="201" spans="8:12" ht="15.75" customHeight="1" x14ac:dyDescent="0.25">
      <c r="H201" s="152"/>
      <c r="I201" s="43" t="s">
        <v>277</v>
      </c>
      <c r="J201" s="109"/>
      <c r="K201" s="110"/>
      <c r="L201" s="111"/>
    </row>
    <row r="202" spans="8:12" ht="30" x14ac:dyDescent="0.25">
      <c r="H202" s="152"/>
      <c r="I202" s="43" t="s">
        <v>452</v>
      </c>
      <c r="J202" s="109"/>
      <c r="K202" s="115"/>
      <c r="L202" s="111"/>
    </row>
    <row r="203" spans="8:12" ht="15.75" customHeight="1" x14ac:dyDescent="0.25">
      <c r="H203" s="152"/>
      <c r="I203" s="43" t="s">
        <v>278</v>
      </c>
      <c r="J203" s="109"/>
      <c r="K203" s="110"/>
      <c r="L203" s="111"/>
    </row>
    <row r="204" spans="8:12" x14ac:dyDescent="0.25">
      <c r="H204" s="152"/>
      <c r="I204" s="43" t="s">
        <v>453</v>
      </c>
      <c r="J204" s="109"/>
      <c r="K204" s="115"/>
      <c r="L204" s="111"/>
    </row>
    <row r="205" spans="8:12" x14ac:dyDescent="0.25">
      <c r="H205" s="152"/>
      <c r="I205" s="43" t="s">
        <v>454</v>
      </c>
      <c r="J205" s="109"/>
      <c r="K205" s="115"/>
      <c r="L205" s="111"/>
    </row>
    <row r="206" spans="8:12" x14ac:dyDescent="0.25">
      <c r="H206" s="152"/>
      <c r="I206" s="43" t="s">
        <v>455</v>
      </c>
      <c r="J206" s="109"/>
      <c r="K206" s="115"/>
      <c r="L206" s="111"/>
    </row>
    <row r="207" spans="8:12" x14ac:dyDescent="0.25">
      <c r="H207" s="152"/>
      <c r="I207" s="85" t="s">
        <v>456</v>
      </c>
      <c r="J207" s="116"/>
      <c r="K207" s="115"/>
      <c r="L207" s="117"/>
    </row>
    <row r="208" spans="8:12" ht="16.5" thickBot="1" x14ac:dyDescent="0.3">
      <c r="H208" s="153"/>
      <c r="I208" s="62" t="s">
        <v>457</v>
      </c>
      <c r="J208" s="112"/>
      <c r="K208" s="118"/>
      <c r="L208" s="114"/>
    </row>
    <row r="209" spans="8:12" x14ac:dyDescent="0.25">
      <c r="H209" s="55"/>
      <c r="I209" s="56"/>
      <c r="J209" s="57"/>
      <c r="K209" s="57"/>
      <c r="L209" s="58"/>
    </row>
    <row r="210" spans="8:12" ht="16.5" thickBot="1" x14ac:dyDescent="0.3">
      <c r="H210" s="79" t="s">
        <v>279</v>
      </c>
      <c r="I210" s="40"/>
      <c r="J210" s="41"/>
      <c r="K210" s="41"/>
      <c r="L210" s="42"/>
    </row>
    <row r="211" spans="8:12" x14ac:dyDescent="0.25">
      <c r="H211" s="67" t="s">
        <v>281</v>
      </c>
      <c r="I211" s="66"/>
      <c r="J211" s="106"/>
      <c r="K211" s="107"/>
      <c r="L211" s="108"/>
    </row>
    <row r="212" spans="8:12" x14ac:dyDescent="0.25">
      <c r="H212" s="44" t="s">
        <v>282</v>
      </c>
      <c r="I212" s="43"/>
      <c r="J212" s="109"/>
      <c r="K212" s="110"/>
      <c r="L212" s="111"/>
    </row>
    <row r="213" spans="8:12" ht="30.75" thickBot="1" x14ac:dyDescent="0.3">
      <c r="H213" s="61" t="s">
        <v>283</v>
      </c>
      <c r="I213" s="62"/>
      <c r="J213" s="112"/>
      <c r="K213" s="113"/>
      <c r="L213" s="114"/>
    </row>
    <row r="214" spans="8:12" x14ac:dyDescent="0.25">
      <c r="H214" s="59"/>
      <c r="I214" s="56"/>
      <c r="J214" s="57"/>
      <c r="K214" s="57"/>
      <c r="L214" s="58"/>
    </row>
    <row r="215" spans="8:12" ht="16.5" thickBot="1" x14ac:dyDescent="0.3">
      <c r="H215" s="79" t="s">
        <v>280</v>
      </c>
      <c r="I215" s="40"/>
      <c r="J215" s="41"/>
      <c r="K215" s="41"/>
      <c r="L215" s="42"/>
    </row>
    <row r="216" spans="8:12" x14ac:dyDescent="0.25">
      <c r="H216" s="67" t="s">
        <v>218</v>
      </c>
      <c r="I216" s="66"/>
      <c r="J216" s="106"/>
      <c r="K216" s="107"/>
      <c r="L216" s="108"/>
    </row>
    <row r="217" spans="8:12" x14ac:dyDescent="0.25">
      <c r="H217" s="44" t="s">
        <v>284</v>
      </c>
      <c r="I217" s="43"/>
      <c r="J217" s="109"/>
      <c r="K217" s="110"/>
      <c r="L217" s="111"/>
    </row>
    <row r="218" spans="8:12" x14ac:dyDescent="0.25">
      <c r="H218" s="44" t="s">
        <v>285</v>
      </c>
      <c r="I218" s="43"/>
      <c r="J218" s="109"/>
      <c r="K218" s="110"/>
      <c r="L218" s="111"/>
    </row>
    <row r="219" spans="8:12" x14ac:dyDescent="0.25">
      <c r="H219" s="44" t="s">
        <v>286</v>
      </c>
      <c r="I219" s="43"/>
      <c r="J219" s="109"/>
      <c r="K219" s="110"/>
      <c r="L219" s="111"/>
    </row>
    <row r="220" spans="8:12" x14ac:dyDescent="0.25">
      <c r="H220" s="43" t="s">
        <v>458</v>
      </c>
      <c r="I220" s="85"/>
      <c r="J220" s="116"/>
      <c r="K220" s="119"/>
      <c r="L220" s="117"/>
    </row>
    <row r="221" spans="8:12" x14ac:dyDescent="0.25">
      <c r="H221" s="43" t="s">
        <v>416</v>
      </c>
      <c r="I221" s="85"/>
      <c r="J221" s="116"/>
      <c r="K221" s="119"/>
      <c r="L221" s="117"/>
    </row>
    <row r="222" spans="8:12" ht="16.5" thickBot="1" x14ac:dyDescent="0.3">
      <c r="H222" s="62" t="s">
        <v>417</v>
      </c>
      <c r="I222" s="62"/>
      <c r="J222" s="112"/>
      <c r="K222" s="118"/>
      <c r="L222" s="114"/>
    </row>
    <row r="223" spans="8:12" x14ac:dyDescent="0.25">
      <c r="H223" s="59"/>
      <c r="I223" s="56"/>
      <c r="J223" s="57"/>
      <c r="K223" s="57"/>
      <c r="L223" s="58"/>
    </row>
    <row r="224" spans="8:12" ht="16.5" thickBot="1" x14ac:dyDescent="0.3">
      <c r="H224" s="39" t="s">
        <v>549</v>
      </c>
      <c r="I224" s="40"/>
      <c r="J224" s="41"/>
      <c r="K224" s="41"/>
      <c r="L224" s="42"/>
    </row>
    <row r="225" spans="8:12" ht="15.75" customHeight="1" x14ac:dyDescent="0.25">
      <c r="H225" s="67" t="s">
        <v>548</v>
      </c>
      <c r="I225" s="66"/>
      <c r="J225" s="106"/>
      <c r="K225" s="107"/>
      <c r="L225" s="108"/>
    </row>
    <row r="226" spans="8:12" x14ac:dyDescent="0.25">
      <c r="H226" s="44" t="s">
        <v>550</v>
      </c>
      <c r="I226" s="43"/>
      <c r="J226" s="109"/>
      <c r="K226" s="110"/>
      <c r="L226" s="111"/>
    </row>
    <row r="227" spans="8:12" x14ac:dyDescent="0.25">
      <c r="H227" s="149" t="s">
        <v>551</v>
      </c>
      <c r="I227" s="43" t="s">
        <v>486</v>
      </c>
      <c r="J227" s="109"/>
      <c r="K227" s="110"/>
      <c r="L227" s="111"/>
    </row>
    <row r="228" spans="8:12" x14ac:dyDescent="0.25">
      <c r="H228" s="149"/>
      <c r="I228" s="43" t="s">
        <v>487</v>
      </c>
      <c r="J228" s="109"/>
      <c r="K228" s="110"/>
      <c r="L228" s="111"/>
    </row>
    <row r="229" spans="8:12" x14ac:dyDescent="0.25">
      <c r="H229" s="149"/>
      <c r="I229" s="43" t="s">
        <v>488</v>
      </c>
      <c r="J229" s="109"/>
      <c r="K229" s="110"/>
      <c r="L229" s="111"/>
    </row>
    <row r="230" spans="8:12" x14ac:dyDescent="0.25">
      <c r="H230" s="149"/>
      <c r="I230" s="43" t="s">
        <v>489</v>
      </c>
      <c r="J230" s="109"/>
      <c r="K230" s="110"/>
      <c r="L230" s="111"/>
    </row>
    <row r="231" spans="8:12" x14ac:dyDescent="0.25">
      <c r="H231" s="149"/>
      <c r="I231" s="43" t="s">
        <v>490</v>
      </c>
      <c r="J231" s="109"/>
      <c r="K231" s="110"/>
      <c r="L231" s="111"/>
    </row>
    <row r="232" spans="8:12" x14ac:dyDescent="0.25">
      <c r="H232" s="149"/>
      <c r="I232" s="43" t="s">
        <v>491</v>
      </c>
      <c r="J232" s="109"/>
      <c r="K232" s="110"/>
      <c r="L232" s="111"/>
    </row>
    <row r="233" spans="8:12" x14ac:dyDescent="0.25">
      <c r="H233" s="149"/>
      <c r="I233" s="43" t="s">
        <v>492</v>
      </c>
      <c r="J233" s="109"/>
      <c r="K233" s="110"/>
      <c r="L233" s="111"/>
    </row>
    <row r="234" spans="8:12" x14ac:dyDescent="0.25">
      <c r="H234" s="149"/>
      <c r="I234" s="43" t="s">
        <v>493</v>
      </c>
      <c r="J234" s="109"/>
      <c r="K234" s="110"/>
      <c r="L234" s="111"/>
    </row>
    <row r="235" spans="8:12" x14ac:dyDescent="0.25">
      <c r="H235" s="149"/>
      <c r="I235" s="43" t="s">
        <v>494</v>
      </c>
      <c r="J235" s="109"/>
      <c r="K235" s="110"/>
      <c r="L235" s="111"/>
    </row>
    <row r="236" spans="8:12" x14ac:dyDescent="0.25">
      <c r="H236" s="149"/>
      <c r="I236" s="43" t="s">
        <v>495</v>
      </c>
      <c r="J236" s="109"/>
      <c r="K236" s="110"/>
      <c r="L236" s="111"/>
    </row>
    <row r="237" spans="8:12" x14ac:dyDescent="0.25">
      <c r="H237" s="149"/>
      <c r="I237" s="43" t="s">
        <v>496</v>
      </c>
      <c r="J237" s="109"/>
      <c r="K237" s="110"/>
      <c r="L237" s="111"/>
    </row>
    <row r="238" spans="8:12" x14ac:dyDescent="0.25">
      <c r="H238" s="149"/>
      <c r="I238" s="43" t="s">
        <v>497</v>
      </c>
      <c r="J238" s="109"/>
      <c r="K238" s="110"/>
      <c r="L238" s="111"/>
    </row>
    <row r="239" spans="8:12" x14ac:dyDescent="0.25">
      <c r="H239" s="149"/>
      <c r="I239" s="43" t="s">
        <v>498</v>
      </c>
      <c r="J239" s="109"/>
      <c r="K239" s="110"/>
      <c r="L239" s="111"/>
    </row>
    <row r="240" spans="8:12" x14ac:dyDescent="0.25">
      <c r="H240" s="149"/>
      <c r="I240" s="43" t="s">
        <v>499</v>
      </c>
      <c r="J240" s="109"/>
      <c r="K240" s="110"/>
      <c r="L240" s="111"/>
    </row>
    <row r="241" spans="8:12" x14ac:dyDescent="0.25">
      <c r="H241" s="149"/>
      <c r="I241" s="43" t="s">
        <v>500</v>
      </c>
      <c r="J241" s="109"/>
      <c r="K241" s="110"/>
      <c r="L241" s="111"/>
    </row>
    <row r="242" spans="8:12" x14ac:dyDescent="0.25">
      <c r="H242" s="149"/>
      <c r="I242" s="43" t="s">
        <v>501</v>
      </c>
      <c r="J242" s="109"/>
      <c r="K242" s="110"/>
      <c r="L242" s="111"/>
    </row>
    <row r="243" spans="8:12" x14ac:dyDescent="0.25">
      <c r="H243" s="149"/>
      <c r="I243" s="43" t="s">
        <v>502</v>
      </c>
      <c r="J243" s="109"/>
      <c r="K243" s="110"/>
      <c r="L243" s="111"/>
    </row>
    <row r="244" spans="8:12" x14ac:dyDescent="0.25">
      <c r="H244" s="149" t="s">
        <v>552</v>
      </c>
      <c r="I244" s="43" t="s">
        <v>503</v>
      </c>
      <c r="J244" s="109"/>
      <c r="K244" s="110"/>
      <c r="L244" s="111"/>
    </row>
    <row r="245" spans="8:12" x14ac:dyDescent="0.25">
      <c r="H245" s="149"/>
      <c r="I245" s="43" t="s">
        <v>504</v>
      </c>
      <c r="J245" s="109"/>
      <c r="K245" s="110"/>
      <c r="L245" s="111"/>
    </row>
    <row r="246" spans="8:12" ht="15.75" customHeight="1" x14ac:dyDescent="0.25">
      <c r="H246" s="149"/>
      <c r="I246" s="43" t="s">
        <v>505</v>
      </c>
      <c r="J246" s="109"/>
      <c r="K246" s="110"/>
      <c r="L246" s="111"/>
    </row>
    <row r="247" spans="8:12" x14ac:dyDescent="0.25">
      <c r="H247" s="149"/>
      <c r="I247" s="43" t="s">
        <v>506</v>
      </c>
      <c r="J247" s="109"/>
      <c r="K247" s="110"/>
      <c r="L247" s="111"/>
    </row>
    <row r="248" spans="8:12" x14ac:dyDescent="0.25">
      <c r="H248" s="149"/>
      <c r="I248" s="43" t="s">
        <v>507</v>
      </c>
      <c r="J248" s="109"/>
      <c r="K248" s="110"/>
      <c r="L248" s="111"/>
    </row>
    <row r="249" spans="8:12" x14ac:dyDescent="0.25">
      <c r="H249" s="149"/>
      <c r="I249" s="43" t="s">
        <v>508</v>
      </c>
      <c r="J249" s="109"/>
      <c r="K249" s="110"/>
      <c r="L249" s="111"/>
    </row>
    <row r="250" spans="8:12" x14ac:dyDescent="0.25">
      <c r="H250" s="149" t="s">
        <v>553</v>
      </c>
      <c r="I250" s="43" t="s">
        <v>509</v>
      </c>
      <c r="J250" s="109"/>
      <c r="K250" s="110"/>
      <c r="L250" s="111"/>
    </row>
    <row r="251" spans="8:12" x14ac:dyDescent="0.25">
      <c r="H251" s="149"/>
      <c r="I251" s="43" t="s">
        <v>510</v>
      </c>
      <c r="J251" s="109"/>
      <c r="K251" s="110"/>
      <c r="L251" s="111"/>
    </row>
    <row r="252" spans="8:12" x14ac:dyDescent="0.25">
      <c r="H252" s="149"/>
      <c r="I252" s="43" t="s">
        <v>511</v>
      </c>
      <c r="J252" s="109"/>
      <c r="K252" s="110"/>
      <c r="L252" s="111"/>
    </row>
    <row r="253" spans="8:12" x14ac:dyDescent="0.25">
      <c r="H253" s="149" t="s">
        <v>554</v>
      </c>
      <c r="I253" s="43" t="s">
        <v>512</v>
      </c>
      <c r="J253" s="109"/>
      <c r="K253" s="110"/>
      <c r="L253" s="111"/>
    </row>
    <row r="254" spans="8:12" x14ac:dyDescent="0.25">
      <c r="H254" s="149"/>
      <c r="I254" s="43" t="s">
        <v>513</v>
      </c>
      <c r="J254" s="109"/>
      <c r="K254" s="110"/>
      <c r="L254" s="111"/>
    </row>
    <row r="255" spans="8:12" x14ac:dyDescent="0.25">
      <c r="H255" s="149"/>
      <c r="I255" s="43" t="s">
        <v>514</v>
      </c>
      <c r="J255" s="109"/>
      <c r="K255" s="110"/>
      <c r="L255" s="111"/>
    </row>
    <row r="256" spans="8:12" x14ac:dyDescent="0.25">
      <c r="H256" s="149"/>
      <c r="I256" s="43" t="s">
        <v>515</v>
      </c>
      <c r="J256" s="109"/>
      <c r="K256" s="110"/>
      <c r="L256" s="111"/>
    </row>
    <row r="257" spans="8:12" x14ac:dyDescent="0.25">
      <c r="H257" s="149"/>
      <c r="I257" s="43" t="s">
        <v>516</v>
      </c>
      <c r="J257" s="109"/>
      <c r="K257" s="110"/>
      <c r="L257" s="111"/>
    </row>
    <row r="258" spans="8:12" x14ac:dyDescent="0.25">
      <c r="H258" s="149"/>
      <c r="I258" s="43" t="s">
        <v>517</v>
      </c>
      <c r="J258" s="109"/>
      <c r="K258" s="110"/>
      <c r="L258" s="111"/>
    </row>
    <row r="259" spans="8:12" x14ac:dyDescent="0.25">
      <c r="H259" s="149"/>
      <c r="I259" s="43" t="s">
        <v>518</v>
      </c>
      <c r="J259" s="109"/>
      <c r="K259" s="110"/>
      <c r="L259" s="111"/>
    </row>
    <row r="260" spans="8:12" ht="30" x14ac:dyDescent="0.25">
      <c r="H260" s="149"/>
      <c r="I260" s="43" t="s">
        <v>519</v>
      </c>
      <c r="J260" s="109"/>
      <c r="K260" s="110"/>
      <c r="L260" s="111"/>
    </row>
    <row r="261" spans="8:12" x14ac:dyDescent="0.25">
      <c r="H261" s="149"/>
      <c r="I261" s="43" t="s">
        <v>520</v>
      </c>
      <c r="J261" s="109"/>
      <c r="K261" s="110"/>
      <c r="L261" s="111"/>
    </row>
    <row r="262" spans="8:12" x14ac:dyDescent="0.25">
      <c r="H262" s="149"/>
      <c r="I262" s="43" t="s">
        <v>521</v>
      </c>
      <c r="J262" s="109"/>
      <c r="K262" s="110"/>
      <c r="L262" s="111"/>
    </row>
    <row r="263" spans="8:12" x14ac:dyDescent="0.25">
      <c r="H263" s="149"/>
      <c r="I263" s="43" t="s">
        <v>522</v>
      </c>
      <c r="J263" s="109"/>
      <c r="K263" s="110"/>
      <c r="L263" s="111"/>
    </row>
    <row r="264" spans="8:12" x14ac:dyDescent="0.25">
      <c r="H264" s="149"/>
      <c r="I264" s="43" t="s">
        <v>523</v>
      </c>
      <c r="J264" s="109"/>
      <c r="K264" s="110"/>
      <c r="L264" s="111"/>
    </row>
    <row r="265" spans="8:12" x14ac:dyDescent="0.25">
      <c r="H265" s="149"/>
      <c r="I265" s="43" t="s">
        <v>524</v>
      </c>
      <c r="J265" s="109"/>
      <c r="K265" s="110"/>
      <c r="L265" s="111"/>
    </row>
    <row r="266" spans="8:12" x14ac:dyDescent="0.25">
      <c r="H266" s="149"/>
      <c r="I266" s="43" t="s">
        <v>525</v>
      </c>
      <c r="J266" s="109"/>
      <c r="K266" s="110"/>
      <c r="L266" s="111"/>
    </row>
    <row r="267" spans="8:12" x14ac:dyDescent="0.25">
      <c r="H267" s="149"/>
      <c r="I267" s="43" t="s">
        <v>526</v>
      </c>
      <c r="J267" s="109"/>
      <c r="K267" s="110"/>
      <c r="L267" s="111"/>
    </row>
    <row r="268" spans="8:12" x14ac:dyDescent="0.25">
      <c r="H268" s="149"/>
      <c r="I268" s="43" t="s">
        <v>527</v>
      </c>
      <c r="J268" s="109"/>
      <c r="K268" s="110"/>
      <c r="L268" s="111"/>
    </row>
    <row r="269" spans="8:12" x14ac:dyDescent="0.25">
      <c r="H269" s="149" t="s">
        <v>555</v>
      </c>
      <c r="I269" s="43" t="s">
        <v>528</v>
      </c>
      <c r="J269" s="109"/>
      <c r="K269" s="110"/>
      <c r="L269" s="111"/>
    </row>
    <row r="270" spans="8:12" x14ac:dyDescent="0.25">
      <c r="H270" s="149"/>
      <c r="I270" s="43" t="s">
        <v>529</v>
      </c>
      <c r="J270" s="109"/>
      <c r="K270" s="110"/>
      <c r="L270" s="111"/>
    </row>
    <row r="271" spans="8:12" x14ac:dyDescent="0.25">
      <c r="H271" s="149"/>
      <c r="I271" s="43" t="s">
        <v>530</v>
      </c>
      <c r="J271" s="109"/>
      <c r="K271" s="110"/>
      <c r="L271" s="111"/>
    </row>
    <row r="272" spans="8:12" x14ac:dyDescent="0.25">
      <c r="H272" s="149"/>
      <c r="I272" s="43" t="s">
        <v>531</v>
      </c>
      <c r="J272" s="109"/>
      <c r="K272" s="110"/>
      <c r="L272" s="111"/>
    </row>
    <row r="273" spans="1:12" x14ac:dyDescent="0.25">
      <c r="H273" s="149"/>
      <c r="I273" s="43" t="s">
        <v>533</v>
      </c>
      <c r="J273" s="109"/>
      <c r="K273" s="110"/>
      <c r="L273" s="111"/>
    </row>
    <row r="274" spans="1:12" x14ac:dyDescent="0.25">
      <c r="H274" s="149"/>
      <c r="I274" s="43" t="s">
        <v>532</v>
      </c>
      <c r="J274" s="109"/>
      <c r="K274" s="110"/>
      <c r="L274" s="111"/>
    </row>
    <row r="275" spans="1:12" x14ac:dyDescent="0.25">
      <c r="H275" s="149"/>
      <c r="I275" s="43" t="s">
        <v>534</v>
      </c>
      <c r="J275" s="109"/>
      <c r="K275" s="110"/>
      <c r="L275" s="111"/>
    </row>
    <row r="276" spans="1:12" x14ac:dyDescent="0.25">
      <c r="H276" s="149"/>
      <c r="I276" s="43" t="s">
        <v>535</v>
      </c>
      <c r="J276" s="109"/>
      <c r="K276" s="110"/>
      <c r="L276" s="111"/>
    </row>
    <row r="277" spans="1:12" x14ac:dyDescent="0.25">
      <c r="H277" s="149" t="s">
        <v>556</v>
      </c>
      <c r="I277" s="43" t="s">
        <v>536</v>
      </c>
      <c r="J277" s="109"/>
      <c r="K277" s="110"/>
      <c r="L277" s="111"/>
    </row>
    <row r="278" spans="1:12" x14ac:dyDescent="0.25">
      <c r="H278" s="149"/>
      <c r="I278" s="43" t="s">
        <v>537</v>
      </c>
      <c r="J278" s="109"/>
      <c r="K278" s="110"/>
      <c r="L278" s="111"/>
    </row>
    <row r="279" spans="1:12" x14ac:dyDescent="0.25">
      <c r="H279" s="149"/>
      <c r="I279" s="43" t="s">
        <v>538</v>
      </c>
      <c r="J279" s="109"/>
      <c r="K279" s="110"/>
      <c r="L279" s="111"/>
    </row>
    <row r="280" spans="1:12" x14ac:dyDescent="0.25">
      <c r="H280" s="149"/>
      <c r="I280" s="43" t="s">
        <v>539</v>
      </c>
      <c r="J280" s="109"/>
      <c r="K280" s="110"/>
      <c r="L280" s="111"/>
    </row>
    <row r="281" spans="1:12" x14ac:dyDescent="0.25">
      <c r="H281" s="149"/>
      <c r="I281" s="43" t="s">
        <v>540</v>
      </c>
      <c r="J281" s="109"/>
      <c r="K281" s="110"/>
      <c r="L281" s="111"/>
    </row>
    <row r="282" spans="1:12" ht="16.5" thickBot="1" x14ac:dyDescent="0.3">
      <c r="H282" s="150"/>
      <c r="I282" s="62" t="s">
        <v>541</v>
      </c>
      <c r="J282" s="112"/>
      <c r="K282" s="113"/>
      <c r="L282" s="114"/>
    </row>
    <row r="283" spans="1:12" x14ac:dyDescent="0.25">
      <c r="A283" s="73"/>
      <c r="B283" s="74"/>
      <c r="C283" s="74"/>
      <c r="D283" s="74"/>
      <c r="E283" s="74"/>
      <c r="F283" s="74"/>
      <c r="G283" s="74"/>
      <c r="H283" s="55"/>
      <c r="I283" s="56"/>
      <c r="J283" s="57"/>
      <c r="K283" s="57"/>
      <c r="L283" s="58"/>
    </row>
    <row r="284" spans="1:12" ht="16.5" thickBot="1" x14ac:dyDescent="0.3">
      <c r="A284" s="75"/>
      <c r="B284" s="23"/>
      <c r="C284" s="23"/>
      <c r="D284" s="23"/>
      <c r="E284" s="23"/>
      <c r="F284" s="23"/>
      <c r="G284" s="23"/>
      <c r="H284" s="39" t="s">
        <v>287</v>
      </c>
      <c r="I284" s="40"/>
      <c r="J284" s="41"/>
      <c r="K284" s="41"/>
      <c r="L284" s="42"/>
    </row>
    <row r="285" spans="1:12" x14ac:dyDescent="0.25">
      <c r="A285" s="75"/>
      <c r="B285" s="23"/>
      <c r="C285" s="23"/>
      <c r="D285" s="23"/>
      <c r="E285" s="23"/>
      <c r="F285" s="23"/>
      <c r="G285" s="23"/>
      <c r="H285" s="67" t="s">
        <v>288</v>
      </c>
      <c r="I285" s="66"/>
      <c r="J285" s="106"/>
      <c r="K285" s="107"/>
      <c r="L285" s="108"/>
    </row>
    <row r="286" spans="1:12" x14ac:dyDescent="0.25">
      <c r="A286" s="75"/>
      <c r="B286" s="23"/>
      <c r="C286" s="23"/>
      <c r="D286" s="23"/>
      <c r="E286" s="23"/>
      <c r="F286" s="23"/>
      <c r="G286" s="23"/>
      <c r="H286" s="44" t="s">
        <v>289</v>
      </c>
      <c r="I286" s="43"/>
      <c r="J286" s="109"/>
      <c r="K286" s="110"/>
      <c r="L286" s="111"/>
    </row>
    <row r="287" spans="1:12" x14ac:dyDescent="0.25">
      <c r="A287" s="75"/>
      <c r="B287" s="23"/>
      <c r="C287" s="23"/>
      <c r="D287" s="23"/>
      <c r="E287" s="23"/>
      <c r="F287" s="23"/>
      <c r="G287" s="23"/>
      <c r="H287" s="149" t="s">
        <v>290</v>
      </c>
      <c r="I287" s="43" t="s">
        <v>291</v>
      </c>
      <c r="J287" s="109"/>
      <c r="K287" s="110"/>
      <c r="L287" s="111"/>
    </row>
    <row r="288" spans="1:12" x14ac:dyDescent="0.25">
      <c r="A288" s="75"/>
      <c r="B288" s="23"/>
      <c r="C288" s="23"/>
      <c r="D288" s="23"/>
      <c r="E288" s="23"/>
      <c r="F288" s="23"/>
      <c r="G288" s="23"/>
      <c r="H288" s="149"/>
      <c r="I288" s="43" t="s">
        <v>292</v>
      </c>
      <c r="J288" s="109"/>
      <c r="K288" s="110"/>
      <c r="L288" s="111"/>
    </row>
    <row r="289" spans="1:12" x14ac:dyDescent="0.25">
      <c r="A289" s="75"/>
      <c r="B289" s="23"/>
      <c r="C289" s="23"/>
      <c r="D289" s="23"/>
      <c r="E289" s="23"/>
      <c r="F289" s="23"/>
      <c r="G289" s="23"/>
      <c r="H289" s="149"/>
      <c r="I289" s="43" t="s">
        <v>293</v>
      </c>
      <c r="J289" s="109"/>
      <c r="K289" s="110"/>
      <c r="L289" s="111"/>
    </row>
    <row r="290" spans="1:12" ht="16.5" thickBot="1" x14ac:dyDescent="0.3">
      <c r="A290" s="76"/>
      <c r="B290" s="77"/>
      <c r="C290" s="77"/>
      <c r="D290" s="77"/>
      <c r="E290" s="77"/>
      <c r="F290" s="77"/>
      <c r="G290" s="77"/>
      <c r="H290" s="150"/>
      <c r="I290" s="62" t="s">
        <v>294</v>
      </c>
      <c r="J290" s="112"/>
      <c r="K290" s="113"/>
      <c r="L290" s="114"/>
    </row>
    <row r="291" spans="1:12" x14ac:dyDescent="0.25">
      <c r="H291" s="59"/>
      <c r="I291" s="56"/>
      <c r="J291" s="57"/>
      <c r="K291" s="57"/>
      <c r="L291" s="58"/>
    </row>
    <row r="292" spans="1:12" ht="16.5" thickBot="1" x14ac:dyDescent="0.3">
      <c r="H292" s="39" t="s">
        <v>295</v>
      </c>
      <c r="I292" s="40"/>
      <c r="J292" s="41"/>
      <c r="K292" s="41"/>
      <c r="L292" s="42"/>
    </row>
    <row r="293" spans="1:12" x14ac:dyDescent="0.25">
      <c r="H293" s="67" t="s">
        <v>296</v>
      </c>
      <c r="I293" s="66"/>
      <c r="J293" s="106"/>
      <c r="K293" s="107"/>
      <c r="L293" s="108"/>
    </row>
    <row r="294" spans="1:12" x14ac:dyDescent="0.25">
      <c r="H294" s="44" t="s">
        <v>297</v>
      </c>
      <c r="I294" s="43"/>
      <c r="J294" s="109"/>
      <c r="K294" s="110"/>
      <c r="L294" s="111"/>
    </row>
    <row r="295" spans="1:12" x14ac:dyDescent="0.25">
      <c r="H295" s="149" t="s">
        <v>298</v>
      </c>
      <c r="I295" s="43" t="s">
        <v>299</v>
      </c>
      <c r="J295" s="109"/>
      <c r="K295" s="110"/>
      <c r="L295" s="111"/>
    </row>
    <row r="296" spans="1:12" ht="16.5" thickBot="1" x14ac:dyDescent="0.3">
      <c r="H296" s="150"/>
      <c r="I296" s="62" t="s">
        <v>300</v>
      </c>
      <c r="J296" s="112"/>
      <c r="K296" s="113"/>
      <c r="L296" s="114"/>
    </row>
    <row r="297" spans="1:12" x14ac:dyDescent="0.25">
      <c r="H297" s="59"/>
      <c r="I297" s="56"/>
      <c r="J297" s="57"/>
      <c r="K297" s="57"/>
      <c r="L297" s="58"/>
    </row>
    <row r="298" spans="1:12" ht="16.5" thickBot="1" x14ac:dyDescent="0.3">
      <c r="H298" s="39" t="s">
        <v>301</v>
      </c>
      <c r="I298" s="40"/>
      <c r="J298" s="41"/>
      <c r="K298" s="41"/>
      <c r="L298" s="42"/>
    </row>
    <row r="299" spans="1:12" x14ac:dyDescent="0.25">
      <c r="H299" s="148" t="s">
        <v>309</v>
      </c>
      <c r="I299" s="66" t="s">
        <v>310</v>
      </c>
      <c r="J299" s="106"/>
      <c r="K299" s="107"/>
      <c r="L299" s="108"/>
    </row>
    <row r="300" spans="1:12" x14ac:dyDescent="0.25">
      <c r="H300" s="149"/>
      <c r="I300" s="43" t="s">
        <v>311</v>
      </c>
      <c r="J300" s="109"/>
      <c r="K300" s="110"/>
      <c r="L300" s="111"/>
    </row>
    <row r="301" spans="1:12" x14ac:dyDescent="0.25">
      <c r="H301" s="149"/>
      <c r="I301" s="43" t="s">
        <v>312</v>
      </c>
      <c r="J301" s="109"/>
      <c r="K301" s="110"/>
      <c r="L301" s="111"/>
    </row>
    <row r="302" spans="1:12" x14ac:dyDescent="0.25">
      <c r="H302" s="149"/>
      <c r="I302" s="43" t="s">
        <v>313</v>
      </c>
      <c r="J302" s="109"/>
      <c r="K302" s="110"/>
      <c r="L302" s="111"/>
    </row>
    <row r="303" spans="1:12" x14ac:dyDescent="0.25">
      <c r="H303" s="149"/>
      <c r="I303" s="43" t="s">
        <v>314</v>
      </c>
      <c r="J303" s="109"/>
      <c r="K303" s="110"/>
      <c r="L303" s="111"/>
    </row>
    <row r="304" spans="1:12" x14ac:dyDescent="0.25">
      <c r="H304" s="44" t="s">
        <v>315</v>
      </c>
      <c r="I304" s="43"/>
      <c r="J304" s="109"/>
      <c r="K304" s="110"/>
      <c r="L304" s="111"/>
    </row>
    <row r="305" spans="8:12" x14ac:dyDescent="0.25">
      <c r="H305" s="44" t="s">
        <v>316</v>
      </c>
      <c r="I305" s="43"/>
      <c r="J305" s="109"/>
      <c r="K305" s="110"/>
      <c r="L305" s="111"/>
    </row>
    <row r="306" spans="8:12" ht="30" x14ac:dyDescent="0.25">
      <c r="H306" s="44" t="s">
        <v>317</v>
      </c>
      <c r="I306" s="43"/>
      <c r="J306" s="109"/>
      <c r="K306" s="110"/>
      <c r="L306" s="111"/>
    </row>
    <row r="307" spans="8:12" ht="16.5" thickBot="1" x14ac:dyDescent="0.3">
      <c r="H307" s="61" t="s">
        <v>318</v>
      </c>
      <c r="I307" s="62"/>
      <c r="J307" s="112"/>
      <c r="K307" s="113"/>
      <c r="L307" s="114"/>
    </row>
    <row r="308" spans="8:12" x14ac:dyDescent="0.25">
      <c r="H308" s="59"/>
      <c r="I308" s="56"/>
      <c r="J308" s="97"/>
      <c r="K308" s="98"/>
      <c r="L308" s="99"/>
    </row>
    <row r="309" spans="8:12" x14ac:dyDescent="0.25">
      <c r="H309" s="79" t="s">
        <v>420</v>
      </c>
      <c r="I309" s="40"/>
      <c r="J309" s="41"/>
      <c r="K309" s="41"/>
      <c r="L309" s="42"/>
    </row>
    <row r="310" spans="8:12" x14ac:dyDescent="0.25">
      <c r="H310" s="44" t="s">
        <v>421</v>
      </c>
      <c r="I310" s="43"/>
      <c r="J310" s="109"/>
      <c r="K310" s="110"/>
      <c r="L310" s="111"/>
    </row>
    <row r="311" spans="8:12" x14ac:dyDescent="0.25">
      <c r="H311" s="44" t="s">
        <v>422</v>
      </c>
      <c r="I311" s="43"/>
      <c r="J311" s="109"/>
      <c r="K311" s="110"/>
      <c r="L311" s="111"/>
    </row>
    <row r="312" spans="8:12" x14ac:dyDescent="0.25">
      <c r="H312" s="44" t="s">
        <v>423</v>
      </c>
      <c r="I312" s="43"/>
      <c r="J312" s="109"/>
      <c r="K312" s="110"/>
      <c r="L312" s="111"/>
    </row>
    <row r="313" spans="8:12" ht="16.5" thickBot="1" x14ac:dyDescent="0.3">
      <c r="H313" s="61" t="s">
        <v>424</v>
      </c>
      <c r="I313" s="62"/>
      <c r="J313" s="112"/>
      <c r="K313" s="113"/>
      <c r="L313" s="114"/>
    </row>
    <row r="314" spans="8:12" ht="16.5" thickBot="1" x14ac:dyDescent="0.3">
      <c r="H314" s="59"/>
      <c r="I314" s="56"/>
      <c r="J314" s="57"/>
      <c r="K314" s="57"/>
      <c r="L314" s="58"/>
    </row>
    <row r="315" spans="8:12" x14ac:dyDescent="0.25">
      <c r="H315" s="35" t="s">
        <v>302</v>
      </c>
      <c r="I315" s="36"/>
      <c r="J315" s="37"/>
      <c r="K315" s="37"/>
      <c r="L315" s="38"/>
    </row>
    <row r="316" spans="8:12" ht="16.5" thickBot="1" x14ac:dyDescent="0.3">
      <c r="H316" s="39" t="s">
        <v>308</v>
      </c>
      <c r="I316" s="40"/>
      <c r="J316" s="41"/>
      <c r="K316" s="41"/>
      <c r="L316" s="42"/>
    </row>
    <row r="317" spans="8:12" x14ac:dyDescent="0.25">
      <c r="H317" s="67" t="s">
        <v>303</v>
      </c>
      <c r="I317" s="66"/>
      <c r="J317" s="106"/>
      <c r="K317" s="107"/>
      <c r="L317" s="108"/>
    </row>
    <row r="318" spans="8:12" x14ac:dyDescent="0.25">
      <c r="H318" s="149" t="s">
        <v>304</v>
      </c>
      <c r="I318" s="43" t="s">
        <v>461</v>
      </c>
      <c r="J318" s="109"/>
      <c r="K318" s="110"/>
      <c r="L318" s="111"/>
    </row>
    <row r="319" spans="8:12" x14ac:dyDescent="0.25">
      <c r="H319" s="149"/>
      <c r="I319" s="43" t="s">
        <v>460</v>
      </c>
      <c r="J319" s="109"/>
      <c r="K319" s="115"/>
      <c r="L319" s="111"/>
    </row>
    <row r="320" spans="8:12" x14ac:dyDescent="0.25">
      <c r="H320" s="149" t="s">
        <v>305</v>
      </c>
      <c r="I320" s="43" t="s">
        <v>306</v>
      </c>
      <c r="J320" s="109"/>
      <c r="K320" s="110"/>
      <c r="L320" s="111"/>
    </row>
    <row r="321" spans="8:12" ht="16.5" thickBot="1" x14ac:dyDescent="0.3">
      <c r="H321" s="150"/>
      <c r="I321" s="62" t="s">
        <v>307</v>
      </c>
      <c r="J321" s="112"/>
      <c r="K321" s="113"/>
      <c r="L321" s="114"/>
    </row>
    <row r="322" spans="8:12" x14ac:dyDescent="0.25">
      <c r="H322" s="68"/>
      <c r="I322" s="69"/>
      <c r="J322" s="70"/>
      <c r="K322" s="70"/>
      <c r="L322" s="71"/>
    </row>
    <row r="323" spans="8:12" ht="16.5" thickBot="1" x14ac:dyDescent="0.3">
      <c r="H323" s="39" t="s">
        <v>558</v>
      </c>
      <c r="I323" s="40"/>
      <c r="J323" s="41"/>
      <c r="K323" s="41"/>
      <c r="L323" s="42"/>
    </row>
    <row r="324" spans="8:12" ht="15.75" customHeight="1" x14ac:dyDescent="0.25">
      <c r="H324" s="67" t="s">
        <v>557</v>
      </c>
      <c r="I324" s="66"/>
      <c r="J324" s="106"/>
      <c r="K324" s="107"/>
      <c r="L324" s="108"/>
    </row>
    <row r="325" spans="8:12" x14ac:dyDescent="0.25">
      <c r="H325" s="44" t="s">
        <v>559</v>
      </c>
      <c r="I325" s="43"/>
      <c r="J325" s="109"/>
      <c r="K325" s="110"/>
      <c r="L325" s="111"/>
    </row>
    <row r="326" spans="8:12" s="23" customFormat="1" ht="29.25" customHeight="1" thickBot="1" x14ac:dyDescent="0.3">
      <c r="H326" s="61" t="s">
        <v>560</v>
      </c>
      <c r="I326" s="62"/>
      <c r="J326" s="112"/>
      <c r="K326" s="113"/>
      <c r="L326" s="114"/>
    </row>
    <row r="327" spans="8:12" x14ac:dyDescent="0.25">
      <c r="H327" s="68"/>
      <c r="I327" s="69"/>
      <c r="J327" s="70"/>
      <c r="K327" s="70"/>
      <c r="L327" s="71"/>
    </row>
    <row r="328" spans="8:12" ht="16.5" thickBot="1" x14ac:dyDescent="0.3">
      <c r="H328" s="39" t="s">
        <v>324</v>
      </c>
      <c r="I328" s="40"/>
      <c r="J328" s="41"/>
      <c r="K328" s="41"/>
      <c r="L328" s="42"/>
    </row>
    <row r="329" spans="8:12" x14ac:dyDescent="0.25">
      <c r="H329" s="67" t="s">
        <v>319</v>
      </c>
      <c r="I329" s="66"/>
      <c r="J329" s="106"/>
      <c r="K329" s="107"/>
      <c r="L329" s="108"/>
    </row>
    <row r="330" spans="8:12" ht="30" x14ac:dyDescent="0.25">
      <c r="H330" s="44" t="s">
        <v>320</v>
      </c>
      <c r="I330" s="43"/>
      <c r="J330" s="109"/>
      <c r="K330" s="110"/>
      <c r="L330" s="111"/>
    </row>
    <row r="331" spans="8:12" ht="30" x14ac:dyDescent="0.25">
      <c r="H331" s="44" t="s">
        <v>321</v>
      </c>
      <c r="I331" s="43"/>
      <c r="J331" s="109"/>
      <c r="K331" s="110"/>
      <c r="L331" s="111"/>
    </row>
    <row r="332" spans="8:12" ht="30" x14ac:dyDescent="0.25">
      <c r="H332" s="44" t="s">
        <v>322</v>
      </c>
      <c r="I332" s="43"/>
      <c r="J332" s="109"/>
      <c r="K332" s="110"/>
      <c r="L332" s="111"/>
    </row>
    <row r="333" spans="8:12" s="23" customFormat="1" ht="30.75" customHeight="1" thickBot="1" x14ac:dyDescent="0.3">
      <c r="H333" s="61" t="s">
        <v>323</v>
      </c>
      <c r="I333" s="62"/>
      <c r="J333" s="112"/>
      <c r="K333" s="113"/>
      <c r="L333" s="114"/>
    </row>
    <row r="334" spans="8:12" x14ac:dyDescent="0.25">
      <c r="H334" s="68"/>
      <c r="I334" s="69"/>
      <c r="J334" s="70"/>
      <c r="K334" s="70"/>
      <c r="L334" s="71"/>
    </row>
    <row r="335" spans="8:12" ht="16.5" thickBot="1" x14ac:dyDescent="0.3">
      <c r="H335" s="39" t="s">
        <v>325</v>
      </c>
      <c r="I335" s="40"/>
      <c r="J335" s="41"/>
      <c r="K335" s="41"/>
      <c r="L335" s="42"/>
    </row>
    <row r="336" spans="8:12" x14ac:dyDescent="0.25">
      <c r="H336" s="67" t="s">
        <v>326</v>
      </c>
      <c r="I336" s="66"/>
      <c r="J336" s="106"/>
      <c r="K336" s="107"/>
      <c r="L336" s="108"/>
    </row>
    <row r="337" spans="8:12" x14ac:dyDescent="0.25">
      <c r="H337" s="149" t="s">
        <v>485</v>
      </c>
      <c r="I337" s="43" t="s">
        <v>473</v>
      </c>
      <c r="J337" s="109"/>
      <c r="K337" s="115"/>
      <c r="L337" s="111"/>
    </row>
    <row r="338" spans="8:12" x14ac:dyDescent="0.25">
      <c r="H338" s="149"/>
      <c r="I338" s="43" t="s">
        <v>474</v>
      </c>
      <c r="J338" s="109"/>
      <c r="K338" s="115"/>
      <c r="L338" s="111"/>
    </row>
    <row r="339" spans="8:12" ht="30" x14ac:dyDescent="0.25">
      <c r="H339" s="149"/>
      <c r="I339" s="43" t="s">
        <v>475</v>
      </c>
      <c r="J339" s="109"/>
      <c r="K339" s="115"/>
      <c r="L339" s="111"/>
    </row>
    <row r="340" spans="8:12" ht="30" x14ac:dyDescent="0.25">
      <c r="H340" s="149"/>
      <c r="I340" s="43" t="s">
        <v>476</v>
      </c>
      <c r="J340" s="109"/>
      <c r="K340" s="115"/>
      <c r="L340" s="111"/>
    </row>
    <row r="341" spans="8:12" ht="30" x14ac:dyDescent="0.25">
      <c r="H341" s="149"/>
      <c r="I341" s="43" t="s">
        <v>477</v>
      </c>
      <c r="J341" s="109"/>
      <c r="K341" s="115"/>
      <c r="L341" s="111"/>
    </row>
    <row r="342" spans="8:12" x14ac:dyDescent="0.25">
      <c r="H342" s="149"/>
      <c r="I342" s="43" t="s">
        <v>478</v>
      </c>
      <c r="J342" s="109"/>
      <c r="K342" s="115"/>
      <c r="L342" s="111"/>
    </row>
    <row r="343" spans="8:12" x14ac:dyDescent="0.25">
      <c r="H343" s="149"/>
      <c r="I343" s="43" t="s">
        <v>479</v>
      </c>
      <c r="J343" s="109"/>
      <c r="K343" s="115"/>
      <c r="L343" s="111"/>
    </row>
    <row r="344" spans="8:12" x14ac:dyDescent="0.25">
      <c r="H344" s="149"/>
      <c r="I344" s="43" t="s">
        <v>480</v>
      </c>
      <c r="J344" s="109"/>
      <c r="K344" s="115"/>
      <c r="L344" s="111"/>
    </row>
    <row r="345" spans="8:12" x14ac:dyDescent="0.25">
      <c r="H345" s="149" t="s">
        <v>484</v>
      </c>
      <c r="I345" s="43" t="s">
        <v>481</v>
      </c>
      <c r="J345" s="109"/>
      <c r="K345" s="115"/>
      <c r="L345" s="111"/>
    </row>
    <row r="346" spans="8:12" x14ac:dyDescent="0.25">
      <c r="H346" s="149"/>
      <c r="I346" s="43" t="s">
        <v>482</v>
      </c>
      <c r="J346" s="109"/>
      <c r="K346" s="115"/>
      <c r="L346" s="111"/>
    </row>
    <row r="347" spans="8:12" ht="16.5" thickBot="1" x14ac:dyDescent="0.3">
      <c r="H347" s="150"/>
      <c r="I347" s="43" t="s">
        <v>483</v>
      </c>
      <c r="J347" s="112"/>
      <c r="K347" s="118"/>
      <c r="L347" s="114"/>
    </row>
    <row r="348" spans="8:12" x14ac:dyDescent="0.25">
      <c r="H348" s="72"/>
      <c r="I348" s="69"/>
      <c r="J348" s="70"/>
      <c r="K348" s="70"/>
      <c r="L348" s="71"/>
    </row>
    <row r="349" spans="8:12" ht="16.5" thickBot="1" x14ac:dyDescent="0.3">
      <c r="H349" s="39" t="s">
        <v>327</v>
      </c>
      <c r="I349" s="40"/>
      <c r="J349" s="41"/>
      <c r="K349" s="41"/>
      <c r="L349" s="42"/>
    </row>
    <row r="350" spans="8:12" ht="15.75" customHeight="1" x14ac:dyDescent="0.25">
      <c r="H350" s="154" t="s">
        <v>328</v>
      </c>
      <c r="I350" s="66" t="s">
        <v>449</v>
      </c>
      <c r="J350" s="106"/>
      <c r="K350" s="120"/>
      <c r="L350" s="108"/>
    </row>
    <row r="351" spans="8:12" x14ac:dyDescent="0.25">
      <c r="H351" s="152"/>
      <c r="I351" s="43" t="s">
        <v>462</v>
      </c>
      <c r="J351" s="109"/>
      <c r="K351" s="115"/>
      <c r="L351" s="111"/>
    </row>
    <row r="352" spans="8:12" x14ac:dyDescent="0.25">
      <c r="H352" s="152"/>
      <c r="I352" s="43" t="s">
        <v>463</v>
      </c>
      <c r="J352" s="109"/>
      <c r="K352" s="115"/>
      <c r="L352" s="111"/>
    </row>
    <row r="353" spans="8:12" x14ac:dyDescent="0.25">
      <c r="H353" s="155"/>
      <c r="I353" s="43" t="s">
        <v>464</v>
      </c>
      <c r="J353" s="109"/>
      <c r="K353" s="115"/>
      <c r="L353" s="111"/>
    </row>
    <row r="354" spans="8:12" ht="29.25" customHeight="1" x14ac:dyDescent="0.25">
      <c r="H354" s="151" t="s">
        <v>329</v>
      </c>
      <c r="I354" s="43" t="s">
        <v>330</v>
      </c>
      <c r="J354" s="109"/>
      <c r="K354" s="110"/>
      <c r="L354" s="111"/>
    </row>
    <row r="355" spans="8:12" ht="29.25" customHeight="1" x14ac:dyDescent="0.25">
      <c r="H355" s="152"/>
      <c r="I355" s="43" t="s">
        <v>426</v>
      </c>
      <c r="J355" s="109"/>
      <c r="K355" s="110"/>
      <c r="L355" s="111"/>
    </row>
    <row r="356" spans="8:12" ht="29.25" customHeight="1" x14ac:dyDescent="0.25">
      <c r="H356" s="152"/>
      <c r="I356" s="43" t="s">
        <v>427</v>
      </c>
      <c r="J356" s="109"/>
      <c r="K356" s="110"/>
      <c r="L356" s="111"/>
    </row>
    <row r="357" spans="8:12" ht="29.25" customHeight="1" x14ac:dyDescent="0.25">
      <c r="H357" s="155"/>
      <c r="I357" s="43" t="s">
        <v>428</v>
      </c>
      <c r="J357" s="109"/>
      <c r="K357" s="110"/>
      <c r="L357" s="111"/>
    </row>
    <row r="358" spans="8:12" x14ac:dyDescent="0.25">
      <c r="H358" s="44" t="s">
        <v>331</v>
      </c>
      <c r="I358" s="43"/>
      <c r="J358" s="109"/>
      <c r="K358" s="110"/>
      <c r="L358" s="111"/>
    </row>
    <row r="359" spans="8:12" x14ac:dyDescent="0.25">
      <c r="H359" s="44" t="s">
        <v>332</v>
      </c>
      <c r="I359" s="43"/>
      <c r="J359" s="109"/>
      <c r="K359" s="110"/>
      <c r="L359" s="111"/>
    </row>
    <row r="360" spans="8:12" x14ac:dyDescent="0.25">
      <c r="H360" s="151" t="s">
        <v>333</v>
      </c>
      <c r="I360" s="43" t="s">
        <v>334</v>
      </c>
      <c r="J360" s="109"/>
      <c r="K360" s="110"/>
      <c r="L360" s="111"/>
    </row>
    <row r="361" spans="8:12" x14ac:dyDescent="0.25">
      <c r="H361" s="152"/>
      <c r="I361" s="43" t="s">
        <v>335</v>
      </c>
      <c r="J361" s="109"/>
      <c r="K361" s="110"/>
      <c r="L361" s="111"/>
    </row>
    <row r="362" spans="8:12" x14ac:dyDescent="0.25">
      <c r="H362" s="152"/>
      <c r="I362" s="43" t="s">
        <v>429</v>
      </c>
      <c r="J362" s="109"/>
      <c r="K362" s="110"/>
      <c r="L362" s="111"/>
    </row>
    <row r="363" spans="8:12" x14ac:dyDescent="0.25">
      <c r="H363" s="155"/>
      <c r="I363" s="43" t="s">
        <v>450</v>
      </c>
      <c r="J363" s="109"/>
      <c r="K363" s="110"/>
      <c r="L363" s="111"/>
    </row>
    <row r="364" spans="8:12" x14ac:dyDescent="0.25">
      <c r="H364" s="44" t="s">
        <v>336</v>
      </c>
      <c r="I364" s="43"/>
      <c r="J364" s="109"/>
      <c r="K364" s="110"/>
      <c r="L364" s="111"/>
    </row>
    <row r="365" spans="8:12" x14ac:dyDescent="0.25">
      <c r="H365" s="44" t="s">
        <v>337</v>
      </c>
      <c r="I365" s="43"/>
      <c r="J365" s="109"/>
      <c r="K365" s="110"/>
      <c r="L365" s="111"/>
    </row>
    <row r="366" spans="8:12" x14ac:dyDescent="0.25">
      <c r="H366" s="149" t="s">
        <v>338</v>
      </c>
      <c r="I366" s="43" t="s">
        <v>339</v>
      </c>
      <c r="J366" s="109"/>
      <c r="K366" s="110"/>
      <c r="L366" s="111"/>
    </row>
    <row r="367" spans="8:12" x14ac:dyDescent="0.25">
      <c r="H367" s="149"/>
      <c r="I367" s="43" t="s">
        <v>340</v>
      </c>
      <c r="J367" s="109"/>
      <c r="K367" s="110"/>
      <c r="L367" s="111"/>
    </row>
    <row r="368" spans="8:12" x14ac:dyDescent="0.25">
      <c r="H368" s="149"/>
      <c r="I368" s="43" t="s">
        <v>341</v>
      </c>
      <c r="J368" s="109"/>
      <c r="K368" s="110"/>
      <c r="L368" s="111"/>
    </row>
    <row r="369" spans="8:12" x14ac:dyDescent="0.25">
      <c r="H369" s="44" t="s">
        <v>451</v>
      </c>
      <c r="I369" s="43"/>
      <c r="J369" s="109"/>
      <c r="K369" s="115"/>
      <c r="L369" s="111"/>
    </row>
    <row r="370" spans="8:12" x14ac:dyDescent="0.25">
      <c r="H370" s="44" t="s">
        <v>342</v>
      </c>
      <c r="I370" s="43"/>
      <c r="J370" s="109"/>
      <c r="K370" s="110"/>
      <c r="L370" s="111"/>
    </row>
    <row r="371" spans="8:12" x14ac:dyDescent="0.25">
      <c r="H371" s="44" t="s">
        <v>343</v>
      </c>
      <c r="I371" s="43"/>
      <c r="J371" s="109"/>
      <c r="K371" s="110"/>
      <c r="L371" s="111"/>
    </row>
    <row r="372" spans="8:12" x14ac:dyDescent="0.25">
      <c r="H372" s="145" t="s">
        <v>472</v>
      </c>
      <c r="I372" s="43" t="s">
        <v>465</v>
      </c>
      <c r="J372" s="109"/>
      <c r="K372" s="110"/>
      <c r="L372" s="111"/>
    </row>
    <row r="373" spans="8:12" x14ac:dyDescent="0.25">
      <c r="H373" s="146"/>
      <c r="I373" s="43" t="s">
        <v>466</v>
      </c>
      <c r="J373" s="109"/>
      <c r="K373" s="110"/>
      <c r="L373" s="111"/>
    </row>
    <row r="374" spans="8:12" x14ac:dyDescent="0.25">
      <c r="H374" s="146"/>
      <c r="I374" s="43" t="s">
        <v>467</v>
      </c>
      <c r="J374" s="109"/>
      <c r="K374" s="110"/>
      <c r="L374" s="111"/>
    </row>
    <row r="375" spans="8:12" x14ac:dyDescent="0.25">
      <c r="H375" s="146"/>
      <c r="I375" s="43" t="s">
        <v>468</v>
      </c>
      <c r="J375" s="109"/>
      <c r="K375" s="110"/>
      <c r="L375" s="111"/>
    </row>
    <row r="376" spans="8:12" x14ac:dyDescent="0.25">
      <c r="H376" s="146"/>
      <c r="I376" s="100" t="s">
        <v>469</v>
      </c>
      <c r="J376" s="109"/>
      <c r="K376" s="110"/>
      <c r="L376" s="111"/>
    </row>
    <row r="377" spans="8:12" x14ac:dyDescent="0.25">
      <c r="H377" s="146"/>
      <c r="I377" s="100" t="s">
        <v>470</v>
      </c>
      <c r="J377" s="109"/>
      <c r="K377" s="110"/>
      <c r="L377" s="111"/>
    </row>
    <row r="378" spans="8:12" x14ac:dyDescent="0.25">
      <c r="H378" s="147"/>
      <c r="I378" s="100" t="s">
        <v>471</v>
      </c>
      <c r="J378" s="109"/>
      <c r="K378" s="110"/>
      <c r="L378" s="111"/>
    </row>
    <row r="379" spans="8:12" x14ac:dyDescent="0.25">
      <c r="H379" s="44" t="s">
        <v>344</v>
      </c>
      <c r="I379" s="43"/>
      <c r="J379" s="109"/>
      <c r="K379" s="110"/>
      <c r="L379" s="111"/>
    </row>
    <row r="380" spans="8:12" x14ac:dyDescent="0.25">
      <c r="H380" s="149" t="s">
        <v>345</v>
      </c>
      <c r="I380" s="43" t="s">
        <v>346</v>
      </c>
      <c r="J380" s="109"/>
      <c r="K380" s="110"/>
      <c r="L380" s="111"/>
    </row>
    <row r="381" spans="8:12" x14ac:dyDescent="0.25">
      <c r="H381" s="149"/>
      <c r="I381" s="43" t="s">
        <v>347</v>
      </c>
      <c r="J381" s="109"/>
      <c r="K381" s="110"/>
      <c r="L381" s="111"/>
    </row>
    <row r="382" spans="8:12" ht="16.5" thickBot="1" x14ac:dyDescent="0.3">
      <c r="H382" s="150"/>
      <c r="I382" s="62" t="s">
        <v>348</v>
      </c>
      <c r="J382" s="112"/>
      <c r="K382" s="113"/>
      <c r="L382" s="114"/>
    </row>
    <row r="383" spans="8:12" x14ac:dyDescent="0.25">
      <c r="H383" s="59"/>
      <c r="I383" s="56"/>
      <c r="J383" s="57"/>
      <c r="K383" s="57"/>
      <c r="L383" s="58"/>
    </row>
    <row r="384" spans="8:12" ht="16.5" thickBot="1" x14ac:dyDescent="0.3">
      <c r="H384" s="39" t="s">
        <v>349</v>
      </c>
      <c r="I384" s="40"/>
      <c r="J384" s="41"/>
      <c r="K384" s="41"/>
      <c r="L384" s="42"/>
    </row>
    <row r="385" spans="8:12" x14ac:dyDescent="0.25">
      <c r="H385" s="67" t="s">
        <v>350</v>
      </c>
      <c r="I385" s="43"/>
      <c r="J385" s="138"/>
      <c r="K385" s="131"/>
      <c r="L385" s="136"/>
    </row>
    <row r="386" spans="8:12" x14ac:dyDescent="0.25">
      <c r="H386" s="44" t="s">
        <v>351</v>
      </c>
      <c r="I386" s="43"/>
      <c r="J386" s="139"/>
      <c r="K386" s="132"/>
      <c r="L386" s="137"/>
    </row>
    <row r="387" spans="8:12" x14ac:dyDescent="0.25">
      <c r="H387" s="44" t="s">
        <v>359</v>
      </c>
      <c r="I387" s="43" t="s">
        <v>360</v>
      </c>
      <c r="J387" s="139"/>
      <c r="K387" s="132"/>
      <c r="L387" s="137"/>
    </row>
    <row r="388" spans="8:12" x14ac:dyDescent="0.25">
      <c r="H388" s="44" t="s">
        <v>361</v>
      </c>
      <c r="I388" s="43"/>
      <c r="J388" s="139"/>
      <c r="K388" s="132"/>
      <c r="L388" s="137"/>
    </row>
    <row r="389" spans="8:12" ht="15.75" customHeight="1" x14ac:dyDescent="0.25">
      <c r="H389" s="81" t="s">
        <v>362</v>
      </c>
      <c r="I389" s="43"/>
      <c r="J389" s="139"/>
      <c r="K389" s="132"/>
      <c r="L389" s="137"/>
    </row>
    <row r="390" spans="8:12" x14ac:dyDescent="0.25">
      <c r="H390" s="44" t="s">
        <v>363</v>
      </c>
      <c r="I390" s="43"/>
      <c r="J390" s="139"/>
      <c r="K390" s="132"/>
      <c r="L390" s="137"/>
    </row>
    <row r="391" spans="8:12" x14ac:dyDescent="0.25">
      <c r="H391" s="149" t="s">
        <v>364</v>
      </c>
      <c r="I391" s="43" t="s">
        <v>365</v>
      </c>
      <c r="J391" s="139"/>
      <c r="K391" s="132"/>
      <c r="L391" s="137"/>
    </row>
    <row r="392" spans="8:12" x14ac:dyDescent="0.25">
      <c r="H392" s="149"/>
      <c r="I392" s="43" t="s">
        <v>366</v>
      </c>
      <c r="J392" s="109"/>
      <c r="K392" s="110"/>
      <c r="L392" s="111"/>
    </row>
    <row r="393" spans="8:12" x14ac:dyDescent="0.25">
      <c r="H393" s="149" t="s">
        <v>367</v>
      </c>
      <c r="I393" s="43" t="s">
        <v>374</v>
      </c>
      <c r="J393" s="109"/>
      <c r="K393" s="110"/>
      <c r="L393" s="111"/>
    </row>
    <row r="394" spans="8:12" x14ac:dyDescent="0.25">
      <c r="H394" s="149"/>
      <c r="I394" s="43" t="s">
        <v>375</v>
      </c>
      <c r="J394" s="109"/>
      <c r="K394" s="110"/>
      <c r="L394" s="111"/>
    </row>
    <row r="395" spans="8:12" ht="30" x14ac:dyDescent="0.25">
      <c r="H395" s="149"/>
      <c r="I395" s="43" t="s">
        <v>368</v>
      </c>
      <c r="J395" s="109"/>
      <c r="K395" s="110"/>
      <c r="L395" s="111"/>
    </row>
    <row r="396" spans="8:12" x14ac:dyDescent="0.25">
      <c r="H396" s="149"/>
      <c r="I396" s="43" t="s">
        <v>369</v>
      </c>
      <c r="J396" s="109"/>
      <c r="K396" s="110"/>
      <c r="L396" s="111"/>
    </row>
    <row r="397" spans="8:12" x14ac:dyDescent="0.25">
      <c r="H397" s="149"/>
      <c r="I397" s="43" t="s">
        <v>370</v>
      </c>
      <c r="J397" s="109"/>
      <c r="K397" s="110"/>
      <c r="L397" s="111"/>
    </row>
    <row r="398" spans="8:12" x14ac:dyDescent="0.25">
      <c r="H398" s="149"/>
      <c r="I398" s="60" t="s">
        <v>371</v>
      </c>
      <c r="J398" s="109"/>
      <c r="K398" s="110"/>
      <c r="L398" s="111"/>
    </row>
    <row r="399" spans="8:12" x14ac:dyDescent="0.25">
      <c r="H399" s="149"/>
      <c r="I399" s="60" t="s">
        <v>372</v>
      </c>
      <c r="J399" s="109"/>
      <c r="K399" s="110"/>
      <c r="L399" s="111"/>
    </row>
    <row r="400" spans="8:12" x14ac:dyDescent="0.25">
      <c r="H400" s="149"/>
      <c r="I400" s="43" t="s">
        <v>373</v>
      </c>
      <c r="J400" s="109"/>
      <c r="K400" s="110"/>
      <c r="L400" s="111"/>
    </row>
    <row r="401" spans="8:12" x14ac:dyDescent="0.25">
      <c r="H401" s="149" t="s">
        <v>376</v>
      </c>
      <c r="I401" s="43" t="s">
        <v>377</v>
      </c>
      <c r="J401" s="109"/>
      <c r="K401" s="110"/>
      <c r="L401" s="111"/>
    </row>
    <row r="402" spans="8:12" x14ac:dyDescent="0.25">
      <c r="H402" s="149"/>
      <c r="I402" s="43" t="s">
        <v>378</v>
      </c>
      <c r="J402" s="109"/>
      <c r="K402" s="110"/>
      <c r="L402" s="111"/>
    </row>
    <row r="403" spans="8:12" x14ac:dyDescent="0.25">
      <c r="H403" s="149" t="s">
        <v>547</v>
      </c>
      <c r="I403" s="43" t="s">
        <v>542</v>
      </c>
      <c r="J403" s="109"/>
      <c r="K403" s="115"/>
      <c r="L403" s="111"/>
    </row>
    <row r="404" spans="8:12" ht="15.75" customHeight="1" x14ac:dyDescent="0.25">
      <c r="H404" s="149"/>
      <c r="I404" s="43" t="s">
        <v>543</v>
      </c>
      <c r="J404" s="109"/>
      <c r="K404" s="115"/>
      <c r="L404" s="111"/>
    </row>
    <row r="405" spans="8:12" x14ac:dyDescent="0.25">
      <c r="H405" s="149"/>
      <c r="I405" s="43" t="s">
        <v>544</v>
      </c>
      <c r="J405" s="109"/>
      <c r="K405" s="115"/>
      <c r="L405" s="111"/>
    </row>
    <row r="406" spans="8:12" x14ac:dyDescent="0.25">
      <c r="H406" s="149"/>
      <c r="I406" s="43" t="s">
        <v>545</v>
      </c>
      <c r="J406" s="109"/>
      <c r="K406" s="115"/>
      <c r="L406" s="111"/>
    </row>
    <row r="407" spans="8:12" x14ac:dyDescent="0.25">
      <c r="H407" s="149"/>
      <c r="I407" s="43" t="s">
        <v>546</v>
      </c>
      <c r="J407" s="109"/>
      <c r="K407" s="115"/>
      <c r="L407" s="111"/>
    </row>
    <row r="408" spans="8:12" x14ac:dyDescent="0.25">
      <c r="H408" s="149" t="s">
        <v>379</v>
      </c>
      <c r="I408" s="43" t="s">
        <v>352</v>
      </c>
      <c r="J408" s="109"/>
      <c r="K408" s="110"/>
      <c r="L408" s="111"/>
    </row>
    <row r="409" spans="8:12" x14ac:dyDescent="0.25">
      <c r="H409" s="149"/>
      <c r="I409" s="43" t="s">
        <v>353</v>
      </c>
      <c r="J409" s="109"/>
      <c r="K409" s="110"/>
      <c r="L409" s="111"/>
    </row>
    <row r="410" spans="8:12" x14ac:dyDescent="0.25">
      <c r="H410" s="149" t="s">
        <v>354</v>
      </c>
      <c r="I410" s="43" t="s">
        <v>355</v>
      </c>
      <c r="J410" s="109"/>
      <c r="K410" s="110"/>
      <c r="L410" s="111"/>
    </row>
    <row r="411" spans="8:12" x14ac:dyDescent="0.25">
      <c r="H411" s="149"/>
      <c r="I411" s="43" t="s">
        <v>356</v>
      </c>
      <c r="J411" s="109"/>
      <c r="K411" s="110"/>
      <c r="L411" s="111"/>
    </row>
    <row r="412" spans="8:12" x14ac:dyDescent="0.25">
      <c r="H412" s="44" t="s">
        <v>357</v>
      </c>
      <c r="I412" s="43"/>
      <c r="J412" s="109"/>
      <c r="K412" s="110"/>
      <c r="L412" s="111"/>
    </row>
    <row r="413" spans="8:12" ht="16.5" thickBot="1" x14ac:dyDescent="0.3">
      <c r="H413" s="61" t="s">
        <v>358</v>
      </c>
      <c r="I413" s="62"/>
      <c r="J413" s="112"/>
      <c r="K413" s="113"/>
      <c r="L413" s="114"/>
    </row>
    <row r="414" spans="8:12" s="63" customFormat="1" ht="15" x14ac:dyDescent="0.25">
      <c r="H414" s="78"/>
      <c r="I414" s="57"/>
      <c r="J414" s="57"/>
      <c r="K414" s="57"/>
      <c r="L414" s="58"/>
    </row>
    <row r="415" spans="8:12" s="63" customFormat="1" ht="15" x14ac:dyDescent="0.25">
      <c r="H415" s="78"/>
      <c r="I415" s="57"/>
      <c r="J415" s="57"/>
      <c r="K415" s="57"/>
      <c r="L415" s="58"/>
    </row>
    <row r="416" spans="8:12" ht="16.5" thickBot="1" x14ac:dyDescent="0.3">
      <c r="H416" s="79" t="s">
        <v>380</v>
      </c>
      <c r="I416" s="40"/>
      <c r="J416" s="41"/>
      <c r="K416" s="41"/>
      <c r="L416" s="42"/>
    </row>
    <row r="417" spans="8:12" x14ac:dyDescent="0.25">
      <c r="H417" s="67" t="s">
        <v>381</v>
      </c>
      <c r="I417" s="66"/>
      <c r="J417" s="138"/>
      <c r="K417" s="131"/>
      <c r="L417" s="136"/>
    </row>
    <row r="418" spans="8:12" x14ac:dyDescent="0.25">
      <c r="H418" s="149" t="s">
        <v>382</v>
      </c>
      <c r="I418" s="43" t="s">
        <v>383</v>
      </c>
      <c r="J418" s="139"/>
      <c r="K418" s="132"/>
      <c r="L418" s="137"/>
    </row>
    <row r="419" spans="8:12" x14ac:dyDescent="0.25">
      <c r="H419" s="149"/>
      <c r="I419" s="43" t="s">
        <v>384</v>
      </c>
      <c r="J419" s="139"/>
      <c r="K419" s="132"/>
      <c r="L419" s="137"/>
    </row>
    <row r="420" spans="8:12" x14ac:dyDescent="0.25">
      <c r="H420" s="44" t="s">
        <v>385</v>
      </c>
      <c r="I420" s="43"/>
      <c r="J420" s="139"/>
      <c r="K420" s="132"/>
      <c r="L420" s="137"/>
    </row>
    <row r="421" spans="8:12" x14ac:dyDescent="0.25">
      <c r="H421" s="81" t="s">
        <v>386</v>
      </c>
      <c r="I421" s="43"/>
      <c r="J421" s="139"/>
      <c r="K421" s="132"/>
      <c r="L421" s="137"/>
    </row>
    <row r="422" spans="8:12" x14ac:dyDescent="0.25">
      <c r="H422" s="44" t="s">
        <v>387</v>
      </c>
      <c r="I422" s="43" t="s">
        <v>407</v>
      </c>
      <c r="J422" s="139"/>
      <c r="K422" s="132"/>
      <c r="L422" s="137"/>
    </row>
    <row r="423" spans="8:12" x14ac:dyDescent="0.25">
      <c r="H423" s="149" t="s">
        <v>388</v>
      </c>
      <c r="I423" s="43" t="s">
        <v>389</v>
      </c>
      <c r="J423" s="139"/>
      <c r="K423" s="132"/>
      <c r="L423" s="137"/>
    </row>
    <row r="424" spans="8:12" ht="15.75" customHeight="1" thickBot="1" x14ac:dyDescent="0.3">
      <c r="H424" s="150"/>
      <c r="I424" s="62" t="s">
        <v>390</v>
      </c>
      <c r="J424" s="112"/>
      <c r="K424" s="113"/>
      <c r="L424" s="114"/>
    </row>
    <row r="425" spans="8:12" x14ac:dyDescent="0.25">
      <c r="H425" s="59"/>
      <c r="I425" s="56"/>
      <c r="J425" s="57"/>
      <c r="K425" s="57"/>
      <c r="L425" s="58"/>
    </row>
    <row r="426" spans="8:12" x14ac:dyDescent="0.25">
      <c r="H426" s="39" t="s">
        <v>391</v>
      </c>
      <c r="I426" s="40"/>
      <c r="J426" s="41"/>
      <c r="K426" s="41"/>
      <c r="L426" s="42"/>
    </row>
    <row r="427" spans="8:12" ht="16.5" thickBot="1" x14ac:dyDescent="0.3">
      <c r="H427" s="61" t="s">
        <v>391</v>
      </c>
      <c r="I427" s="43"/>
      <c r="J427" s="140"/>
      <c r="K427" s="133"/>
      <c r="L427" s="141"/>
    </row>
    <row r="428" spans="8:12" x14ac:dyDescent="0.25">
      <c r="H428" s="72"/>
      <c r="I428" s="69"/>
      <c r="J428" s="70"/>
      <c r="K428" s="70"/>
      <c r="L428" s="71"/>
    </row>
    <row r="429" spans="8:12" ht="16.5" thickBot="1" x14ac:dyDescent="0.3">
      <c r="H429" s="39" t="s">
        <v>392</v>
      </c>
      <c r="I429" s="40"/>
      <c r="J429" s="41"/>
      <c r="K429" s="41"/>
      <c r="L429" s="42"/>
    </row>
    <row r="430" spans="8:12" x14ac:dyDescent="0.25">
      <c r="H430" s="67" t="s">
        <v>393</v>
      </c>
      <c r="I430" s="66"/>
      <c r="J430" s="106"/>
      <c r="K430" s="107"/>
      <c r="L430" s="108"/>
    </row>
    <row r="431" spans="8:12" x14ac:dyDescent="0.25">
      <c r="H431" s="149" t="s">
        <v>394</v>
      </c>
      <c r="I431" s="43" t="s">
        <v>395</v>
      </c>
      <c r="J431" s="109"/>
      <c r="K431" s="110"/>
      <c r="L431" s="111"/>
    </row>
    <row r="432" spans="8:12" x14ac:dyDescent="0.25">
      <c r="H432" s="149"/>
      <c r="I432" s="43" t="s">
        <v>396</v>
      </c>
      <c r="J432" s="109"/>
      <c r="K432" s="110"/>
      <c r="L432" s="111"/>
    </row>
    <row r="433" spans="8:12" x14ac:dyDescent="0.25">
      <c r="H433" s="149"/>
      <c r="I433" s="43" t="s">
        <v>397</v>
      </c>
      <c r="J433" s="109"/>
      <c r="K433" s="110"/>
      <c r="L433" s="111"/>
    </row>
    <row r="434" spans="8:12" x14ac:dyDescent="0.25">
      <c r="H434" s="44" t="s">
        <v>398</v>
      </c>
      <c r="I434" s="43"/>
      <c r="J434" s="109"/>
      <c r="K434" s="110"/>
      <c r="L434" s="111"/>
    </row>
    <row r="435" spans="8:12" ht="16.5" thickBot="1" x14ac:dyDescent="0.3">
      <c r="H435" s="61" t="s">
        <v>399</v>
      </c>
      <c r="I435" s="62"/>
      <c r="J435" s="112"/>
      <c r="K435" s="113"/>
      <c r="L435" s="114"/>
    </row>
    <row r="436" spans="8:12" x14ac:dyDescent="0.25">
      <c r="H436" s="59"/>
      <c r="I436" s="56"/>
      <c r="J436" s="57"/>
      <c r="K436" s="57"/>
      <c r="L436" s="58"/>
    </row>
    <row r="437" spans="8:12" ht="15.75" customHeight="1" thickBot="1" x14ac:dyDescent="0.3">
      <c r="H437" s="59"/>
      <c r="I437" s="56"/>
      <c r="J437" s="57"/>
      <c r="K437" s="57"/>
      <c r="L437" s="58"/>
    </row>
    <row r="438" spans="8:12" x14ac:dyDescent="0.25">
      <c r="H438" s="35" t="s">
        <v>122</v>
      </c>
      <c r="I438" s="36"/>
      <c r="J438" s="37"/>
      <c r="K438" s="37"/>
      <c r="L438" s="38"/>
    </row>
    <row r="439" spans="8:12" x14ac:dyDescent="0.25">
      <c r="H439" s="39" t="s">
        <v>219</v>
      </c>
      <c r="I439" s="40"/>
      <c r="J439" s="41"/>
      <c r="K439" s="41"/>
      <c r="L439" s="42"/>
    </row>
    <row r="440" spans="8:12" ht="16.5" thickBot="1" x14ac:dyDescent="0.3">
      <c r="H440" s="61" t="s">
        <v>219</v>
      </c>
      <c r="I440" s="43"/>
      <c r="J440" s="112"/>
      <c r="K440" s="113"/>
      <c r="L440" s="114"/>
    </row>
    <row r="441" spans="8:12" x14ac:dyDescent="0.25">
      <c r="H441" s="72"/>
      <c r="I441" s="69"/>
      <c r="J441" s="70"/>
      <c r="K441" s="70"/>
      <c r="L441" s="71"/>
    </row>
    <row r="442" spans="8:12" x14ac:dyDescent="0.25">
      <c r="H442" s="39" t="s">
        <v>220</v>
      </c>
      <c r="I442" s="40"/>
      <c r="J442" s="41"/>
      <c r="K442" s="41"/>
      <c r="L442" s="42"/>
    </row>
    <row r="443" spans="8:12" ht="16.5" thickBot="1" x14ac:dyDescent="0.3">
      <c r="H443" s="61" t="s">
        <v>220</v>
      </c>
      <c r="I443" s="43"/>
      <c r="J443" s="112"/>
      <c r="K443" s="113"/>
      <c r="L443" s="114"/>
    </row>
    <row r="444" spans="8:12" x14ac:dyDescent="0.25">
      <c r="H444" s="72"/>
      <c r="I444" s="69"/>
      <c r="J444" s="70"/>
      <c r="K444" s="70"/>
      <c r="L444" s="71"/>
    </row>
    <row r="445" spans="8:12" x14ac:dyDescent="0.25">
      <c r="H445" s="39" t="s">
        <v>221</v>
      </c>
      <c r="I445" s="40"/>
      <c r="J445" s="41"/>
      <c r="K445" s="41"/>
      <c r="L445" s="42"/>
    </row>
    <row r="446" spans="8:12" ht="16.5" thickBot="1" x14ac:dyDescent="0.3">
      <c r="H446" s="44" t="s">
        <v>430</v>
      </c>
      <c r="I446" s="62"/>
      <c r="J446" s="109"/>
      <c r="K446" s="110"/>
      <c r="L446" s="111"/>
    </row>
    <row r="447" spans="8:12" x14ac:dyDescent="0.25">
      <c r="H447" s="72"/>
      <c r="I447" s="69"/>
      <c r="J447" s="70"/>
      <c r="K447" s="70"/>
      <c r="L447" s="71"/>
    </row>
    <row r="448" spans="8:12" x14ac:dyDescent="0.25">
      <c r="H448" s="39" t="s">
        <v>431</v>
      </c>
      <c r="I448" s="40"/>
      <c r="J448" s="41"/>
      <c r="K448" s="41"/>
      <c r="L448" s="42"/>
    </row>
    <row r="449" spans="8:12" x14ac:dyDescent="0.25">
      <c r="H449" s="44" t="s">
        <v>433</v>
      </c>
      <c r="I449" s="43"/>
      <c r="J449" s="109"/>
      <c r="K449" s="110"/>
      <c r="L449" s="111"/>
    </row>
    <row r="450" spans="8:12" ht="30" x14ac:dyDescent="0.25">
      <c r="H450" s="101" t="s">
        <v>434</v>
      </c>
      <c r="I450" s="43"/>
      <c r="J450" s="116"/>
      <c r="K450" s="119"/>
      <c r="L450" s="117"/>
    </row>
    <row r="451" spans="8:12" x14ac:dyDescent="0.25">
      <c r="H451" s="101" t="s">
        <v>435</v>
      </c>
      <c r="I451" s="43"/>
      <c r="J451" s="116"/>
      <c r="K451" s="119"/>
      <c r="L451" s="117"/>
    </row>
    <row r="452" spans="8:12" ht="16.5" thickBot="1" x14ac:dyDescent="0.3">
      <c r="H452" s="61" t="s">
        <v>436</v>
      </c>
      <c r="I452" s="43"/>
      <c r="J452" s="112"/>
      <c r="K452" s="113"/>
      <c r="L452" s="114"/>
    </row>
    <row r="453" spans="8:12" x14ac:dyDescent="0.25">
      <c r="H453" s="72"/>
      <c r="I453" s="69"/>
      <c r="J453" s="70"/>
      <c r="K453" s="70"/>
      <c r="L453" s="71"/>
    </row>
    <row r="454" spans="8:12" x14ac:dyDescent="0.25">
      <c r="H454" s="79" t="s">
        <v>442</v>
      </c>
      <c r="I454" s="40"/>
      <c r="J454" s="41"/>
      <c r="K454" s="41"/>
      <c r="L454" s="42"/>
    </row>
    <row r="455" spans="8:12" ht="16.5" thickBot="1" x14ac:dyDescent="0.3">
      <c r="H455" s="61" t="s">
        <v>442</v>
      </c>
      <c r="I455" s="43"/>
      <c r="J455" s="112"/>
      <c r="K455" s="113"/>
      <c r="L455" s="114"/>
    </row>
    <row r="456" spans="8:12" x14ac:dyDescent="0.25">
      <c r="H456" s="72"/>
      <c r="I456" s="69"/>
      <c r="J456" s="70"/>
      <c r="K456" s="70"/>
      <c r="L456" s="71"/>
    </row>
    <row r="457" spans="8:12" x14ac:dyDescent="0.25">
      <c r="H457" s="79" t="s">
        <v>441</v>
      </c>
      <c r="I457" s="40"/>
      <c r="J457" s="41"/>
      <c r="K457" s="41"/>
      <c r="L457" s="42"/>
    </row>
    <row r="458" spans="8:12" ht="16.5" thickBot="1" x14ac:dyDescent="0.3">
      <c r="H458" s="61" t="s">
        <v>441</v>
      </c>
      <c r="I458" s="62"/>
      <c r="J458" s="112"/>
      <c r="K458" s="113"/>
      <c r="L458" s="114"/>
    </row>
    <row r="459" spans="8:12" x14ac:dyDescent="0.25">
      <c r="H459" s="59"/>
      <c r="I459" s="56"/>
      <c r="J459" s="57"/>
      <c r="K459" s="57"/>
      <c r="L459" s="58"/>
    </row>
    <row r="460" spans="8:12" ht="15.75" customHeight="1" thickBot="1" x14ac:dyDescent="0.3">
      <c r="H460" s="39" t="s">
        <v>440</v>
      </c>
      <c r="I460" s="40"/>
      <c r="J460" s="41"/>
      <c r="K460" s="41"/>
      <c r="L460" s="42"/>
    </row>
    <row r="461" spans="8:12" ht="16.5" thickBot="1" x14ac:dyDescent="0.3">
      <c r="H461" s="61" t="s">
        <v>440</v>
      </c>
      <c r="I461" s="105"/>
      <c r="J461" s="112"/>
      <c r="K461" s="113"/>
      <c r="L461" s="114"/>
    </row>
    <row r="462" spans="8:12" x14ac:dyDescent="0.25">
      <c r="H462" s="59"/>
      <c r="I462" s="56"/>
      <c r="J462" s="57"/>
      <c r="K462" s="57"/>
      <c r="L462" s="58"/>
    </row>
    <row r="463" spans="8:12" x14ac:dyDescent="0.25">
      <c r="H463" s="39" t="s">
        <v>437</v>
      </c>
      <c r="I463" s="40"/>
      <c r="J463" s="41"/>
      <c r="K463" s="41"/>
      <c r="L463" s="42"/>
    </row>
    <row r="464" spans="8:12" x14ac:dyDescent="0.25">
      <c r="H464" s="104" t="s">
        <v>438</v>
      </c>
      <c r="I464" s="102"/>
      <c r="J464" s="139"/>
      <c r="K464" s="134"/>
      <c r="L464" s="137"/>
    </row>
    <row r="465" spans="8:12" ht="30.75" customHeight="1" thickBot="1" x14ac:dyDescent="0.3">
      <c r="H465" s="103" t="s">
        <v>439</v>
      </c>
      <c r="I465" s="43"/>
      <c r="J465" s="142"/>
      <c r="K465" s="135"/>
      <c r="L465" s="143"/>
    </row>
    <row r="466" spans="8:12" s="64" customFormat="1" ht="19.5" thickBot="1" x14ac:dyDescent="0.35">
      <c r="H466" s="72"/>
      <c r="I466" s="69"/>
      <c r="J466" s="70"/>
      <c r="K466" s="70"/>
      <c r="L466" s="71"/>
    </row>
    <row r="467" spans="8:12" s="64" customFormat="1" ht="18.75" x14ac:dyDescent="0.3">
      <c r="H467" s="35" t="s">
        <v>222</v>
      </c>
      <c r="I467" s="36"/>
      <c r="J467" s="37"/>
      <c r="K467" s="37"/>
      <c r="L467" s="38"/>
    </row>
    <row r="468" spans="8:12" s="64" customFormat="1" ht="18.75" x14ac:dyDescent="0.3">
      <c r="H468" s="39" t="s">
        <v>223</v>
      </c>
      <c r="I468" s="40"/>
      <c r="J468" s="41"/>
      <c r="K468" s="41"/>
      <c r="L468" s="42"/>
    </row>
    <row r="469" spans="8:12" s="64" customFormat="1" ht="19.5" thickBot="1" x14ac:dyDescent="0.35">
      <c r="H469" s="61" t="s">
        <v>224</v>
      </c>
      <c r="I469" s="43"/>
      <c r="J469" s="112"/>
      <c r="K469" s="113"/>
      <c r="L469" s="114"/>
    </row>
    <row r="470" spans="8:12" s="64" customFormat="1" ht="18.75" x14ac:dyDescent="0.3">
      <c r="H470" s="72"/>
      <c r="I470" s="69"/>
      <c r="J470" s="70"/>
      <c r="K470" s="70"/>
      <c r="L470" s="71"/>
    </row>
    <row r="471" spans="8:12" s="64" customFormat="1" ht="18.75" x14ac:dyDescent="0.3">
      <c r="H471" s="39" t="s">
        <v>225</v>
      </c>
      <c r="I471" s="40"/>
      <c r="J471" s="41"/>
      <c r="K471" s="41"/>
      <c r="L471" s="42"/>
    </row>
    <row r="472" spans="8:12" s="64" customFormat="1" ht="19.5" thickBot="1" x14ac:dyDescent="0.35">
      <c r="H472" s="61" t="s">
        <v>225</v>
      </c>
      <c r="I472" s="43"/>
      <c r="J472" s="112"/>
      <c r="K472" s="113"/>
      <c r="L472" s="114"/>
    </row>
    <row r="473" spans="8:12" s="64" customFormat="1" ht="18.75" x14ac:dyDescent="0.3">
      <c r="H473" s="72"/>
      <c r="I473" s="69"/>
      <c r="J473" s="70"/>
      <c r="K473" s="70"/>
      <c r="L473" s="71"/>
    </row>
    <row r="474" spans="8:12" s="64" customFormat="1" ht="18.75" x14ac:dyDescent="0.3">
      <c r="H474" s="79" t="s">
        <v>226</v>
      </c>
      <c r="I474" s="40"/>
      <c r="J474" s="41"/>
      <c r="K474" s="41"/>
      <c r="L474" s="42"/>
    </row>
    <row r="475" spans="8:12" s="64" customFormat="1" ht="31.5" thickBot="1" x14ac:dyDescent="0.35">
      <c r="H475" s="61" t="s">
        <v>226</v>
      </c>
      <c r="I475" s="43"/>
      <c r="J475" s="112"/>
      <c r="K475" s="113"/>
      <c r="L475" s="114"/>
    </row>
    <row r="476" spans="8:12" s="64" customFormat="1" ht="18.75" x14ac:dyDescent="0.3">
      <c r="H476" s="72"/>
      <c r="I476" s="69"/>
      <c r="J476" s="70"/>
      <c r="K476" s="70"/>
      <c r="L476" s="71"/>
    </row>
    <row r="477" spans="8:12" s="64" customFormat="1" ht="18.75" x14ac:dyDescent="0.3">
      <c r="H477" s="79" t="s">
        <v>258</v>
      </c>
      <c r="I477" s="40"/>
      <c r="J477" s="41"/>
      <c r="K477" s="41"/>
      <c r="L477" s="42"/>
    </row>
    <row r="478" spans="8:12" s="64" customFormat="1" ht="31.5" thickBot="1" x14ac:dyDescent="0.35">
      <c r="H478" s="61" t="s">
        <v>258</v>
      </c>
      <c r="I478" s="43"/>
      <c r="J478" s="112"/>
      <c r="K478" s="113"/>
      <c r="L478" s="114"/>
    </row>
    <row r="479" spans="8:12" s="64" customFormat="1" ht="18.75" x14ac:dyDescent="0.3">
      <c r="H479" s="72"/>
      <c r="I479" s="69"/>
      <c r="J479" s="70"/>
      <c r="K479" s="70"/>
      <c r="L479" s="71"/>
    </row>
    <row r="480" spans="8:12" s="64" customFormat="1" ht="18.75" x14ac:dyDescent="0.3">
      <c r="H480" s="79" t="s">
        <v>227</v>
      </c>
      <c r="I480" s="40"/>
      <c r="J480" s="41"/>
      <c r="K480" s="41"/>
      <c r="L480" s="42"/>
    </row>
    <row r="481" spans="8:12" s="64" customFormat="1" ht="18.75" x14ac:dyDescent="0.3">
      <c r="H481" s="44" t="s">
        <v>228</v>
      </c>
      <c r="I481" s="43"/>
      <c r="J481" s="109"/>
      <c r="K481" s="110"/>
      <c r="L481" s="111"/>
    </row>
    <row r="482" spans="8:12" s="64" customFormat="1" ht="18.75" x14ac:dyDescent="0.3">
      <c r="H482" s="44" t="s">
        <v>229</v>
      </c>
      <c r="I482" s="43"/>
      <c r="J482" s="109"/>
      <c r="K482" s="110"/>
      <c r="L482" s="111"/>
    </row>
    <row r="483" spans="8:12" s="64" customFormat="1" ht="18.75" x14ac:dyDescent="0.3">
      <c r="H483" s="44" t="s">
        <v>230</v>
      </c>
      <c r="I483" s="43"/>
      <c r="J483" s="109"/>
      <c r="K483" s="110"/>
      <c r="L483" s="111"/>
    </row>
    <row r="484" spans="8:12" s="64" customFormat="1" ht="18.75" x14ac:dyDescent="0.3">
      <c r="H484" s="44" t="s">
        <v>231</v>
      </c>
      <c r="I484" s="43"/>
      <c r="J484" s="109"/>
      <c r="K484" s="110"/>
      <c r="L484" s="111"/>
    </row>
    <row r="485" spans="8:12" s="64" customFormat="1" ht="18.75" x14ac:dyDescent="0.3">
      <c r="H485" s="44" t="s">
        <v>232</v>
      </c>
      <c r="I485" s="43"/>
      <c r="J485" s="109"/>
      <c r="K485" s="110"/>
      <c r="L485" s="111"/>
    </row>
    <row r="486" spans="8:12" s="64" customFormat="1" ht="19.5" thickBot="1" x14ac:dyDescent="0.35">
      <c r="H486" s="61" t="s">
        <v>233</v>
      </c>
      <c r="I486" s="43"/>
      <c r="J486" s="112"/>
      <c r="K486" s="113"/>
      <c r="L486" s="114"/>
    </row>
    <row r="487" spans="8:12" s="64" customFormat="1" ht="18.75" x14ac:dyDescent="0.3">
      <c r="H487" s="72"/>
      <c r="I487" s="69"/>
      <c r="J487" s="70"/>
      <c r="K487" s="70"/>
      <c r="L487" s="71"/>
    </row>
    <row r="488" spans="8:12" s="64" customFormat="1" ht="18.75" x14ac:dyDescent="0.3">
      <c r="H488" s="39" t="s">
        <v>234</v>
      </c>
      <c r="I488" s="40"/>
      <c r="J488" s="41"/>
      <c r="K488" s="41"/>
      <c r="L488" s="42"/>
    </row>
    <row r="489" spans="8:12" s="64" customFormat="1" ht="19.5" thickBot="1" x14ac:dyDescent="0.35">
      <c r="H489" s="61" t="s">
        <v>234</v>
      </c>
      <c r="I489" s="43"/>
      <c r="J489" s="112"/>
      <c r="K489" s="113"/>
      <c r="L489" s="114"/>
    </row>
    <row r="490" spans="8:12" s="64" customFormat="1" ht="18.75" x14ac:dyDescent="0.3">
      <c r="H490" s="72"/>
      <c r="I490" s="69"/>
      <c r="J490" s="70"/>
      <c r="K490" s="70"/>
      <c r="L490" s="71"/>
    </row>
    <row r="491" spans="8:12" s="64" customFormat="1" ht="18.75" x14ac:dyDescent="0.3">
      <c r="H491" s="79" t="s">
        <v>235</v>
      </c>
      <c r="I491" s="40"/>
      <c r="J491" s="41"/>
      <c r="K491" s="41"/>
      <c r="L491" s="42"/>
    </row>
    <row r="492" spans="8:12" s="64" customFormat="1" ht="19.5" thickBot="1" x14ac:dyDescent="0.35">
      <c r="H492" s="61" t="s">
        <v>235</v>
      </c>
      <c r="I492" s="43"/>
      <c r="J492" s="112"/>
      <c r="K492" s="113"/>
      <c r="L492" s="114"/>
    </row>
    <row r="493" spans="8:12" s="64" customFormat="1" ht="18.75" x14ac:dyDescent="0.3">
      <c r="H493" s="72"/>
      <c r="I493" s="69"/>
      <c r="J493" s="70"/>
      <c r="K493" s="70"/>
      <c r="L493" s="70"/>
    </row>
    <row r="494" spans="8:12" s="64" customFormat="1" ht="18.75" x14ac:dyDescent="0.3">
      <c r="H494" s="79" t="s">
        <v>418</v>
      </c>
      <c r="I494" s="40"/>
      <c r="J494" s="41"/>
      <c r="K494" s="41"/>
      <c r="L494" s="42"/>
    </row>
    <row r="495" spans="8:12" s="64" customFormat="1" ht="19.5" thickBot="1" x14ac:dyDescent="0.35">
      <c r="H495" s="61" t="s">
        <v>418</v>
      </c>
      <c r="I495" s="62"/>
      <c r="J495" s="112"/>
      <c r="K495" s="113"/>
      <c r="L495" s="114"/>
    </row>
  </sheetData>
  <sheetProtection sheet="1" objects="1" scenarios="1" insertHyperlinks="0"/>
  <protectedRanges>
    <protectedRange sqref="J461:L461" name="Load sheet 5.7"/>
    <protectedRange sqref="J458:L458" name="Load planning 5.6"/>
    <protectedRange sqref="J455:L455" name="Information Exchange 5.5"/>
    <protectedRange sqref="J449:L452" name="Load control process flow 5.4"/>
    <protectedRange sqref="J446:L446" name="Regulatory reqs 5.3"/>
    <protectedRange sqref="J443:L443" name="Load control principles 5.2"/>
    <protectedRange sqref="J440:L440" name="Load control intro 5.1"/>
    <protectedRange sqref="J187:J190 L187:L190" name="Mishandled Baggage 2.6"/>
    <protectedRange sqref="J175:J184 L175:L184" name="Baggage Security 2.5"/>
    <protectedRange sqref="J144:J161 L144:L161" name="Special Baggage 2.3"/>
    <protectedRange sqref="J129:J133 L129:L133" name="Cabin Baggage 2.1"/>
    <protectedRange sqref="J69:J116 L69:L116" name="Special Categories 1.4"/>
    <protectedRange sqref="J48:J53 L48:L53" name="Passenger Security 1.2"/>
    <protectedRange sqref="J17:L46 K48:K53 K56:K66 K69:K116 K119:K125 K129:K133 K136:K141 K144:K161 K164:K172 K175:K184 K187:K190 K194:K208 K216:K222 K225:K282 K285:K290 K293:K296 K299:K306" name="Passenger Departure 1.1"/>
    <protectedRange sqref="J56:J66 L56:L66" name="Passenger Arrival Transfer 1.3"/>
    <protectedRange sqref="J119:J125 L119:L125" name="Passenger Irregularities"/>
    <protectedRange sqref="J136:J141 L136:L141" name="Checked Baggage 2.2"/>
    <protectedRange sqref="J164:J172 L164:L172" name="Baggage Handling"/>
    <protectedRange sqref="J194:J208 L194:L208" name="Cargo Acceptance 3.1"/>
    <protectedRange sqref="J211:L214" name="Cargo Acceptance 3.2"/>
    <protectedRange sqref="J216:J222 L216:L222" name="Mail 3.3"/>
    <protectedRange sqref="J225:J282 L225:L282" name="Cargo Forwarding 3.4"/>
    <protectedRange sqref="J307:L313 J299:J306 L299:L306" name="Cargo Surface transportation 3.7"/>
    <protectedRange sqref="J317:L321" name="Ramp safety 4.1"/>
    <protectedRange sqref="J324:L326" name="Potable water 4.2"/>
    <protectedRange sqref="J329:L333" name="Toilet Servicing 4.3"/>
    <protectedRange sqref="J336:L347" name="Aircraft Doors 4.10"/>
    <protectedRange sqref="J350:L382" name="Aircraft Loading 4.11"/>
    <protectedRange sqref="J424:L424 J392:L415" name="Aircraft Departure 4.12"/>
    <protectedRange sqref="J430:L435" name="Aircraft Towing 4.13"/>
    <protectedRange sqref="I469:L469" name="Airside safety 6.1"/>
    <protectedRange sqref="J472:L472" name="Supervision scope 6.2"/>
    <protectedRange sqref="J475:L475" name="Turnaround 6.3"/>
    <protectedRange sqref="J478:L478" name="Reporting incidents 6.4"/>
    <protectedRange sqref="J481:L486" name="Airside safety 6.5"/>
    <protectedRange sqref="J489:L489" name="Monitoring procedures 6.6"/>
    <protectedRange sqref="J492:L492" name="Emergency Response 6.7"/>
    <protectedRange sqref="J495:L495" name="Adverse weather oversight 6.8"/>
  </protectedRanges>
  <mergeCells count="59">
    <mergeCell ref="H431:H433"/>
    <mergeCell ref="H391:H392"/>
    <mergeCell ref="H393:H400"/>
    <mergeCell ref="H401:H402"/>
    <mergeCell ref="H403:H407"/>
    <mergeCell ref="H408:H409"/>
    <mergeCell ref="H410:H411"/>
    <mergeCell ref="H423:H424"/>
    <mergeCell ref="H44:H45"/>
    <mergeCell ref="H48:H51"/>
    <mergeCell ref="H144:H145"/>
    <mergeCell ref="H154:H158"/>
    <mergeCell ref="H159:H161"/>
    <mergeCell ref="H59:H66"/>
    <mergeCell ref="H69:H73"/>
    <mergeCell ref="H74:H82"/>
    <mergeCell ref="H83:H85"/>
    <mergeCell ref="H86:H88"/>
    <mergeCell ref="H89:H94"/>
    <mergeCell ref="H95:H100"/>
    <mergeCell ref="H104:H112"/>
    <mergeCell ref="H113:H116"/>
    <mergeCell ref="H120:H122"/>
    <mergeCell ref="H129:H130"/>
    <mergeCell ref="H17:H18"/>
    <mergeCell ref="H20:H31"/>
    <mergeCell ref="H35:H37"/>
    <mergeCell ref="H38:H40"/>
    <mergeCell ref="H41:H43"/>
    <mergeCell ref="H33:H34"/>
    <mergeCell ref="H131:H133"/>
    <mergeCell ref="H136:H137"/>
    <mergeCell ref="H146:H147"/>
    <mergeCell ref="H366:H368"/>
    <mergeCell ref="H253:H268"/>
    <mergeCell ref="H269:H276"/>
    <mergeCell ref="H277:H282"/>
    <mergeCell ref="H287:H290"/>
    <mergeCell ref="H295:H296"/>
    <mergeCell ref="H195:H198"/>
    <mergeCell ref="H227:H243"/>
    <mergeCell ref="H244:H249"/>
    <mergeCell ref="H250:H252"/>
    <mergeCell ref="H360:H363"/>
    <mergeCell ref="H149:H152"/>
    <mergeCell ref="H354:H357"/>
    <mergeCell ref="H372:H378"/>
    <mergeCell ref="H164:H165"/>
    <mergeCell ref="H170:H172"/>
    <mergeCell ref="H177:H180"/>
    <mergeCell ref="H418:H419"/>
    <mergeCell ref="H199:H208"/>
    <mergeCell ref="H350:H353"/>
    <mergeCell ref="H380:H382"/>
    <mergeCell ref="H345:H347"/>
    <mergeCell ref="H299:H303"/>
    <mergeCell ref="H318:H319"/>
    <mergeCell ref="H320:H321"/>
    <mergeCell ref="H337:H344"/>
  </mergeCells>
  <conditionalFormatting sqref="L2">
    <cfRule type="containsText" dxfId="241" priority="2278" operator="containsText" text="Less">
      <formula>NOT(ISERROR(SEARCH("Less",L2)))</formula>
    </cfRule>
    <cfRule type="containsText" dxfId="240" priority="2279" operator="containsText" text="More">
      <formula>NOT(ISERROR(SEARCH("More",L2)))</formula>
    </cfRule>
    <cfRule type="containsText" dxfId="239" priority="2280" operator="containsText" text="Conformity">
      <formula>NOT(ISERROR(SEARCH("Conformity",L2)))</formula>
    </cfRule>
  </conditionalFormatting>
  <conditionalFormatting sqref="K310:K313">
    <cfRule type="expression" dxfId="238" priority="33">
      <formula>($K310=$X$5)</formula>
    </cfRule>
    <cfRule type="expression" dxfId="237" priority="34">
      <formula>($K310=$X$4)</formula>
    </cfRule>
    <cfRule type="expression" dxfId="236" priority="35">
      <formula>($K310=$X$3)</formula>
    </cfRule>
  </conditionalFormatting>
  <conditionalFormatting sqref="K309">
    <cfRule type="expression" dxfId="235" priority="36">
      <formula>($K309=$X$5)</formula>
    </cfRule>
    <cfRule type="expression" dxfId="234" priority="37">
      <formula>($K309=$X$4)</formula>
    </cfRule>
    <cfRule type="expression" dxfId="233" priority="38">
      <formula>($K309=$X$3)</formula>
    </cfRule>
  </conditionalFormatting>
  <conditionalFormatting sqref="K495">
    <cfRule type="expression" dxfId="232" priority="43">
      <formula>($K495 = $X$5)</formula>
    </cfRule>
    <cfRule type="expression" dxfId="231" priority="44">
      <formula>($K495 = $X$4)</formula>
    </cfRule>
  </conditionalFormatting>
  <conditionalFormatting sqref="K17:K45">
    <cfRule type="cellIs" dxfId="230" priority="27" operator="equal">
      <formula>$X$5</formula>
    </cfRule>
    <cfRule type="cellIs" dxfId="229" priority="28" operator="equal">
      <formula>$X$4</formula>
    </cfRule>
    <cfRule type="cellIs" dxfId="228" priority="29" operator="equal">
      <formula>$X$3</formula>
    </cfRule>
  </conditionalFormatting>
  <conditionalFormatting sqref="K48:K53 K56:K66 K69:K116 K119:K125 K129:K133 K136:K141 K144:K161 K164:K172 K175:K184 K187:K190 K495">
    <cfRule type="cellIs" dxfId="227" priority="26" operator="equal">
      <formula>$X$3</formula>
    </cfRule>
  </conditionalFormatting>
  <conditionalFormatting sqref="K48:K53 K56:K66 K69:K116 K119:K125 K129:K133 K136:K141 K144:K161 K164:K172 K175:K184 K187:K190 K495">
    <cfRule type="cellIs" dxfId="226" priority="25" operator="equal">
      <formula>$X$4</formula>
    </cfRule>
  </conditionalFormatting>
  <conditionalFormatting sqref="K48:K53 K56:K66 K69:K116 K119:K125 K129:K133 K136:K141 K144:K161 K164:K172 K175:K184 K187:K190 K495">
    <cfRule type="cellIs" dxfId="225" priority="24" operator="equal">
      <formula>$X$5</formula>
    </cfRule>
  </conditionalFormatting>
  <conditionalFormatting sqref="K211:K213 K216:K222 K225:K282 K285:K290 K293:K296 K299:K307 K310:K313 K317:K321 K324:K326 K329:K333 K336:K347 K350:K382 K385:K413 K417:K424 K427 K430:K435 K440 K443 K446 K449:K452 K455 K458 K461 K469 K472 K475 K478 K481:K486 K489 K492 K194:K208 K464:K465">
    <cfRule type="cellIs" dxfId="224" priority="23" operator="equal">
      <formula>$X$3</formula>
    </cfRule>
  </conditionalFormatting>
  <conditionalFormatting sqref="K211:K213 K216:K222 K225:K282 K285:K290 K293:K296 K299:K307 K310:K313 K317:K321 K324:K326 K329:K333 K336:K347 K350:K382 K385:K413 K417:K424 K427 K430:K435 K440 K443 K446 K449:K452 K455 K458 K461 K469 K472 K475 K478 K481:K486 K489 K492 K194:K208 K464:K465">
    <cfRule type="cellIs" dxfId="223" priority="22" operator="equal">
      <formula>$X$4</formula>
    </cfRule>
  </conditionalFormatting>
  <conditionalFormatting sqref="K211:K213 K216:K222 K225:K282 K285:K290 K293:K296 K299:K307 K310:K313 K317:K321 K324:K326 K329:K333 K336:K347 K350:K382 K385:K413 K417:K424 K427 K430:K435 K440 K443 K446 K449:K452 K455 K458 K461 K469 K472 K475 K478 K481:K486 K489 K492 K194:K208 K464:K465">
    <cfRule type="cellIs" dxfId="222" priority="21" operator="equal">
      <formula>$X$5</formula>
    </cfRule>
  </conditionalFormatting>
  <conditionalFormatting sqref="K195">
    <cfRule type="cellIs" dxfId="221" priority="20" operator="equal">
      <formula>$X$5</formula>
    </cfRule>
  </conditionalFormatting>
  <conditionalFormatting sqref="K199:K200">
    <cfRule type="cellIs" dxfId="220" priority="19" operator="equal">
      <formula>$X$5</formula>
    </cfRule>
  </conditionalFormatting>
  <conditionalFormatting sqref="K363">
    <cfRule type="cellIs" dxfId="219" priority="17" operator="equal">
      <formula>$X$5</formula>
    </cfRule>
  </conditionalFormatting>
  <conditionalFormatting sqref="K372:K378">
    <cfRule type="cellIs" dxfId="218" priority="15" operator="equal">
      <formula>$X$5</formula>
    </cfRule>
  </conditionalFormatting>
  <conditionalFormatting sqref="K202">
    <cfRule type="cellIs" dxfId="217" priority="14" operator="equal">
      <formula>$X$5</formula>
    </cfRule>
  </conditionalFormatting>
  <conditionalFormatting sqref="K204:K208">
    <cfRule type="cellIs" dxfId="216" priority="13" operator="equal">
      <formula>$X$5</formula>
    </cfRule>
  </conditionalFormatting>
  <conditionalFormatting sqref="K220">
    <cfRule type="cellIs" dxfId="215" priority="12" operator="equal">
      <formula>$X$5</formula>
    </cfRule>
  </conditionalFormatting>
  <conditionalFormatting sqref="K225:K282">
    <cfRule type="cellIs" dxfId="214" priority="11" operator="equal">
      <formula>$X$5</formula>
    </cfRule>
  </conditionalFormatting>
  <conditionalFormatting sqref="K319">
    <cfRule type="cellIs" dxfId="213" priority="10" operator="equal">
      <formula>$X$5</formula>
    </cfRule>
  </conditionalFormatting>
  <conditionalFormatting sqref="K324:K326">
    <cfRule type="cellIs" dxfId="212" priority="9" operator="equal">
      <formula>$X$5</formula>
    </cfRule>
  </conditionalFormatting>
  <conditionalFormatting sqref="K337:K344">
    <cfRule type="cellIs" dxfId="211" priority="8" operator="equal">
      <formula>$X$5</formula>
    </cfRule>
  </conditionalFormatting>
  <conditionalFormatting sqref="K345:K347">
    <cfRule type="cellIs" dxfId="210" priority="7" operator="equal">
      <formula>$X$5</formula>
    </cfRule>
  </conditionalFormatting>
  <conditionalFormatting sqref="K403:K407">
    <cfRule type="cellIs" dxfId="209" priority="6" operator="equal">
      <formula>$X$5</formula>
    </cfRule>
  </conditionalFormatting>
  <conditionalFormatting sqref="K198">
    <cfRule type="cellIs" dxfId="208" priority="5" operator="equal">
      <formula>$X$5</formula>
    </cfRule>
  </conditionalFormatting>
  <conditionalFormatting sqref="K369">
    <cfRule type="expression" dxfId="207" priority="2">
      <formula>($K$369=$X$5)</formula>
    </cfRule>
  </conditionalFormatting>
  <conditionalFormatting sqref="K350">
    <cfRule type="cellIs" dxfId="206" priority="1" operator="equal">
      <formula>$X$5</formula>
    </cfRule>
  </conditionalFormatting>
  <dataValidations count="2">
    <dataValidation type="list" allowBlank="1" showInputMessage="1" showErrorMessage="1" sqref="K455">
      <formula1>$X$3:$X$6</formula1>
    </dataValidation>
    <dataValidation type="list" allowBlank="1" showInputMessage="1" showErrorMessage="1" sqref="K17:K45 K48:K53 K56:K66 K69:K116 K119:K125 K129:K133 K136:K141 K144:K161 K164:K172 K175:K184 K187:K190 K194:K208 K211:K213 K216:K222 K225:K282 K285:K290 K293:K296 K317:K321 K324:K326 K329:K333 K336:K347 K385:K413 K417:K424 K427 K430:K435 K440 K443 K449:K452 K464:K465 K469 K472 K475 K478 K481:K486 K489 K492 K350:K382 K299:K308 K310:K313 K446 K461 K458 K495">
      <formula1>$X$3:$X$5</formula1>
    </dataValidation>
  </dataValidations>
  <printOptions horizontalCentered="1"/>
  <pageMargins left="0.11811023622047245" right="0.11811023622047245" top="0.35433070866141736" bottom="0.35433070866141736" header="0.31496062992125984" footer="0.31496062992125984"/>
  <pageSetup paperSize="9" scale="77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995" operator="containsText" id="{80C57E70-C938-4983-AE1C-963AD460009F}">
            <xm:f>NOT(ISERROR(SEARCH($W$6,J128)))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96" operator="containsText" id="{22EA7B5F-8A81-407C-8753-A530E49841CB}">
            <xm:f>NOT(ISERROR(SEARCH($W$5,J128)))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97" operator="containsText" id="{D93DB382-BE07-48F0-8662-D1937E9FB4E0}">
            <xm:f>NOT(ISERROR(SEARCH($W$4,J128)))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98" operator="containsText" id="{07360050-502D-4439-8234-0B29C0034095}">
            <xm:f>NOT(ISERROR(SEARCH($W$3,J128)))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J128 L128</xm:sqref>
        </x14:conditionalFormatting>
        <x14:conditionalFormatting xmlns:xm="http://schemas.microsoft.com/office/excel/2006/main">
          <x14:cfRule type="containsText" priority="2015" operator="containsText" id="{FE66298C-BA2F-426B-A0AE-24860654614E}">
            <xm:f>NOT(ISERROR(SEARCH($W$6,J16)))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016" operator="containsText" id="{3ABC476E-A484-4E8B-92A5-5C62EB9B459E}">
            <xm:f>NOT(ISERROR(SEARCH($W$5,J16)))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017" operator="containsText" id="{6FA59BB5-F681-40F1-9D12-AEB239CE7193}">
            <xm:f>NOT(ISERROR(SEARCH($W$4,J16)))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018" operator="containsText" id="{DD8410DA-82F6-4C33-B1AB-D1090B9F9C16}">
            <xm:f>NOT(ISERROR(SEARCH($W$3,J16)))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J16 L16</xm:sqref>
        </x14:conditionalFormatting>
        <x14:conditionalFormatting xmlns:xm="http://schemas.microsoft.com/office/excel/2006/main">
          <x14:cfRule type="containsText" priority="2011" operator="containsText" id="{AFF4D8DC-EF76-4A46-9098-E2833E4686E8}">
            <xm:f>NOT(ISERROR(SEARCH($W$6,J47)))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012" operator="containsText" id="{E1423C81-340D-492B-A5D2-77EFE3E7DA4E}">
            <xm:f>NOT(ISERROR(SEARCH($W$5,J47)))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013" operator="containsText" id="{813051E7-CE7D-408C-AB17-AB0A30DB42BC}">
            <xm:f>NOT(ISERROR(SEARCH($W$4,J47)))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014" operator="containsText" id="{F0572063-E324-4FCD-97BE-74C1EF94501C}">
            <xm:f>NOT(ISERROR(SEARCH($W$3,J47)))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J47 L47</xm:sqref>
        </x14:conditionalFormatting>
        <x14:conditionalFormatting xmlns:xm="http://schemas.microsoft.com/office/excel/2006/main">
          <x14:cfRule type="containsText" priority="2007" operator="containsText" id="{72BFF0FE-3107-4278-BB4A-DD4D168ABB89}">
            <xm:f>NOT(ISERROR(SEARCH($W$6,J55)))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008" operator="containsText" id="{501B8A27-5838-4D17-8F05-A35EBCE3FFA9}">
            <xm:f>NOT(ISERROR(SEARCH($W$5,J55)))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009" operator="containsText" id="{FA896266-D750-4E99-9389-D2DD353B33A7}">
            <xm:f>NOT(ISERROR(SEARCH($W$4,J55)))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010" operator="containsText" id="{63AEDCCA-D10E-4EFE-9478-B40046D3ECC5}">
            <xm:f>NOT(ISERROR(SEARCH($W$3,J55)))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J55 L55</xm:sqref>
        </x14:conditionalFormatting>
        <x14:conditionalFormatting xmlns:xm="http://schemas.microsoft.com/office/excel/2006/main">
          <x14:cfRule type="containsText" priority="2003" operator="containsText" id="{FDEB8A16-E411-4030-9A96-844E681226B7}">
            <xm:f>NOT(ISERROR(SEARCH($W$6,J68)))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004" operator="containsText" id="{077CC90B-D199-4090-A4BC-4299770C3F6E}">
            <xm:f>NOT(ISERROR(SEARCH($W$5,J68)))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005" operator="containsText" id="{29E0279B-2648-49B8-9AC1-909387A0733A}">
            <xm:f>NOT(ISERROR(SEARCH($W$4,J68)))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006" operator="containsText" id="{B7E16853-C560-461D-AAC6-A4F8EC1BBB5C}">
            <xm:f>NOT(ISERROR(SEARCH($W$3,J68)))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J68 L68</xm:sqref>
        </x14:conditionalFormatting>
        <x14:conditionalFormatting xmlns:xm="http://schemas.microsoft.com/office/excel/2006/main">
          <x14:cfRule type="containsText" priority="1999" operator="containsText" id="{85FDBB30-030B-4923-8FBA-9E97D20B0A0B}">
            <xm:f>NOT(ISERROR(SEARCH($W$6,J118)))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2000" operator="containsText" id="{B33C8BF9-C828-4986-B937-E6A5D4D3027C}">
            <xm:f>NOT(ISERROR(SEARCH($W$5,J118)))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2001" operator="containsText" id="{D1239D11-8C30-4244-AD9B-E767514B9227}">
            <xm:f>NOT(ISERROR(SEARCH($W$4,J118)))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2002" operator="containsText" id="{8A007675-5D38-417C-B5CA-D481DD84F333}">
            <xm:f>NOT(ISERROR(SEARCH($W$3,J118)))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J118 L118</xm:sqref>
        </x14:conditionalFormatting>
        <x14:conditionalFormatting xmlns:xm="http://schemas.microsoft.com/office/excel/2006/main">
          <x14:cfRule type="containsText" priority="1991" operator="containsText" id="{6F309438-75FA-4F18-8A0A-34FD3B4EE0CD}">
            <xm:f>NOT(ISERROR(SEARCH($W$6,J135)))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92" operator="containsText" id="{43295D74-17F7-4541-8165-6EBFDE4951CB}">
            <xm:f>NOT(ISERROR(SEARCH($W$5,J135)))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93" operator="containsText" id="{A31714BF-0DDB-403F-B84B-0F09C296E5CD}">
            <xm:f>NOT(ISERROR(SEARCH($W$4,J135)))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94" operator="containsText" id="{B86FA740-03E6-4610-B626-2411E767EA87}">
            <xm:f>NOT(ISERROR(SEARCH($W$3,J135)))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J135 L135</xm:sqref>
        </x14:conditionalFormatting>
        <x14:conditionalFormatting xmlns:xm="http://schemas.microsoft.com/office/excel/2006/main">
          <x14:cfRule type="containsText" priority="1987" operator="containsText" id="{ED88B18A-5ED5-4F65-A736-B6BA4AC620FC}">
            <xm:f>NOT(ISERROR(SEARCH($W$6,J143)))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88" operator="containsText" id="{8001EF00-5395-4BEC-ADF6-6D06E2E72990}">
            <xm:f>NOT(ISERROR(SEARCH($W$5,J143)))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89" operator="containsText" id="{8CE67E94-8366-4E4F-B76A-37AF7B59FD90}">
            <xm:f>NOT(ISERROR(SEARCH($W$4,J143)))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90" operator="containsText" id="{C1FA5942-BE57-463C-8E6D-7E1BD4AB1303}">
            <xm:f>NOT(ISERROR(SEARCH($W$3,J143)))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J143 L143</xm:sqref>
        </x14:conditionalFormatting>
        <x14:conditionalFormatting xmlns:xm="http://schemas.microsoft.com/office/excel/2006/main">
          <x14:cfRule type="containsText" priority="1983" operator="containsText" id="{A52C89B0-4900-40FD-B06D-DCE64246AB49}">
            <xm:f>NOT(ISERROR(SEARCH($W$6,J163)))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84" operator="containsText" id="{BDBDC8A3-5C09-46D2-AD0D-82AE3F09F398}">
            <xm:f>NOT(ISERROR(SEARCH($W$5,J163)))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85" operator="containsText" id="{9CF195D9-B88F-400F-874E-22337FC44D94}">
            <xm:f>NOT(ISERROR(SEARCH($W$4,J163)))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86" operator="containsText" id="{F86277BB-FC38-4667-9A6C-0BF0628953C7}">
            <xm:f>NOT(ISERROR(SEARCH($W$3,J163)))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J163 L163</xm:sqref>
        </x14:conditionalFormatting>
        <x14:conditionalFormatting xmlns:xm="http://schemas.microsoft.com/office/excel/2006/main">
          <x14:cfRule type="containsText" priority="1979" operator="containsText" id="{8B44AC96-C3B6-4806-B888-0CE959FB42DB}">
            <xm:f>NOT(ISERROR(SEARCH($W$6,J174)))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80" operator="containsText" id="{168DF6F9-B2A8-4D3C-AAAA-A187ADF7A9B6}">
            <xm:f>NOT(ISERROR(SEARCH($W$5,J174)))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81" operator="containsText" id="{5184D13F-AACB-4D95-81D3-4BA79D573F9B}">
            <xm:f>NOT(ISERROR(SEARCH($W$4,J174)))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82" operator="containsText" id="{42C76DEC-AA3C-4DEE-A709-E365E0AD69B7}">
            <xm:f>NOT(ISERROR(SEARCH($W$3,J174)))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J174 L174</xm:sqref>
        </x14:conditionalFormatting>
        <x14:conditionalFormatting xmlns:xm="http://schemas.microsoft.com/office/excel/2006/main">
          <x14:cfRule type="containsText" priority="1975" operator="containsText" id="{68FE0C9B-2267-4D81-A0D2-A66D6415DF88}">
            <xm:f>NOT(ISERROR(SEARCH($W$6,J186)))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76" operator="containsText" id="{AFE39DD6-EC87-4E6E-87A8-20BD86CC5079}">
            <xm:f>NOT(ISERROR(SEARCH($W$5,J186)))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77" operator="containsText" id="{D0EDE691-B67B-4B1D-8C1D-326870C24DC3}">
            <xm:f>NOT(ISERROR(SEARCH($W$4,J186)))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78" operator="containsText" id="{289F9959-2380-4D25-8D9C-61CAF3F8F6BB}">
            <xm:f>NOT(ISERROR(SEARCH($W$3,J186)))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J186 L186</xm:sqref>
        </x14:conditionalFormatting>
        <x14:conditionalFormatting xmlns:xm="http://schemas.microsoft.com/office/excel/2006/main">
          <x14:cfRule type="containsText" priority="1971" operator="containsText" id="{32F9CD66-1405-4856-95A4-8D0B672D0843}">
            <xm:f>NOT(ISERROR(SEARCH($W$6,J193)))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72" operator="containsText" id="{B8B1C983-E0BE-4B94-9D63-36D95BEDD324}">
            <xm:f>NOT(ISERROR(SEARCH($W$5,J193)))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73" operator="containsText" id="{C9619F70-4126-4903-BE4E-AF152E9D9A12}">
            <xm:f>NOT(ISERROR(SEARCH($W$4,J193)))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74" operator="containsText" id="{4C4E12A6-5521-400C-93C7-A0D3C667E201}">
            <xm:f>NOT(ISERROR(SEARCH($W$3,J193)))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J193 L193</xm:sqref>
        </x14:conditionalFormatting>
        <x14:conditionalFormatting xmlns:xm="http://schemas.microsoft.com/office/excel/2006/main">
          <x14:cfRule type="containsText" priority="1967" operator="containsText" id="{4D6D62AB-C1A3-4F5D-B4C8-1AC1CBB0410A}">
            <xm:f>NOT(ISERROR(SEARCH($W$6,J210)))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68" operator="containsText" id="{D24E72E0-17A7-4CB3-8172-05558FEB0868}">
            <xm:f>NOT(ISERROR(SEARCH($W$5,J210)))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69" operator="containsText" id="{9155F850-2E9F-48A2-96FF-9AD938A92F74}">
            <xm:f>NOT(ISERROR(SEARCH($W$4,J210)))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70" operator="containsText" id="{75B65BDA-1D4B-4D5F-BF41-B85D9AFA4C0F}">
            <xm:f>NOT(ISERROR(SEARCH($W$3,J210)))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J210 L210</xm:sqref>
        </x14:conditionalFormatting>
        <x14:conditionalFormatting xmlns:xm="http://schemas.microsoft.com/office/excel/2006/main">
          <x14:cfRule type="containsText" priority="1963" operator="containsText" id="{132215E0-8942-4305-B3C7-6BDE19B27A15}">
            <xm:f>NOT(ISERROR(SEARCH($W$6,J215)))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64" operator="containsText" id="{8482E870-E957-453A-BFF3-67A9D92B3C34}">
            <xm:f>NOT(ISERROR(SEARCH($W$5,J215)))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65" operator="containsText" id="{7A3DD8CA-53CE-4A19-9870-AFDEDFF7A9EA}">
            <xm:f>NOT(ISERROR(SEARCH($W$4,J215)))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66" operator="containsText" id="{9AC831D0-E1A8-4B79-ACCE-56B58360D425}">
            <xm:f>NOT(ISERROR(SEARCH($W$3,J215)))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J215 L215</xm:sqref>
        </x14:conditionalFormatting>
        <x14:conditionalFormatting xmlns:xm="http://schemas.microsoft.com/office/excel/2006/main">
          <x14:cfRule type="containsText" priority="1959" operator="containsText" id="{C3D9522E-72F0-44B2-938A-E0C1BF95E6D1}">
            <xm:f>NOT(ISERROR(SEARCH($W$6,J224)))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60" operator="containsText" id="{0C0CB57A-AF7F-4778-955D-504BA11E8361}">
            <xm:f>NOT(ISERROR(SEARCH($W$5,J224)))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61" operator="containsText" id="{E6B870DE-56EE-45CC-87ED-EE1975365437}">
            <xm:f>NOT(ISERROR(SEARCH($W$4,J224)))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62" operator="containsText" id="{EED59D92-1A1E-436B-A0B4-0DA3188030F7}">
            <xm:f>NOT(ISERROR(SEARCH($W$3,J224)))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J224 L224</xm:sqref>
        </x14:conditionalFormatting>
        <x14:conditionalFormatting xmlns:xm="http://schemas.microsoft.com/office/excel/2006/main">
          <x14:cfRule type="containsText" priority="1955" operator="containsText" id="{C4C90518-2902-4129-9755-E3EF5C5293DE}">
            <xm:f>NOT(ISERROR(SEARCH($W$6,J284)))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56" operator="containsText" id="{AFBFDB4C-E097-498B-B065-6A037C756445}">
            <xm:f>NOT(ISERROR(SEARCH($W$5,J284)))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57" operator="containsText" id="{709C7E9A-2650-4823-B2C1-601B61AEE7A4}">
            <xm:f>NOT(ISERROR(SEARCH($W$4,J284)))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58" operator="containsText" id="{810B7F14-D0A5-434A-8B2E-D5F4C92174FC}">
            <xm:f>NOT(ISERROR(SEARCH($W$3,J284)))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J284 L284</xm:sqref>
        </x14:conditionalFormatting>
        <x14:conditionalFormatting xmlns:xm="http://schemas.microsoft.com/office/excel/2006/main">
          <x14:cfRule type="containsText" priority="1951" operator="containsText" id="{96707D4F-1438-43D9-9602-0D2B108B828E}">
            <xm:f>NOT(ISERROR(SEARCH($W$6,J292)))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52" operator="containsText" id="{549DDB6F-BDB6-4E71-9A1E-CEC12E057F72}">
            <xm:f>NOT(ISERROR(SEARCH($W$5,J292)))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53" operator="containsText" id="{B400EF4A-7787-4438-B442-DD1BE8F63F61}">
            <xm:f>NOT(ISERROR(SEARCH($W$4,J292)))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54" operator="containsText" id="{BA90300B-4CA1-45AA-B4A6-A4D775E8D869}">
            <xm:f>NOT(ISERROR(SEARCH($W$3,J292)))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J292 L292</xm:sqref>
        </x14:conditionalFormatting>
        <x14:conditionalFormatting xmlns:xm="http://schemas.microsoft.com/office/excel/2006/main">
          <x14:cfRule type="containsText" priority="1947" operator="containsText" id="{FFCB775A-D7B9-4E70-9DAA-77F63B6A0C2E}">
            <xm:f>NOT(ISERROR(SEARCH($W$6,J298)))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48" operator="containsText" id="{88E048E6-9C4C-46EE-A8DB-A28E948B1906}">
            <xm:f>NOT(ISERROR(SEARCH($W$5,J298)))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49" operator="containsText" id="{567A89BA-71AB-4C58-8DFB-2EEF01CBB0FE}">
            <xm:f>NOT(ISERROR(SEARCH($W$4,J298)))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50" operator="containsText" id="{9A81D187-40FC-4542-9C13-8D5A9F33BB5A}">
            <xm:f>NOT(ISERROR(SEARCH($W$3,J298)))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J298 L298</xm:sqref>
        </x14:conditionalFormatting>
        <x14:conditionalFormatting xmlns:xm="http://schemas.microsoft.com/office/excel/2006/main">
          <x14:cfRule type="containsText" priority="1935" operator="containsText" id="{9B77852E-A23A-43C3-9DE7-3C9E9561CF43}">
            <xm:f>NOT(ISERROR(SEARCH($W$6,J323)))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36" operator="containsText" id="{B7019C41-16EF-4AAB-80AF-4E4D39B2F738}">
            <xm:f>NOT(ISERROR(SEARCH($W$5,J323)))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37" operator="containsText" id="{CEA5BB1A-488C-49E0-9BEB-D97973976B72}">
            <xm:f>NOT(ISERROR(SEARCH($W$4,J323)))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38" operator="containsText" id="{7517FF26-4DBE-47BE-918D-BE8EA76186D6}">
            <xm:f>NOT(ISERROR(SEARCH($W$3,J323)))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J323 L323</xm:sqref>
        </x14:conditionalFormatting>
        <x14:conditionalFormatting xmlns:xm="http://schemas.microsoft.com/office/excel/2006/main">
          <x14:cfRule type="containsText" priority="1939" operator="containsText" id="{431BC1AF-7DFE-4FA4-BAF7-F59C7D49AB7B}">
            <xm:f>NOT(ISERROR(SEARCH($W$6,J316)))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40" operator="containsText" id="{4A6DE673-8009-481D-85F4-23F0C750F01F}">
            <xm:f>NOT(ISERROR(SEARCH($W$5,J316)))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41" operator="containsText" id="{2ED50699-92FE-47F1-A118-742AD0803E12}">
            <xm:f>NOT(ISERROR(SEARCH($W$4,J316)))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42" operator="containsText" id="{8F2399A9-3E6D-42BE-B27A-8605E41F1A86}">
            <xm:f>NOT(ISERROR(SEARCH($W$3,J316)))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J316 L316</xm:sqref>
        </x14:conditionalFormatting>
        <x14:conditionalFormatting xmlns:xm="http://schemas.microsoft.com/office/excel/2006/main">
          <x14:cfRule type="containsText" priority="1931" operator="containsText" id="{B3553184-796C-4D2A-A8F8-A82DA145DFFC}">
            <xm:f>NOT(ISERROR(SEARCH($W$6,J328)))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932" operator="containsText" id="{EFB0081A-307F-4DE6-9E5E-BAFE8068B0E9}">
            <xm:f>NOT(ISERROR(SEARCH($W$5,J328)))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933" operator="containsText" id="{BDD4F657-1BDF-4FFF-ABA5-12FA4D1826E5}">
            <xm:f>NOT(ISERROR(SEARCH($W$4,J328)))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934" operator="containsText" id="{B6B3BCCB-7F16-4D4E-9FFD-308DC01574D5}">
            <xm:f>NOT(ISERROR(SEARCH($W$3,J328)))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J328 L328</xm:sqref>
        </x14:conditionalFormatting>
        <x14:conditionalFormatting xmlns:xm="http://schemas.microsoft.com/office/excel/2006/main">
          <x14:cfRule type="containsText" priority="1887" operator="containsText" id="{AFE16804-3421-4B6F-AF6E-B4FD77A4B883}">
            <xm:f>NOT(ISERROR(SEARCH($W$6,J439)))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88" operator="containsText" id="{BE10CA91-CB89-4920-B988-8F143CACDD51}">
            <xm:f>NOT(ISERROR(SEARCH($W$5,J439)))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89" operator="containsText" id="{6423549B-2648-4017-902F-EB3965F05BA6}">
            <xm:f>NOT(ISERROR(SEARCH($W$4,J439)))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90" operator="containsText" id="{90CDF698-4984-499C-A664-F764DA74B476}">
            <xm:f>NOT(ISERROR(SEARCH($W$3,J439)))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J439 L439</xm:sqref>
        </x14:conditionalFormatting>
        <x14:conditionalFormatting xmlns:xm="http://schemas.microsoft.com/office/excel/2006/main">
          <x14:cfRule type="containsText" priority="1883" operator="containsText" id="{B31E232A-10B6-4B9E-AB99-09E31AB45041}">
            <xm:f>NOT(ISERROR(SEARCH($W$6,J442)))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84" operator="containsText" id="{E5188081-528F-4BBD-99A0-2ED82EA72D92}">
            <xm:f>NOT(ISERROR(SEARCH($W$5,J442)))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85" operator="containsText" id="{C8A091DE-E5C0-417F-BEC5-9DCC23348BFE}">
            <xm:f>NOT(ISERROR(SEARCH($W$4,J442)))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86" operator="containsText" id="{CE53A17F-9D75-4A17-AD08-B8BCF0A7D902}">
            <xm:f>NOT(ISERROR(SEARCH($W$3,J442)))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J442 L442</xm:sqref>
        </x14:conditionalFormatting>
        <x14:conditionalFormatting xmlns:xm="http://schemas.microsoft.com/office/excel/2006/main">
          <x14:cfRule type="containsText" priority="1879" operator="containsText" id="{E94C7E3E-7D26-4BE3-BEB9-400ABFA7474C}">
            <xm:f>NOT(ISERROR(SEARCH($W$6,J445)))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80" operator="containsText" id="{E1DB2715-31C1-437F-B09A-206D7DB23B5A}">
            <xm:f>NOT(ISERROR(SEARCH($W$5,J445)))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81" operator="containsText" id="{93E24A37-5B09-4632-A71D-5E2CFBE7A09C}">
            <xm:f>NOT(ISERROR(SEARCH($W$4,J445)))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82" operator="containsText" id="{03CA81D6-28A7-4E56-8D85-332A6D3F3AB6}">
            <xm:f>NOT(ISERROR(SEARCH($W$3,J445)))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J445 L445</xm:sqref>
        </x14:conditionalFormatting>
        <x14:conditionalFormatting xmlns:xm="http://schemas.microsoft.com/office/excel/2006/main">
          <x14:cfRule type="containsText" priority="1875" operator="containsText" id="{5AB32FD1-B101-4561-B7A7-DB4CC6041848}">
            <xm:f>NOT(ISERROR(SEARCH($W$6,J448)))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76" operator="containsText" id="{9E711B36-8936-4B7C-A2EA-2EAC1EAAD4AA}">
            <xm:f>NOT(ISERROR(SEARCH($W$5,J448)))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77" operator="containsText" id="{34BD9B6F-A1EB-4D18-AE0B-42B7126DD613}">
            <xm:f>NOT(ISERROR(SEARCH($W$4,J448)))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78" operator="containsText" id="{04E03630-7E98-4EBB-8EBC-1ECD3AFD6E73}">
            <xm:f>NOT(ISERROR(SEARCH($W$3,J448)))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J448 L448</xm:sqref>
        </x14:conditionalFormatting>
        <x14:conditionalFormatting xmlns:xm="http://schemas.microsoft.com/office/excel/2006/main">
          <x14:cfRule type="containsText" priority="1871" operator="containsText" id="{797C1B11-7B13-4B92-877E-9C41F094E971}">
            <xm:f>NOT(ISERROR(SEARCH($W$6,J454)))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72" operator="containsText" id="{F8CC8333-0310-401D-9BC1-4BB9D7A17A3B}">
            <xm:f>NOT(ISERROR(SEARCH($W$5,J454)))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73" operator="containsText" id="{05147E30-BE57-4F84-8FC9-97DA775DFF76}">
            <xm:f>NOT(ISERROR(SEARCH($W$4,J454)))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74" operator="containsText" id="{1112A524-94D8-406C-B6F5-F1F681EDE785}">
            <xm:f>NOT(ISERROR(SEARCH($W$3,J454)))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J454 L454</xm:sqref>
        </x14:conditionalFormatting>
        <x14:conditionalFormatting xmlns:xm="http://schemas.microsoft.com/office/excel/2006/main">
          <x14:cfRule type="containsText" priority="1867" operator="containsText" id="{67887DF0-A36F-4572-9FDE-0440D62C5163}">
            <xm:f>NOT(ISERROR(SEARCH($W$6,J457)))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68" operator="containsText" id="{3E1D4C92-E95B-451A-A21B-7049993E5F34}">
            <xm:f>NOT(ISERROR(SEARCH($W$5,J457)))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69" operator="containsText" id="{ED701A4D-15B3-4CA2-83D1-C8328FB34981}">
            <xm:f>NOT(ISERROR(SEARCH($W$4,J457)))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70" operator="containsText" id="{82234F00-9A2B-448C-903E-EB846671FB7C}">
            <xm:f>NOT(ISERROR(SEARCH($W$3,J457)))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J457 L457</xm:sqref>
        </x14:conditionalFormatting>
        <x14:conditionalFormatting xmlns:xm="http://schemas.microsoft.com/office/excel/2006/main">
          <x14:cfRule type="containsText" priority="1863" operator="containsText" id="{BBB6E059-E939-4811-AF2F-7F96324B7B6B}">
            <xm:f>NOT(ISERROR(SEARCH($W$6,J460)))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64" operator="containsText" id="{4AD572B9-546B-4696-9257-7977A492D353}">
            <xm:f>NOT(ISERROR(SEARCH($W$5,J460)))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65" operator="containsText" id="{D09CF490-F691-4A40-A8B0-62D6F054219D}">
            <xm:f>NOT(ISERROR(SEARCH($W$4,J460)))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66" operator="containsText" id="{1E412146-F996-4456-9962-02CFED20B4FB}">
            <xm:f>NOT(ISERROR(SEARCH($W$3,J460)))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J460 L460</xm:sqref>
        </x14:conditionalFormatting>
        <x14:conditionalFormatting xmlns:xm="http://schemas.microsoft.com/office/excel/2006/main">
          <x14:cfRule type="containsText" priority="1859" operator="containsText" id="{8AA1EB73-5FE1-4EAF-8776-A2F3839E05C2}">
            <xm:f>NOT(ISERROR(SEARCH($W$6,J463)))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60" operator="containsText" id="{E35D6B71-8C23-4EDC-A7AB-DDA8724B930A}">
            <xm:f>NOT(ISERROR(SEARCH($W$5,J463)))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61" operator="containsText" id="{7874EE78-B6CC-421C-B7C1-671B1B70657E}">
            <xm:f>NOT(ISERROR(SEARCH($W$4,J463)))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62" operator="containsText" id="{CB01AB72-0FFB-4BB3-A646-C92152B660B7}">
            <xm:f>NOT(ISERROR(SEARCH($W$3,J463)))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J463 L463</xm:sqref>
        </x14:conditionalFormatting>
        <x14:conditionalFormatting xmlns:xm="http://schemas.microsoft.com/office/excel/2006/main">
          <x14:cfRule type="containsText" priority="1855" operator="containsText" id="{8D402240-388C-4752-BA7D-A6F48776943D}">
            <xm:f>NOT(ISERROR(SEARCH($W$6,J468)))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56" operator="containsText" id="{14684505-3C30-4E42-AF5A-6B1E896A79F4}">
            <xm:f>NOT(ISERROR(SEARCH($W$5,J468)))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57" operator="containsText" id="{7C46AEFA-E760-4B6C-A21C-D29EF03810DE}">
            <xm:f>NOT(ISERROR(SEARCH($W$4,J468)))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58" operator="containsText" id="{BEC9D1B0-4A5A-4D63-A9C3-9D24D34E0433}">
            <xm:f>NOT(ISERROR(SEARCH($W$3,J468)))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J468 L468</xm:sqref>
        </x14:conditionalFormatting>
        <x14:conditionalFormatting xmlns:xm="http://schemas.microsoft.com/office/excel/2006/main">
          <x14:cfRule type="containsText" priority="1851" operator="containsText" id="{5F27C726-3A4E-4961-879F-1EF5DA8EA88D}">
            <xm:f>NOT(ISERROR(SEARCH($W$6,J471)))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52" operator="containsText" id="{87C147D8-3EC4-44B2-B4E9-02673F2F484A}">
            <xm:f>NOT(ISERROR(SEARCH($W$5,J471)))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53" operator="containsText" id="{5B69E484-EC92-4C0B-A148-FCEF59E4590B}">
            <xm:f>NOT(ISERROR(SEARCH($W$4,J471)))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54" operator="containsText" id="{8E10FFC2-95F6-41AF-B39D-A4131FA1BFB9}">
            <xm:f>NOT(ISERROR(SEARCH($W$3,J471)))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J471 L471</xm:sqref>
        </x14:conditionalFormatting>
        <x14:conditionalFormatting xmlns:xm="http://schemas.microsoft.com/office/excel/2006/main">
          <x14:cfRule type="containsText" priority="1847" operator="containsText" id="{7A27646D-7F7F-45AA-BCAB-FC40612C0D63}">
            <xm:f>NOT(ISERROR(SEARCH($W$6,J474)))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48" operator="containsText" id="{E9D47548-6FD9-4010-8D7A-E8D7A4735C48}">
            <xm:f>NOT(ISERROR(SEARCH($W$5,J474)))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49" operator="containsText" id="{9EF3CC2D-A1B9-43B3-A030-2CFB19A1F975}">
            <xm:f>NOT(ISERROR(SEARCH($W$4,J474)))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50" operator="containsText" id="{87D841CE-F1E3-489D-B4CE-5D4B324BB2C9}">
            <xm:f>NOT(ISERROR(SEARCH($W$3,J474)))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J474 L474</xm:sqref>
        </x14:conditionalFormatting>
        <x14:conditionalFormatting xmlns:xm="http://schemas.microsoft.com/office/excel/2006/main">
          <x14:cfRule type="containsText" priority="1843" operator="containsText" id="{CA79598B-E4E1-4395-BE3F-C32685FD1DFA}">
            <xm:f>NOT(ISERROR(SEARCH($W$6,J477)))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44" operator="containsText" id="{0E140FC7-4739-4CDF-AAF0-61D7EF7A8B4D}">
            <xm:f>NOT(ISERROR(SEARCH($W$5,J477)))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45" operator="containsText" id="{B3B57BB5-06D1-42E7-975D-F7501B54250F}">
            <xm:f>NOT(ISERROR(SEARCH($W$4,J477)))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46" operator="containsText" id="{17CE8903-202D-4DE6-99D2-55EB54FC5CA7}">
            <xm:f>NOT(ISERROR(SEARCH($W$3,J477)))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J477 L477</xm:sqref>
        </x14:conditionalFormatting>
        <x14:conditionalFormatting xmlns:xm="http://schemas.microsoft.com/office/excel/2006/main">
          <x14:cfRule type="containsText" priority="1839" operator="containsText" id="{8B55E5DD-95BA-4360-A556-4493DD7176FB}">
            <xm:f>NOT(ISERROR(SEARCH($W$6,J480)))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40" operator="containsText" id="{150F45D5-6A12-4354-8C18-D40BC7451773}">
            <xm:f>NOT(ISERROR(SEARCH($W$5,J480)))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41" operator="containsText" id="{82147E3F-0B44-42EA-BF0F-7F6A772E05C7}">
            <xm:f>NOT(ISERROR(SEARCH($W$4,J480)))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42" operator="containsText" id="{C759F865-0AD9-422D-9549-EE1D070A404F}">
            <xm:f>NOT(ISERROR(SEARCH($W$3,J480)))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J480 L480</xm:sqref>
        </x14:conditionalFormatting>
        <x14:conditionalFormatting xmlns:xm="http://schemas.microsoft.com/office/excel/2006/main">
          <x14:cfRule type="containsText" priority="1835" operator="containsText" id="{98E14A4B-547C-4DFC-9356-7AC49331656C}">
            <xm:f>NOT(ISERROR(SEARCH($W$6,J488)))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36" operator="containsText" id="{5DF408DF-6C01-4440-9C3C-A740BC1D0470}">
            <xm:f>NOT(ISERROR(SEARCH($W$5,J488)))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37" operator="containsText" id="{8A453429-F7C5-42D7-BAEE-7D79E71B8DD5}">
            <xm:f>NOT(ISERROR(SEARCH($W$4,J488)))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38" operator="containsText" id="{C6B092B6-B2E2-40FF-97F9-A91EFDBD1AEE}">
            <xm:f>NOT(ISERROR(SEARCH($W$3,J488)))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J488 L488</xm:sqref>
        </x14:conditionalFormatting>
        <x14:conditionalFormatting xmlns:xm="http://schemas.microsoft.com/office/excel/2006/main">
          <x14:cfRule type="containsText" priority="1831" operator="containsText" id="{0A027AFB-E193-4BEE-BC72-D8B336A2E887}">
            <xm:f>NOT(ISERROR(SEARCH($W$6,J491)))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32" operator="containsText" id="{E7A73116-8A49-437F-8168-146FCDC59992}">
            <xm:f>NOT(ISERROR(SEARCH($W$5,J491)))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33" operator="containsText" id="{0BCD04ED-9ED0-4184-8F6F-5914068EA38C}">
            <xm:f>NOT(ISERROR(SEARCH($W$4,J491)))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34" operator="containsText" id="{6ECC6837-B9A5-4193-95C4-59EA0380233A}">
            <xm:f>NOT(ISERROR(SEARCH($W$3,J491)))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J491 L491</xm:sqref>
        </x14:conditionalFormatting>
        <x14:conditionalFormatting xmlns:xm="http://schemas.microsoft.com/office/excel/2006/main">
          <x14:cfRule type="containsText" priority="1819" operator="containsText" id="{87FB3FB0-AFE7-44D7-8329-3E3427F11E87}">
            <xm:f>NOT(ISERROR(SEARCH($W$6,J127)))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20" operator="containsText" id="{3CD9682C-BBCD-4188-85B2-11790321DF94}">
            <xm:f>NOT(ISERROR(SEARCH($W$5,J127)))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21" operator="containsText" id="{151FA4EF-8B84-4AFF-823C-FDA7CE39F9C3}">
            <xm:f>NOT(ISERROR(SEARCH($W$4,J127)))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22" operator="containsText" id="{BE630123-5DBB-4D6B-880A-D18606AE5E7A}">
            <xm:f>NOT(ISERROR(SEARCH($W$3,J127)))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J127 L127</xm:sqref>
        </x14:conditionalFormatting>
        <x14:conditionalFormatting xmlns:xm="http://schemas.microsoft.com/office/excel/2006/main">
          <x14:cfRule type="containsText" priority="1815" operator="containsText" id="{882333FF-67FF-4FA2-8B5D-9EEA2D7CE321}">
            <xm:f>NOT(ISERROR(SEARCH($W$6,J15)))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16" operator="containsText" id="{04F88173-F09B-4EA2-B6FC-00E7145501B3}">
            <xm:f>NOT(ISERROR(SEARCH($W$5,J15)))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17" operator="containsText" id="{7B283F09-0711-49E9-8574-B219F78F1CD7}">
            <xm:f>NOT(ISERROR(SEARCH($W$4,J15)))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18" operator="containsText" id="{3E8C06C9-249E-4CB4-9B09-A38D2CDB174B}">
            <xm:f>NOT(ISERROR(SEARCH($W$3,J15)))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J15 L15</xm:sqref>
        </x14:conditionalFormatting>
        <x14:conditionalFormatting xmlns:xm="http://schemas.microsoft.com/office/excel/2006/main">
          <x14:cfRule type="containsText" priority="1803" operator="containsText" id="{7DFF8923-808D-4ED6-BF8E-31C43CD3CBFC}">
            <xm:f>NOT(ISERROR(SEARCH($W$6,J438)))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04" operator="containsText" id="{0811C43E-919C-46C0-AA65-B12FFBC22CF4}">
            <xm:f>NOT(ISERROR(SEARCH($W$5,J438)))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05" operator="containsText" id="{BCC39F6B-C473-4DB1-BF0B-485CF320A391}">
            <xm:f>NOT(ISERROR(SEARCH($W$4,J438)))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06" operator="containsText" id="{A0DED95A-0B1E-4F6F-8D9B-5A9D475860F6}">
            <xm:f>NOT(ISERROR(SEARCH($W$3,J438)))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J438 L438</xm:sqref>
        </x14:conditionalFormatting>
        <x14:conditionalFormatting xmlns:xm="http://schemas.microsoft.com/office/excel/2006/main">
          <x14:cfRule type="containsText" priority="1811" operator="containsText" id="{A7745246-E007-4739-AF4D-6A3689A5B2B2}">
            <xm:f>NOT(ISERROR(SEARCH($W$6,J192)))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12" operator="containsText" id="{DFD7CDE6-0165-425E-9050-98FB68993734}">
            <xm:f>NOT(ISERROR(SEARCH($W$5,J192)))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13" operator="containsText" id="{67BA6CDA-32E5-41E4-92F1-941F43B9E725}">
            <xm:f>NOT(ISERROR(SEARCH($W$4,J192)))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14" operator="containsText" id="{C0A47070-AE61-4820-9CDD-C99F75B1009A}">
            <xm:f>NOT(ISERROR(SEARCH($W$3,J192)))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J192 L192</xm:sqref>
        </x14:conditionalFormatting>
        <x14:conditionalFormatting xmlns:xm="http://schemas.microsoft.com/office/excel/2006/main">
          <x14:cfRule type="containsText" priority="1807" operator="containsText" id="{7FB2A99C-E403-483F-81BA-51BE234CFB95}">
            <xm:f>NOT(ISERROR(SEARCH($W$6,J315)))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08" operator="containsText" id="{FF5C70F1-B890-4832-BA05-2E7EAED4AFE1}">
            <xm:f>NOT(ISERROR(SEARCH($W$5,J315)))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09" operator="containsText" id="{D0DB9724-F9E2-4E98-A32A-5DE7A7F914A8}">
            <xm:f>NOT(ISERROR(SEARCH($W$4,J315)))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10" operator="containsText" id="{95556096-3B4F-4768-BFA6-7CC311330E40}">
            <xm:f>NOT(ISERROR(SEARCH($W$3,J315)))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J315 L315</xm:sqref>
        </x14:conditionalFormatting>
        <x14:conditionalFormatting xmlns:xm="http://schemas.microsoft.com/office/excel/2006/main">
          <x14:cfRule type="containsText" priority="1799" operator="containsText" id="{800E3A44-9C2B-4343-9FE0-A1245FFDB406}">
            <xm:f>NOT(ISERROR(SEARCH($W$6,J467)))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800" operator="containsText" id="{9CCD9629-798A-4636-A85E-8D04BEFFF944}">
            <xm:f>NOT(ISERROR(SEARCH($W$5,J467)))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801" operator="containsText" id="{B69F54CB-9BB8-43E6-8FA4-3C1D20AD2B42}">
            <xm:f>NOT(ISERROR(SEARCH($W$4,J467)))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802" operator="containsText" id="{3BAE8C9B-8368-4002-8594-F662A49E2322}">
            <xm:f>NOT(ISERROR(SEARCH($W$3,J467)))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J467 L467</xm:sqref>
        </x14:conditionalFormatting>
        <x14:conditionalFormatting xmlns:xm="http://schemas.microsoft.com/office/excel/2006/main">
          <x14:cfRule type="containsText" priority="1539" operator="containsText" id="{168E13BB-CB5E-42E5-8E3D-F9861958185E}">
            <xm:f>NOT(ISERROR(SEARCH($W$6,J335)))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40" operator="containsText" id="{8A95504B-F359-41B1-AFE1-93E8CBDB1348}">
            <xm:f>NOT(ISERROR(SEARCH($W$5,J335)))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41" operator="containsText" id="{8F8F0A31-7009-4733-B8B8-BF1F3ACFB44B}">
            <xm:f>NOT(ISERROR(SEARCH($W$4,J335)))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42" operator="containsText" id="{92BDFD59-41F8-4E54-A35E-F4E3A77E13E0}">
            <xm:f>NOT(ISERROR(SEARCH($W$3,J335)))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J335 L335</xm:sqref>
        </x14:conditionalFormatting>
        <x14:conditionalFormatting xmlns:xm="http://schemas.microsoft.com/office/excel/2006/main">
          <x14:cfRule type="containsText" priority="1531" operator="containsText" id="{A497CCB9-1E1D-48AD-9637-24F9AD29F321}">
            <xm:f>NOT(ISERROR(SEARCH($W$6,J349)))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32" operator="containsText" id="{C76A7091-E4B7-4EC5-A337-6EAC097D5135}">
            <xm:f>NOT(ISERROR(SEARCH($W$5,J349)))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33" operator="containsText" id="{F75F3D4B-CFEB-4D43-BAB9-365004B8FAD0}">
            <xm:f>NOT(ISERROR(SEARCH($W$4,J349)))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34" operator="containsText" id="{843F2927-EF0D-4D37-9DF6-682060B5C9AF}">
            <xm:f>NOT(ISERROR(SEARCH($W$3,J349)))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J349 L349</xm:sqref>
        </x14:conditionalFormatting>
        <x14:conditionalFormatting xmlns:xm="http://schemas.microsoft.com/office/excel/2006/main">
          <x14:cfRule type="containsText" priority="1523" operator="containsText" id="{CA4290D9-43D3-4A81-9DC2-4F0559C80200}">
            <xm:f>NOT(ISERROR(SEARCH($W$6,J384)))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24" operator="containsText" id="{F8D07F25-7937-483F-8E64-ADA8F43E17D3}">
            <xm:f>NOT(ISERROR(SEARCH($W$5,J384)))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25" operator="containsText" id="{9EBA80DF-6416-48AC-B0A0-4666C174BE8E}">
            <xm:f>NOT(ISERROR(SEARCH($W$4,J384)))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26" operator="containsText" id="{7C091190-1C0A-4A2E-8FE3-FCEF26A3BE34}">
            <xm:f>NOT(ISERROR(SEARCH($W$3,J384)))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J384 L384</xm:sqref>
        </x14:conditionalFormatting>
        <x14:conditionalFormatting xmlns:xm="http://schemas.microsoft.com/office/excel/2006/main">
          <x14:cfRule type="containsText" priority="1511" operator="containsText" id="{1A2F7189-95FD-4950-A08E-5E5E13643A30}">
            <xm:f>NOT(ISERROR(SEARCH($W$6,J416)))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12" operator="containsText" id="{179139DA-FF48-4407-85F8-03E74821F5C9}">
            <xm:f>NOT(ISERROR(SEARCH($W$5,J416)))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13" operator="containsText" id="{D0C2CE33-BE94-42DF-A1E0-58C1B97C011E}">
            <xm:f>NOT(ISERROR(SEARCH($W$4,J416)))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14" operator="containsText" id="{0E990F55-6ADC-4475-8602-ADBD5743E68C}">
            <xm:f>NOT(ISERROR(SEARCH($W$3,J416)))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J416 L416</xm:sqref>
        </x14:conditionalFormatting>
        <x14:conditionalFormatting xmlns:xm="http://schemas.microsoft.com/office/excel/2006/main">
          <x14:cfRule type="containsText" priority="1503" operator="containsText" id="{B5E159E1-9244-4D7E-8F33-29235F55C598}">
            <xm:f>NOT(ISERROR(SEARCH($W$6,J426)))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04" operator="containsText" id="{24911DE5-38D8-4698-BAE7-22842DFD731B}">
            <xm:f>NOT(ISERROR(SEARCH($W$5,J426)))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05" operator="containsText" id="{B4D6C49D-352B-47BB-AD7C-8C99B27342AD}">
            <xm:f>NOT(ISERROR(SEARCH($W$4,J426)))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06" operator="containsText" id="{AC792C1D-3C09-424F-9B91-CC857674F6C7}">
            <xm:f>NOT(ISERROR(SEARCH($W$3,J426)))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J426 L426</xm:sqref>
        </x14:conditionalFormatting>
        <x14:conditionalFormatting xmlns:xm="http://schemas.microsoft.com/office/excel/2006/main">
          <x14:cfRule type="containsText" priority="1499" operator="containsText" id="{5704BD14-FCC0-419E-A35D-CC2D9647E977}">
            <xm:f>NOT(ISERROR(SEARCH($W$6,J429)))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1500" operator="containsText" id="{E3756F11-D746-4DE4-8480-A6928A3D4E6A}">
            <xm:f>NOT(ISERROR(SEARCH($W$5,J429)))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1501" operator="containsText" id="{E00B4A13-74F0-41F2-83D0-88686154C174}">
            <xm:f>NOT(ISERROR(SEARCH($W$4,J429)))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1502" operator="containsText" id="{D46617EC-0877-488B-8518-3E2592DBBB0D}">
            <xm:f>NOT(ISERROR(SEARCH($W$3,J429)))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J429 L429</xm:sqref>
        </x14:conditionalFormatting>
        <x14:conditionalFormatting xmlns:xm="http://schemas.microsoft.com/office/excel/2006/main">
          <x14:cfRule type="containsText" priority="46" operator="containsText" id="{74A2CC8A-C5CE-45DE-B648-EC06FF1AB77B}">
            <xm:f>NOT(ISERROR(SEARCH($W$6,J494)))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7" operator="containsText" id="{BC14D93A-0F76-4266-8F62-39D9414ACD2B}">
            <xm:f>NOT(ISERROR(SEARCH($W$5,J494)))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8" operator="containsText" id="{23E33BFE-BE2A-4D88-B496-534DAC100E3A}">
            <xm:f>NOT(ISERROR(SEARCH($W$4,J494)))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9" operator="containsText" id="{D011B00A-005B-4D84-BC9A-41812CC7E143}">
            <xm:f>NOT(ISERROR(SEARCH($W$3,J494)))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J494 L494</xm:sqref>
        </x14:conditionalFormatting>
        <x14:conditionalFormatting xmlns:xm="http://schemas.microsoft.com/office/excel/2006/main">
          <x14:cfRule type="containsText" priority="39" operator="containsText" id="{975B86A3-D434-4B64-B70B-E3301FD69C73}">
            <xm:f>NOT(ISERROR(SEARCH($W$6,J309)))</xm:f>
            <xm:f>$W$6</xm:f>
            <x14:dxf>
              <fill>
                <patternFill>
                  <bgColor rgb="FF92D050"/>
                </patternFill>
              </fill>
            </x14:dxf>
          </x14:cfRule>
          <x14:cfRule type="containsText" priority="40" operator="containsText" id="{1F087E58-68D0-4453-870E-6334C67795DE}">
            <xm:f>NOT(ISERROR(SEARCH($W$5,J309)))</xm:f>
            <xm:f>$W$5</xm:f>
            <x14:dxf>
              <fill>
                <patternFill>
                  <bgColor rgb="FFFFFF00"/>
                </patternFill>
              </fill>
            </x14:dxf>
          </x14:cfRule>
          <x14:cfRule type="containsText" priority="41" operator="containsText" id="{D19CD237-0D9D-43FD-97E4-A7EDEAEB50E6}">
            <xm:f>NOT(ISERROR(SEARCH($W$4,J309)))</xm:f>
            <xm:f>$W$4</xm:f>
            <x14:dxf>
              <fill>
                <patternFill>
                  <bgColor rgb="FFFF0000"/>
                </patternFill>
              </fill>
            </x14:dxf>
          </x14:cfRule>
          <x14:cfRule type="containsText" priority="42" operator="containsText" id="{DEADC54F-88CC-4B8A-8DDF-2FA4947F8815}">
            <xm:f>NOT(ISERROR(SEARCH($W$3,J309)))</xm:f>
            <xm:f>$W$3</xm:f>
            <x14:dxf>
              <fill>
                <patternFill>
                  <bgColor theme="0" tint="-0.34998626667073579"/>
                </patternFill>
              </fill>
            </x14:dxf>
          </x14:cfRule>
          <xm:sqref>J309 L309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56"/>
  <sheetViews>
    <sheetView showGridLines="0" topLeftCell="E1" workbookViewId="0">
      <selection activeCell="M7" sqref="M7"/>
    </sheetView>
  </sheetViews>
  <sheetFormatPr defaultRowHeight="15" x14ac:dyDescent="0.25"/>
  <cols>
    <col min="1" max="1" width="75.85546875" customWidth="1"/>
    <col min="2" max="2" width="82.5703125" bestFit="1" customWidth="1"/>
    <col min="3" max="3" width="32.140625" bestFit="1" customWidth="1"/>
    <col min="10" max="10" width="19.5703125" customWidth="1"/>
    <col min="13" max="13" width="68.28515625" customWidth="1"/>
    <col min="14" max="14" width="32.42578125" customWidth="1"/>
    <col min="15" max="15" width="20.85546875" bestFit="1" customWidth="1"/>
    <col min="16" max="16" width="32.140625" bestFit="1" customWidth="1"/>
  </cols>
  <sheetData>
    <row r="1" spans="1:14" ht="39" customHeight="1" x14ac:dyDescent="0.5">
      <c r="A1" s="82" t="s">
        <v>409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</row>
    <row r="3" spans="1:14" x14ac:dyDescent="0.25">
      <c r="A3" s="84" t="s">
        <v>410</v>
      </c>
      <c r="B3" s="84" t="s">
        <v>411</v>
      </c>
      <c r="C3" s="83" t="s">
        <v>160</v>
      </c>
    </row>
    <row r="4" spans="1:14" ht="16.5" customHeight="1" x14ac:dyDescent="0.25">
      <c r="A4" s="83" t="s">
        <v>273</v>
      </c>
      <c r="B4" s="83" t="s">
        <v>446</v>
      </c>
      <c r="C4" s="83">
        <f>VLOOKUP(B4,Spreadsheet!$I$17:$K$493,3,FALSE)</f>
        <v>0</v>
      </c>
      <c r="M4" s="43" t="s">
        <v>548</v>
      </c>
    </row>
    <row r="5" spans="1:14" ht="19.5" customHeight="1" x14ac:dyDescent="0.25">
      <c r="A5" s="83" t="s">
        <v>273</v>
      </c>
      <c r="B5" s="83" t="s">
        <v>459</v>
      </c>
      <c r="C5" s="83">
        <f>VLOOKUP(B5,Spreadsheet!$I$17:$K$493,3,FALSE)</f>
        <v>0</v>
      </c>
      <c r="M5" s="43" t="s">
        <v>550</v>
      </c>
    </row>
    <row r="6" spans="1:14" ht="15" customHeight="1" x14ac:dyDescent="0.25">
      <c r="A6" s="83" t="s">
        <v>276</v>
      </c>
      <c r="B6" s="83" t="s">
        <v>447</v>
      </c>
      <c r="C6" s="83">
        <f>VLOOKUP(B6,Spreadsheet!$I$17:$K$493,3,FALSE)</f>
        <v>0</v>
      </c>
      <c r="M6" s="100" t="s">
        <v>551</v>
      </c>
    </row>
    <row r="7" spans="1:14" ht="15" customHeight="1" x14ac:dyDescent="0.25">
      <c r="A7" s="83" t="s">
        <v>276</v>
      </c>
      <c r="B7" s="83" t="s">
        <v>448</v>
      </c>
      <c r="C7" s="83">
        <f>VLOOKUP(B7,Spreadsheet!$I$17:$K$493,3,FALSE)</f>
        <v>0</v>
      </c>
      <c r="M7" s="100" t="s">
        <v>552</v>
      </c>
    </row>
    <row r="8" spans="1:14" ht="24" customHeight="1" x14ac:dyDescent="0.25">
      <c r="A8" s="83" t="s">
        <v>276</v>
      </c>
      <c r="B8" s="83" t="s">
        <v>452</v>
      </c>
      <c r="C8" s="83">
        <f>VLOOKUP(B8,Spreadsheet!$I$17:$K$493,3,FALSE)</f>
        <v>0</v>
      </c>
      <c r="M8" s="100" t="s">
        <v>553</v>
      </c>
    </row>
    <row r="9" spans="1:14" x14ac:dyDescent="0.25">
      <c r="A9" s="83" t="s">
        <v>276</v>
      </c>
      <c r="B9" s="83" t="s">
        <v>453</v>
      </c>
      <c r="C9" s="83">
        <f>VLOOKUP(B9,Spreadsheet!$I$17:$K$493,3,FALSE)</f>
        <v>0</v>
      </c>
      <c r="M9" s="100" t="s">
        <v>554</v>
      </c>
    </row>
    <row r="10" spans="1:14" x14ac:dyDescent="0.25">
      <c r="A10" s="83" t="s">
        <v>276</v>
      </c>
      <c r="B10" s="83" t="s">
        <v>454</v>
      </c>
      <c r="C10" s="83">
        <f>VLOOKUP(B10,Spreadsheet!$I$17:$K$493,3,FALSE)</f>
        <v>0</v>
      </c>
      <c r="M10" s="100" t="s">
        <v>555</v>
      </c>
    </row>
    <row r="11" spans="1:14" x14ac:dyDescent="0.25">
      <c r="A11" s="83" t="s">
        <v>276</v>
      </c>
      <c r="B11" s="83" t="s">
        <v>455</v>
      </c>
      <c r="C11" s="83">
        <f>VLOOKUP(B11,Spreadsheet!$I$17:$K$493,3,FALSE)</f>
        <v>0</v>
      </c>
      <c r="M11" s="144" t="s">
        <v>556</v>
      </c>
    </row>
    <row r="12" spans="1:14" ht="15" customHeight="1" x14ac:dyDescent="0.25">
      <c r="A12" s="83" t="s">
        <v>276</v>
      </c>
      <c r="B12" s="83" t="s">
        <v>456</v>
      </c>
      <c r="C12" s="83">
        <f>VLOOKUP(B12,Spreadsheet!$I$17:$K$493,3,FALSE)</f>
        <v>0</v>
      </c>
      <c r="M12" s="43" t="s">
        <v>557</v>
      </c>
    </row>
    <row r="13" spans="1:14" ht="15" customHeight="1" x14ac:dyDescent="0.25">
      <c r="A13" s="83" t="s">
        <v>276</v>
      </c>
      <c r="B13" s="83" t="s">
        <v>457</v>
      </c>
      <c r="C13" s="83">
        <f>VLOOKUP(B13,Spreadsheet!$I$17:$K$493,3,FALSE)</f>
        <v>0</v>
      </c>
      <c r="M13" s="43" t="s">
        <v>559</v>
      </c>
    </row>
    <row r="14" spans="1:14" x14ac:dyDescent="0.25">
      <c r="A14" s="94" t="s">
        <v>458</v>
      </c>
      <c r="B14" s="83"/>
      <c r="C14" s="83">
        <f>VLOOKUP(A14,Spreadsheet!$H$17:$K$493,4,FALSE)</f>
        <v>0</v>
      </c>
      <c r="M14" s="43" t="s">
        <v>560</v>
      </c>
    </row>
    <row r="15" spans="1:14" x14ac:dyDescent="0.25">
      <c r="A15" s="94" t="s">
        <v>549</v>
      </c>
      <c r="B15" s="83"/>
      <c r="C15" s="83" t="e">
        <f>INDEX(Spreadsheet!$K$225:$K$282,MATCH("Variation",Spreadsheet!$K$225:$K$282,0),1)</f>
        <v>#N/A</v>
      </c>
    </row>
    <row r="16" spans="1:14" x14ac:dyDescent="0.25">
      <c r="A16" s="83" t="s">
        <v>304</v>
      </c>
      <c r="B16" s="83" t="s">
        <v>460</v>
      </c>
      <c r="C16" s="83">
        <f>VLOOKUP(B16,Spreadsheet!$I$17:$K$493,3,FALSE)</f>
        <v>0</v>
      </c>
    </row>
    <row r="17" spans="1:3" x14ac:dyDescent="0.25">
      <c r="A17" s="83" t="s">
        <v>557</v>
      </c>
      <c r="B17" s="83"/>
      <c r="C17" s="83">
        <f>VLOOKUP(A17,Spreadsheet!$H$17:$K$493,4,FALSE)</f>
        <v>0</v>
      </c>
    </row>
    <row r="18" spans="1:3" x14ac:dyDescent="0.25">
      <c r="A18" s="83" t="s">
        <v>559</v>
      </c>
      <c r="B18" s="83"/>
      <c r="C18" s="83">
        <f>VLOOKUP(A18,Spreadsheet!$H$17:$K$493,4,FALSE)</f>
        <v>0</v>
      </c>
    </row>
    <row r="19" spans="1:3" x14ac:dyDescent="0.25">
      <c r="A19" s="83" t="s">
        <v>560</v>
      </c>
      <c r="B19" s="83"/>
      <c r="C19" s="83">
        <f>VLOOKUP(A19,Spreadsheet!$H$17:$K$493,4,FALSE)</f>
        <v>0</v>
      </c>
    </row>
    <row r="20" spans="1:3" x14ac:dyDescent="0.25">
      <c r="A20" s="83" t="s">
        <v>485</v>
      </c>
      <c r="B20" s="83"/>
      <c r="C20" s="83" t="e">
        <f>INDEX(Spreadsheet!K337:K344,MATCH("Variation",Spreadsheet!K337:K344,0),1)</f>
        <v>#N/A</v>
      </c>
    </row>
    <row r="21" spans="1:3" x14ac:dyDescent="0.25">
      <c r="A21" s="83" t="s">
        <v>484</v>
      </c>
      <c r="B21" s="83"/>
      <c r="C21" s="83" t="e">
        <f>INDEX(Spreadsheet!K345:K347,MATCH("Variation",Spreadsheet!K345:K347,0),1)</f>
        <v>#N/A</v>
      </c>
    </row>
    <row r="22" spans="1:3" x14ac:dyDescent="0.25">
      <c r="A22" s="83" t="s">
        <v>328</v>
      </c>
      <c r="B22" s="83" t="s">
        <v>449</v>
      </c>
      <c r="C22" s="83">
        <f>VLOOKUP(B22,Spreadsheet!$I$17:$K$493,3,FALSE)</f>
        <v>0</v>
      </c>
    </row>
    <row r="23" spans="1:3" ht="15" customHeight="1" x14ac:dyDescent="0.25">
      <c r="A23" s="83" t="s">
        <v>333</v>
      </c>
      <c r="B23" s="83" t="s">
        <v>450</v>
      </c>
      <c r="C23" s="83">
        <f>VLOOKUP(B23,Spreadsheet!$I$17:$K$493,3,FALSE)</f>
        <v>0</v>
      </c>
    </row>
    <row r="24" spans="1:3" x14ac:dyDescent="0.25">
      <c r="A24" s="83" t="s">
        <v>451</v>
      </c>
      <c r="B24" s="83"/>
      <c r="C24" s="83">
        <f>VLOOKUP(A24,Spreadsheet!$H$17:$K$493,4,FALSE)</f>
        <v>0</v>
      </c>
    </row>
    <row r="25" spans="1:3" x14ac:dyDescent="0.25">
      <c r="A25" s="83" t="s">
        <v>472</v>
      </c>
      <c r="B25" s="83"/>
      <c r="C25" s="83" t="e">
        <f>INDEX(Spreadsheet!K372:K378,MATCH("Variation",Spreadsheet!K372:K378,0),1)</f>
        <v>#N/A</v>
      </c>
    </row>
    <row r="26" spans="1:3" x14ac:dyDescent="0.25">
      <c r="A26" s="83" t="s">
        <v>547</v>
      </c>
      <c r="B26" s="83"/>
      <c r="C26" s="83" t="e">
        <f>INDEX(Spreadsheet!K403:K407,MATCH("Variation",Spreadsheet!K403:K407,0),1)</f>
        <v>#N/A</v>
      </c>
    </row>
    <row r="29" spans="1:3" ht="15" customHeight="1" x14ac:dyDescent="0.25"/>
    <row r="32" spans="1:3" ht="15" customHeight="1" x14ac:dyDescent="0.25"/>
    <row r="48" ht="15" customHeight="1" x14ac:dyDescent="0.25"/>
    <row r="56" ht="15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X50"/>
  <sheetViews>
    <sheetView showGridLines="0" topLeftCell="N50" zoomScaleNormal="100" workbookViewId="0">
      <selection activeCell="AE67" sqref="AE67"/>
    </sheetView>
  </sheetViews>
  <sheetFormatPr defaultRowHeight="15" x14ac:dyDescent="0.25"/>
  <cols>
    <col min="1" max="1" width="3" customWidth="1"/>
    <col min="2" max="2" width="32.28515625" style="1" bestFit="1" customWidth="1"/>
    <col min="3" max="3" width="12" style="1" bestFit="1" customWidth="1"/>
    <col min="4" max="4" width="15.85546875" style="1" bestFit="1" customWidth="1"/>
    <col min="5" max="5" width="17.42578125" style="1" bestFit="1" customWidth="1"/>
    <col min="6" max="6" width="15.7109375" style="1" customWidth="1"/>
    <col min="7" max="7" width="14.85546875" customWidth="1"/>
    <col min="8" max="10" width="14.7109375" customWidth="1"/>
    <col min="11" max="11" width="30.7109375" bestFit="1" customWidth="1"/>
    <col min="12" max="12" width="12" bestFit="1" customWidth="1"/>
    <col min="13" max="13" width="15.85546875" bestFit="1" customWidth="1"/>
    <col min="14" max="14" width="17.42578125" bestFit="1" customWidth="1"/>
    <col min="15" max="15" width="17.42578125" customWidth="1"/>
    <col min="16" max="16" width="30.42578125" customWidth="1"/>
    <col min="17" max="17" width="49.42578125" bestFit="1" customWidth="1"/>
    <col min="18" max="18" width="12" bestFit="1" customWidth="1"/>
    <col min="19" max="19" width="15.85546875" bestFit="1" customWidth="1"/>
    <col min="20" max="20" width="18.7109375" customWidth="1"/>
    <col min="21" max="22" width="17.42578125" customWidth="1"/>
    <col min="23" max="23" width="35.7109375" customWidth="1"/>
    <col min="24" max="24" width="31.85546875" bestFit="1" customWidth="1"/>
    <col min="25" max="25" width="12" bestFit="1" customWidth="1"/>
    <col min="26" max="26" width="19" customWidth="1"/>
    <col min="27" max="27" width="17.42578125" bestFit="1" customWidth="1"/>
    <col min="28" max="29" width="17.42578125" customWidth="1"/>
    <col min="30" max="30" width="37.28515625" customWidth="1"/>
    <col min="31" max="31" width="39.140625" bestFit="1" customWidth="1"/>
    <col min="32" max="32" width="12" bestFit="1" customWidth="1"/>
    <col min="33" max="33" width="15.85546875" bestFit="1" customWidth="1"/>
    <col min="34" max="34" width="17.42578125" bestFit="1" customWidth="1"/>
    <col min="35" max="35" width="17.42578125" customWidth="1"/>
    <col min="36" max="36" width="35.85546875" customWidth="1"/>
    <col min="37" max="37" width="50.85546875" bestFit="1" customWidth="1"/>
    <col min="38" max="38" width="12" bestFit="1" customWidth="1"/>
    <col min="39" max="39" width="15.85546875" bestFit="1" customWidth="1"/>
    <col min="40" max="40" width="17.42578125" bestFit="1" customWidth="1"/>
    <col min="41" max="41" width="17.42578125" customWidth="1"/>
    <col min="42" max="42" width="37.42578125" customWidth="1"/>
    <col min="43" max="43" width="38.42578125" bestFit="1" customWidth="1"/>
    <col min="44" max="44" width="12" bestFit="1" customWidth="1"/>
    <col min="45" max="45" width="17.42578125" bestFit="1" customWidth="1"/>
    <col min="46" max="46" width="15.85546875" bestFit="1" customWidth="1"/>
    <col min="47" max="47" width="15.7109375" bestFit="1" customWidth="1"/>
  </cols>
  <sheetData>
    <row r="1" spans="2:50" ht="15.75" customHeight="1" x14ac:dyDescent="0.25"/>
    <row r="2" spans="2:50" ht="15.75" x14ac:dyDescent="0.25">
      <c r="B2" s="157" t="s">
        <v>137</v>
      </c>
      <c r="C2" s="158"/>
      <c r="D2" s="158"/>
      <c r="E2" s="159"/>
      <c r="G2" s="1"/>
      <c r="K2" s="157" t="s">
        <v>138</v>
      </c>
      <c r="L2" s="158"/>
      <c r="M2" s="158"/>
      <c r="N2" s="159"/>
      <c r="Q2" s="157" t="s">
        <v>406</v>
      </c>
      <c r="R2" s="158"/>
      <c r="S2" s="158"/>
      <c r="T2" s="158"/>
      <c r="U2" s="158"/>
      <c r="V2" s="159"/>
      <c r="X2" s="157" t="s">
        <v>139</v>
      </c>
      <c r="Y2" s="158"/>
      <c r="Z2" s="158"/>
      <c r="AA2" s="158"/>
      <c r="AB2" s="158"/>
      <c r="AC2" s="159"/>
      <c r="AE2" s="157" t="s">
        <v>140</v>
      </c>
      <c r="AF2" s="158"/>
      <c r="AG2" s="158"/>
      <c r="AH2" s="159"/>
      <c r="AK2" s="157" t="s">
        <v>136</v>
      </c>
      <c r="AL2" s="158"/>
      <c r="AM2" s="158"/>
      <c r="AN2" s="159"/>
      <c r="AQ2" s="157" t="s">
        <v>260</v>
      </c>
      <c r="AR2" s="158"/>
      <c r="AS2" s="158"/>
      <c r="AT2" s="158"/>
      <c r="AU2" s="159"/>
      <c r="AX2" s="19" t="s">
        <v>164</v>
      </c>
    </row>
    <row r="3" spans="2:50" ht="15.75" x14ac:dyDescent="0.25">
      <c r="B3" s="13" t="s">
        <v>153</v>
      </c>
      <c r="C3" s="12" t="s">
        <v>16</v>
      </c>
      <c r="D3" s="12" t="s">
        <v>412</v>
      </c>
      <c r="E3" s="14" t="s">
        <v>413</v>
      </c>
      <c r="G3" s="1"/>
      <c r="K3" s="13" t="s">
        <v>154</v>
      </c>
      <c r="L3" s="12" t="s">
        <v>16</v>
      </c>
      <c r="M3" s="12" t="s">
        <v>412</v>
      </c>
      <c r="N3" s="14" t="s">
        <v>413</v>
      </c>
      <c r="Q3" s="13" t="s">
        <v>155</v>
      </c>
      <c r="R3" s="12" t="s">
        <v>16</v>
      </c>
      <c r="S3" s="12" t="s">
        <v>412</v>
      </c>
      <c r="T3" s="14" t="s">
        <v>413</v>
      </c>
      <c r="U3" s="27" t="s">
        <v>415</v>
      </c>
      <c r="V3" s="27" t="s">
        <v>414</v>
      </c>
      <c r="X3" s="13" t="s">
        <v>157</v>
      </c>
      <c r="Y3" s="12" t="s">
        <v>16</v>
      </c>
      <c r="Z3" s="12" t="s">
        <v>412</v>
      </c>
      <c r="AA3" s="14" t="s">
        <v>413</v>
      </c>
      <c r="AB3" s="27" t="s">
        <v>415</v>
      </c>
      <c r="AC3" s="27" t="s">
        <v>414</v>
      </c>
      <c r="AE3" s="13" t="s">
        <v>158</v>
      </c>
      <c r="AF3" s="12" t="s">
        <v>16</v>
      </c>
      <c r="AG3" s="12" t="s">
        <v>412</v>
      </c>
      <c r="AH3" s="14" t="s">
        <v>413</v>
      </c>
      <c r="AK3" s="13" t="s">
        <v>156</v>
      </c>
      <c r="AL3" s="12" t="s">
        <v>16</v>
      </c>
      <c r="AM3" s="12" t="s">
        <v>412</v>
      </c>
      <c r="AN3" s="14" t="s">
        <v>413</v>
      </c>
      <c r="AQ3" s="28" t="s">
        <v>261</v>
      </c>
      <c r="AR3" s="29" t="s">
        <v>16</v>
      </c>
      <c r="AS3" s="29" t="s">
        <v>18</v>
      </c>
      <c r="AT3" s="27" t="s">
        <v>17</v>
      </c>
      <c r="AU3" s="27" t="s">
        <v>163</v>
      </c>
      <c r="AX3" t="s">
        <v>16</v>
      </c>
    </row>
    <row r="4" spans="2:50" ht="15.75" x14ac:dyDescent="0.25">
      <c r="B4" s="10" t="s">
        <v>118</v>
      </c>
      <c r="C4" s="8">
        <f>COUNTIF(Spreadsheet!$K$17:$K$45,C3)</f>
        <v>0</v>
      </c>
      <c r="D4" s="8">
        <f>COUNTIF(Spreadsheet!$K$17:$K$45,D3)</f>
        <v>0</v>
      </c>
      <c r="E4" s="15">
        <f>COUNTIF(Spreadsheet!$K$17:$K$45,E3)</f>
        <v>0</v>
      </c>
      <c r="G4" s="1"/>
      <c r="K4" s="6" t="s">
        <v>57</v>
      </c>
      <c r="L4" s="8">
        <f>COUNTIF(Spreadsheet!$K$129:$K$133,L3)</f>
        <v>0</v>
      </c>
      <c r="M4" s="8">
        <f>COUNTIF(Spreadsheet!$K$129:$K$133,M3)</f>
        <v>0</v>
      </c>
      <c r="N4" s="15">
        <f>COUNTIF(Spreadsheet!$K$129:$K$133,N3)</f>
        <v>0</v>
      </c>
      <c r="Q4" s="6" t="s">
        <v>116</v>
      </c>
      <c r="R4" s="8">
        <f>COUNTIF(Spreadsheet!$K$194:$K$208,R3)</f>
        <v>0</v>
      </c>
      <c r="S4" s="8">
        <f>COUNTIF(Spreadsheet!$K$194:$K$208,S3)</f>
        <v>0</v>
      </c>
      <c r="T4" s="8">
        <f>COUNTIF(Spreadsheet!$K$194:$K$208,T3)</f>
        <v>0</v>
      </c>
      <c r="U4" s="8">
        <f>COUNTIF(Settings!$C$4:$C$13,T3)</f>
        <v>0</v>
      </c>
      <c r="V4" s="15">
        <f>T4-U4</f>
        <v>0</v>
      </c>
      <c r="X4" s="6" t="s">
        <v>145</v>
      </c>
      <c r="Y4" s="8">
        <f>COUNTIF(Spreadsheet!$K$317:$K$321,Y3)</f>
        <v>0</v>
      </c>
      <c r="Z4" s="8">
        <f>COUNTIF(Spreadsheet!$K$317:$K$321,Z3)</f>
        <v>0</v>
      </c>
      <c r="AA4" s="8">
        <f>COUNTIF(Spreadsheet!$K$317:$K$321,AA3)</f>
        <v>0</v>
      </c>
      <c r="AB4" s="8">
        <f>COUNTIF(Settings!C16,AA3)</f>
        <v>0</v>
      </c>
      <c r="AC4" s="15">
        <f>AA4-AB4</f>
        <v>0</v>
      </c>
      <c r="AE4" s="6" t="s">
        <v>240</v>
      </c>
      <c r="AF4" s="8">
        <f>COUNTIF(Spreadsheet!$K$440,AF3)</f>
        <v>0</v>
      </c>
      <c r="AG4" s="8">
        <f>COUNTIF(Spreadsheet!$K$440,AG3)</f>
        <v>0</v>
      </c>
      <c r="AH4" s="15">
        <f>COUNTIF(Spreadsheet!$K$440,AH3)</f>
        <v>0</v>
      </c>
      <c r="AK4" s="25" t="s">
        <v>240</v>
      </c>
      <c r="AL4" s="26">
        <f>COUNTIF(Spreadsheet!$K$469,AL3)</f>
        <v>0</v>
      </c>
      <c r="AM4" s="26">
        <f>COUNTIF(Spreadsheet!$K$469,AM3)</f>
        <v>0</v>
      </c>
      <c r="AN4" s="93">
        <f>COUNTIF(Spreadsheet!$K$469,AN3)</f>
        <v>0</v>
      </c>
      <c r="AQ4" s="30" t="s">
        <v>262</v>
      </c>
      <c r="AR4" s="31"/>
      <c r="AS4" s="31"/>
      <c r="AT4" s="31"/>
      <c r="AU4" s="32"/>
      <c r="AX4" t="s">
        <v>18</v>
      </c>
    </row>
    <row r="5" spans="2:50" ht="15.75" x14ac:dyDescent="0.25">
      <c r="B5" s="10" t="s">
        <v>119</v>
      </c>
      <c r="C5" s="8">
        <f>COUNTIF(Spreadsheet!$K$48:$K$53,C3)</f>
        <v>0</v>
      </c>
      <c r="D5" s="8">
        <f>COUNTIF(Spreadsheet!$K$48:$K$53,D3)</f>
        <v>0</v>
      </c>
      <c r="E5" s="15">
        <f>COUNTIF(Spreadsheet!$K$48:$K$53,E3)</f>
        <v>0</v>
      </c>
      <c r="G5" s="1"/>
      <c r="K5" s="6" t="s">
        <v>58</v>
      </c>
      <c r="L5" s="8">
        <f>COUNTIF(Spreadsheet!$K$136:$K$141,L3)</f>
        <v>0</v>
      </c>
      <c r="M5" s="8">
        <f>COUNTIF(Spreadsheet!$K$136:$K$141,M3)</f>
        <v>0</v>
      </c>
      <c r="N5" s="15">
        <f>COUNTIF(Spreadsheet!$K$136:$K$141,N3)</f>
        <v>0</v>
      </c>
      <c r="Q5" s="6" t="s">
        <v>141</v>
      </c>
      <c r="R5" s="8">
        <f>COUNTIF(Spreadsheet!$K$211:$K$213,R3)</f>
        <v>0</v>
      </c>
      <c r="S5" s="8">
        <f>COUNTIF(Spreadsheet!$K$211:$K$213,S3)</f>
        <v>0</v>
      </c>
      <c r="T5" s="8">
        <f>COUNTIF(Spreadsheet!$K$211:$K$213,T3)</f>
        <v>0</v>
      </c>
      <c r="U5" s="8">
        <v>0</v>
      </c>
      <c r="V5" s="15">
        <f t="shared" ref="V5:V11" si="0">T5-U5</f>
        <v>0</v>
      </c>
      <c r="X5" s="6" t="s">
        <v>143</v>
      </c>
      <c r="Y5" s="8">
        <f>COUNTIF(Spreadsheet!$K$324:$K$326,Y3)</f>
        <v>0</v>
      </c>
      <c r="Z5" s="8">
        <f>COUNTIF(Spreadsheet!$K$324:$K$326,Z3)</f>
        <v>0</v>
      </c>
      <c r="AA5" s="8">
        <f>AB5</f>
        <v>0</v>
      </c>
      <c r="AB5" s="8">
        <f>IF(COUNTIF(Settings!C17:C19,AA3)&gt;0,1,0)</f>
        <v>0</v>
      </c>
      <c r="AC5" s="15">
        <v>0</v>
      </c>
      <c r="AE5" s="6" t="s">
        <v>150</v>
      </c>
      <c r="AF5" s="8">
        <f>COUNTIF(Spreadsheet!$K$443,AF3)</f>
        <v>0</v>
      </c>
      <c r="AG5" s="8">
        <f>COUNTIF(Spreadsheet!$K$443,AG3)</f>
        <v>0</v>
      </c>
      <c r="AH5" s="15">
        <f>COUNTIF(Spreadsheet!$K$443,AH3)</f>
        <v>0</v>
      </c>
      <c r="AK5" s="25" t="s">
        <v>135</v>
      </c>
      <c r="AL5" s="26">
        <f>COUNTIF(Spreadsheet!$K$472,AL3)</f>
        <v>0</v>
      </c>
      <c r="AM5" s="26">
        <f>COUNTIF(Spreadsheet!$K$472,AM3)</f>
        <v>0</v>
      </c>
      <c r="AN5" s="93">
        <f>COUNTIF(Spreadsheet!$K$472,AN3)</f>
        <v>0</v>
      </c>
      <c r="AX5" s="18" t="s">
        <v>17</v>
      </c>
    </row>
    <row r="6" spans="2:50" ht="15.75" x14ac:dyDescent="0.25">
      <c r="B6" s="10" t="s">
        <v>120</v>
      </c>
      <c r="C6" s="8">
        <f>COUNTIF(Spreadsheet!$K$56:$K$66,C3)</f>
        <v>0</v>
      </c>
      <c r="D6" s="8">
        <f>COUNTIF(Spreadsheet!$K$56:$K$66,D3)</f>
        <v>0</v>
      </c>
      <c r="E6" s="15">
        <f>COUNTIF(Spreadsheet!$K$56:$K$66,E3)</f>
        <v>0</v>
      </c>
      <c r="G6" s="1"/>
      <c r="K6" s="6" t="s">
        <v>59</v>
      </c>
      <c r="L6" s="8">
        <f>COUNTIF(Spreadsheet!$K$144:$K$161,L3)</f>
        <v>0</v>
      </c>
      <c r="M6" s="8">
        <f>COUNTIF(Spreadsheet!$K$144:$K$161,M3)</f>
        <v>0</v>
      </c>
      <c r="N6" s="15">
        <f>COUNTIF(Spreadsheet!$K$144:$K$161,N3)</f>
        <v>0</v>
      </c>
      <c r="Q6" s="6" t="s">
        <v>142</v>
      </c>
      <c r="R6" s="8">
        <f>COUNTIF(Spreadsheet!$K$216:$K$222,R3)</f>
        <v>0</v>
      </c>
      <c r="S6" s="8">
        <f>COUNTIF(Spreadsheet!$K$216:$K$222,S3)</f>
        <v>0</v>
      </c>
      <c r="T6" s="8">
        <f>COUNTIF(Spreadsheet!$K$216:$K$222,T3)</f>
        <v>0</v>
      </c>
      <c r="U6" s="8">
        <f>COUNTIF(Settings!C14,T3)</f>
        <v>0</v>
      </c>
      <c r="V6" s="15">
        <f t="shared" si="0"/>
        <v>0</v>
      </c>
      <c r="X6" s="6" t="s">
        <v>403</v>
      </c>
      <c r="Y6" s="8">
        <f>COUNTIF(Spreadsheet!$K$329:$K$333,Y3)</f>
        <v>0</v>
      </c>
      <c r="Z6" s="8">
        <f>COUNTIF(Spreadsheet!$K$329:$K$333,Z3)</f>
        <v>0</v>
      </c>
      <c r="AA6" s="8">
        <f>COUNTIF(Spreadsheet!$K$329:$K$333,AA3)</f>
        <v>0</v>
      </c>
      <c r="AB6" s="8">
        <v>0</v>
      </c>
      <c r="AC6" s="15">
        <f t="shared" ref="AC6:AC12" si="1">AA6-AB6</f>
        <v>0</v>
      </c>
      <c r="AE6" s="6" t="s">
        <v>151</v>
      </c>
      <c r="AF6" s="8">
        <f>COUNTIF(Spreadsheet!$K$446:$K$446,AF3)</f>
        <v>0</v>
      </c>
      <c r="AG6" s="8">
        <f>COUNTIF(Spreadsheet!$K$446:$K$446,AG3)</f>
        <v>0</v>
      </c>
      <c r="AH6" s="15">
        <f>COUNTIF(Spreadsheet!$K$446:$K$446,AH3)</f>
        <v>0</v>
      </c>
      <c r="AK6" s="25" t="s">
        <v>236</v>
      </c>
      <c r="AL6" s="26">
        <f>COUNTIF(Spreadsheet!$K$475,AL3)</f>
        <v>0</v>
      </c>
      <c r="AM6" s="26">
        <f>COUNTIF(Spreadsheet!$K$475,AM3)</f>
        <v>0</v>
      </c>
      <c r="AN6" s="93">
        <f>COUNTIF(Spreadsheet!$K$475,AN3)</f>
        <v>0</v>
      </c>
      <c r="AX6" s="18" t="s">
        <v>163</v>
      </c>
    </row>
    <row r="7" spans="2:50" ht="15.75" x14ac:dyDescent="0.25">
      <c r="B7" s="10" t="s">
        <v>121</v>
      </c>
      <c r="C7" s="8">
        <f>COUNTIF(Spreadsheet!$K$69:$K$116,C3)</f>
        <v>0</v>
      </c>
      <c r="D7" s="8">
        <f>COUNTIF(Spreadsheet!$K$69:$K$116,D3)</f>
        <v>0</v>
      </c>
      <c r="E7" s="15">
        <f>COUNTIF(Spreadsheet!$K$69:$K$116,E3)</f>
        <v>0</v>
      </c>
      <c r="G7" s="1"/>
      <c r="K7" s="6" t="s">
        <v>60</v>
      </c>
      <c r="L7" s="8">
        <f>COUNTIF(Spreadsheet!$K$164:$K$172,L3)</f>
        <v>0</v>
      </c>
      <c r="M7" s="8">
        <f>COUNTIF(Spreadsheet!$K$164:$K$172,M3)</f>
        <v>0</v>
      </c>
      <c r="N7" s="15">
        <f>COUNTIF(Spreadsheet!$K$164:$K$172,N3)</f>
        <v>0</v>
      </c>
      <c r="Q7" s="6" t="s">
        <v>144</v>
      </c>
      <c r="R7" s="8">
        <f>COUNTIF(Spreadsheet!$K$225:$K$282,R3)</f>
        <v>0</v>
      </c>
      <c r="S7" s="8">
        <f>COUNTIF(Spreadsheet!$K$225:$K$282,S3)</f>
        <v>0</v>
      </c>
      <c r="T7" s="8">
        <f>U7</f>
        <v>0</v>
      </c>
      <c r="U7" s="8">
        <f>COUNTIF(Settings!C15:C15,T3)</f>
        <v>0</v>
      </c>
      <c r="V7" s="15">
        <f t="shared" si="0"/>
        <v>0</v>
      </c>
      <c r="X7" s="6" t="s">
        <v>146</v>
      </c>
      <c r="Y7" s="8">
        <f>COUNTIF(Spreadsheet!$K$336:$K$347,Y3)</f>
        <v>0</v>
      </c>
      <c r="Z7" s="8">
        <f>COUNTIF(Spreadsheet!$K$336:$K$347,Z3)</f>
        <v>0</v>
      </c>
      <c r="AA7" s="8">
        <f>COUNTIF(Spreadsheet!K336,AA3)+'Dashboard Data'!AB7</f>
        <v>0</v>
      </c>
      <c r="AB7" s="8">
        <f>COUNTIF(Settings!C20:C21,AA3)</f>
        <v>0</v>
      </c>
      <c r="AC7" s="15">
        <f t="shared" si="1"/>
        <v>0</v>
      </c>
      <c r="AE7" s="6" t="s">
        <v>432</v>
      </c>
      <c r="AF7" s="8">
        <f>COUNTIF(Spreadsheet!$K$449:$K$452,AF3)</f>
        <v>0</v>
      </c>
      <c r="AG7" s="8">
        <f>COUNTIF(Spreadsheet!$K$449:$K$452,AG3)</f>
        <v>0</v>
      </c>
      <c r="AH7" s="15">
        <f>COUNTIF(Spreadsheet!$K$449:$K$452,AH3)</f>
        <v>0</v>
      </c>
      <c r="AK7" s="25" t="s">
        <v>237</v>
      </c>
      <c r="AL7" s="26">
        <f>COUNTIF(Spreadsheet!$K$478,AL3)</f>
        <v>0</v>
      </c>
      <c r="AM7" s="26">
        <f>COUNTIF(Spreadsheet!$K$478,AM3)</f>
        <v>0</v>
      </c>
      <c r="AN7" s="93">
        <f>COUNTIF(Spreadsheet!$K$478,AN3)</f>
        <v>0</v>
      </c>
    </row>
    <row r="8" spans="2:50" ht="15.75" x14ac:dyDescent="0.25">
      <c r="B8" s="11" t="s">
        <v>115</v>
      </c>
      <c r="C8" s="9">
        <f>COUNTIF(Spreadsheet!$K$119:$K$125,C3)</f>
        <v>0</v>
      </c>
      <c r="D8" s="9">
        <f>COUNTIF(Spreadsheet!$K$119:$K$125,D3)</f>
        <v>0</v>
      </c>
      <c r="E8" s="16">
        <f>COUNTIF(Spreadsheet!$K$119:$K$125,E3)</f>
        <v>0</v>
      </c>
      <c r="G8" s="1"/>
      <c r="K8" s="6" t="s">
        <v>61</v>
      </c>
      <c r="L8" s="8">
        <f>COUNTIF(Spreadsheet!$K$175:$K$184,L3)</f>
        <v>0</v>
      </c>
      <c r="M8" s="8">
        <f>COUNTIF(Spreadsheet!$K$175:$K$184,M3)</f>
        <v>0</v>
      </c>
      <c r="N8" s="15">
        <f>COUNTIF(Spreadsheet!$K$175:$K$184,N3)</f>
        <v>0</v>
      </c>
      <c r="Q8" s="6" t="s">
        <v>117</v>
      </c>
      <c r="R8" s="8">
        <f>COUNTIF(Spreadsheet!$K$285:$K$290,R3)</f>
        <v>0</v>
      </c>
      <c r="S8" s="8">
        <f>COUNTIF(Spreadsheet!$K$285:$K$290,S3)</f>
        <v>0</v>
      </c>
      <c r="T8" s="8">
        <f>COUNTIF(Spreadsheet!$K$285:$K$290,T3)</f>
        <v>0</v>
      </c>
      <c r="U8" s="8">
        <v>0</v>
      </c>
      <c r="V8" s="15">
        <f t="shared" si="0"/>
        <v>0</v>
      </c>
      <c r="X8" s="6" t="s">
        <v>147</v>
      </c>
      <c r="Y8" s="8">
        <f>COUNTIF(Spreadsheet!$K$350:$K$382,Y3)</f>
        <v>0</v>
      </c>
      <c r="Z8" s="8">
        <f>COUNTIF(Spreadsheet!$K$350:$K$382,Z3)</f>
        <v>0</v>
      </c>
      <c r="AA8" s="8">
        <f>COUNTIF(Spreadsheet!$K$350:$K$371,$AA$3)+COUNTIF(Spreadsheet!$K$379:$K$382,$AA$3)+AB8</f>
        <v>0</v>
      </c>
      <c r="AB8" s="8">
        <f>COUNTIF(Settings!C22:C25,AA3)</f>
        <v>0</v>
      </c>
      <c r="AC8" s="15">
        <f t="shared" si="1"/>
        <v>0</v>
      </c>
      <c r="AE8" s="6" t="s">
        <v>443</v>
      </c>
      <c r="AF8" s="8">
        <f>COUNTIF(Spreadsheet!$K$455,AF3)</f>
        <v>0</v>
      </c>
      <c r="AG8" s="8">
        <f>COUNTIF(Spreadsheet!$K$455,AG3)</f>
        <v>0</v>
      </c>
      <c r="AH8" s="15">
        <f>COUNTIF(Spreadsheet!$K$455,AH3)</f>
        <v>0</v>
      </c>
      <c r="AK8" s="25" t="s">
        <v>238</v>
      </c>
      <c r="AL8" s="26">
        <f>COUNTIF(Spreadsheet!$K$481:$K$486,AL3)</f>
        <v>0</v>
      </c>
      <c r="AM8" s="26">
        <f>COUNTIF(Spreadsheet!$K$481:$K$486,AM3)</f>
        <v>0</v>
      </c>
      <c r="AN8" s="93">
        <f>COUNTIF(Spreadsheet!$K$481:$K$486,AN3)</f>
        <v>0</v>
      </c>
    </row>
    <row r="9" spans="2:50" s="2" customFormat="1" ht="15.75" x14ac:dyDescent="0.25">
      <c r="B9" s="3"/>
      <c r="C9" s="4"/>
      <c r="D9" s="4"/>
      <c r="E9" s="4"/>
      <c r="F9" s="4"/>
      <c r="K9" s="7" t="s">
        <v>62</v>
      </c>
      <c r="L9" s="9">
        <f>COUNTIF(Spreadsheet!$K$187:$K$190,L3)</f>
        <v>0</v>
      </c>
      <c r="M9" s="9">
        <f>COUNTIF(Spreadsheet!$K$187:$K$190,M3)</f>
        <v>0</v>
      </c>
      <c r="N9" s="16">
        <f>COUNTIF(Spreadsheet!$K$187:$K$190,N3)</f>
        <v>0</v>
      </c>
      <c r="O9"/>
      <c r="Q9" s="6" t="s">
        <v>401</v>
      </c>
      <c r="R9" s="8">
        <f>COUNTIF(Spreadsheet!$K$293:$K$296,R3)</f>
        <v>0</v>
      </c>
      <c r="S9" s="8">
        <f>COUNTIF(Spreadsheet!$K$293:$K$296,S3)</f>
        <v>0</v>
      </c>
      <c r="T9" s="8">
        <f>COUNTIF(Spreadsheet!$K$293:$K$296,T3)</f>
        <v>0</v>
      </c>
      <c r="U9" s="8">
        <v>0</v>
      </c>
      <c r="V9" s="15">
        <f t="shared" si="0"/>
        <v>0</v>
      </c>
      <c r="X9" s="6" t="s">
        <v>148</v>
      </c>
      <c r="Y9" s="8">
        <f>COUNTIF(Spreadsheet!$K$385:$K$413,Y3)</f>
        <v>0</v>
      </c>
      <c r="Z9" s="8">
        <f>COUNTIF(Spreadsheet!$K$385:$K$413,Z3)</f>
        <v>0</v>
      </c>
      <c r="AA9" s="8">
        <f>COUNTIF(Spreadsheet!$K$385:$K$402,AA3)+COUNTIF(Spreadsheet!$K$408:$K$413,$AA$3)+AB9</f>
        <v>0</v>
      </c>
      <c r="AB9" s="8">
        <f>COUNTIF(Settings!C26:C26,AA3)</f>
        <v>0</v>
      </c>
      <c r="AC9" s="15">
        <f t="shared" si="1"/>
        <v>0</v>
      </c>
      <c r="AE9" s="6" t="s">
        <v>444</v>
      </c>
      <c r="AF9" s="8">
        <f>COUNTIF(Spreadsheet!$K$458:$K$458,AF3)</f>
        <v>0</v>
      </c>
      <c r="AG9" s="8">
        <f>COUNTIF(Spreadsheet!$K$458:$K$458,AG3)</f>
        <v>0</v>
      </c>
      <c r="AH9" s="15">
        <f>COUNTIF(Spreadsheet!$K$458:$K$458,AH3)</f>
        <v>0</v>
      </c>
      <c r="AI9"/>
      <c r="AK9" s="25" t="s">
        <v>239</v>
      </c>
      <c r="AL9" s="26">
        <f>COUNTIF(Spreadsheet!$K$489,AL3)</f>
        <v>0</v>
      </c>
      <c r="AM9" s="26">
        <f>COUNTIF(Spreadsheet!$K$489,AM3)</f>
        <v>0</v>
      </c>
      <c r="AN9" s="93">
        <f>COUNTIF(Spreadsheet!$K$489,AN3)</f>
        <v>0</v>
      </c>
      <c r="AO9"/>
      <c r="AQ9"/>
      <c r="AR9"/>
      <c r="AS9"/>
      <c r="AT9"/>
      <c r="AU9"/>
      <c r="AV9"/>
    </row>
    <row r="10" spans="2:50" s="2" customFormat="1" ht="15.75" x14ac:dyDescent="0.25">
      <c r="B10" s="1"/>
      <c r="C10" s="1"/>
      <c r="D10" s="1"/>
      <c r="E10" s="1"/>
      <c r="F10" s="1"/>
      <c r="K10"/>
      <c r="L10"/>
      <c r="M10"/>
      <c r="N10"/>
      <c r="O10"/>
      <c r="Q10" s="6" t="s">
        <v>402</v>
      </c>
      <c r="R10" s="8">
        <f>COUNTIF(Spreadsheet!$K$299:$K$307,R3)</f>
        <v>0</v>
      </c>
      <c r="S10" s="8">
        <f>COUNTIF(Spreadsheet!$K$299:$K$307,S3)</f>
        <v>0</v>
      </c>
      <c r="T10" s="8">
        <f>COUNTIF(Spreadsheet!$K$299:$K$307,T3)</f>
        <v>0</v>
      </c>
      <c r="U10" s="8">
        <v>0</v>
      </c>
      <c r="V10" s="15">
        <f t="shared" si="0"/>
        <v>0</v>
      </c>
      <c r="X10" s="6" t="s">
        <v>404</v>
      </c>
      <c r="Y10" s="8">
        <f>COUNTIF(Spreadsheet!$K$417:$K$424,Y3)</f>
        <v>0</v>
      </c>
      <c r="Z10" s="8">
        <f>COUNTIF(Spreadsheet!$K$417:$K$424,Z3)</f>
        <v>0</v>
      </c>
      <c r="AA10" s="8">
        <f>COUNTIF(Spreadsheet!$K$417:$K$424,AA3)</f>
        <v>0</v>
      </c>
      <c r="AB10" s="8">
        <v>0</v>
      </c>
      <c r="AC10" s="15">
        <f t="shared" si="1"/>
        <v>0</v>
      </c>
      <c r="AE10" s="6" t="s">
        <v>445</v>
      </c>
      <c r="AF10" s="8">
        <f>COUNTIF(Spreadsheet!$K$461:$K$461,AF3)</f>
        <v>0</v>
      </c>
      <c r="AG10" s="8">
        <f>COUNTIF(Spreadsheet!$K$461:$K$461,AG3)</f>
        <v>0</v>
      </c>
      <c r="AH10" s="15">
        <f>COUNTIF(Spreadsheet!$K$461:$K$461,AH3)</f>
        <v>0</v>
      </c>
      <c r="AI10"/>
      <c r="AK10" s="25" t="s">
        <v>259</v>
      </c>
      <c r="AL10" s="26">
        <f>COUNTIF(Spreadsheet!$K$492,AL3)</f>
        <v>0</v>
      </c>
      <c r="AM10" s="26">
        <f>COUNTIF(Spreadsheet!$K$492,AM3)</f>
        <v>0</v>
      </c>
      <c r="AN10" s="93">
        <f>COUNTIF(Spreadsheet!$K$492,AN3)</f>
        <v>0</v>
      </c>
      <c r="AO10"/>
      <c r="AQ10"/>
      <c r="AR10"/>
      <c r="AS10"/>
      <c r="AT10"/>
      <c r="AU10"/>
      <c r="AV10"/>
    </row>
    <row r="11" spans="2:50" s="2" customFormat="1" ht="15.75" x14ac:dyDescent="0.25">
      <c r="B11" s="1"/>
      <c r="C11" s="1"/>
      <c r="D11" s="1"/>
      <c r="E11" s="1"/>
      <c r="F11" s="1"/>
      <c r="K11"/>
      <c r="L11"/>
      <c r="M11"/>
      <c r="N11"/>
      <c r="O11"/>
      <c r="Q11" s="7" t="s">
        <v>425</v>
      </c>
      <c r="R11" s="9">
        <f>COUNTIF(Spreadsheet!$K$310:$K$313,R3)</f>
        <v>0</v>
      </c>
      <c r="S11" s="9">
        <f>COUNTIF(Spreadsheet!$K$310:$K$313,S3)</f>
        <v>0</v>
      </c>
      <c r="T11" s="9">
        <f>COUNTIF(Spreadsheet!$K$310:$K$313,T3)</f>
        <v>0</v>
      </c>
      <c r="U11" s="9">
        <v>0</v>
      </c>
      <c r="V11" s="16">
        <f t="shared" si="0"/>
        <v>0</v>
      </c>
      <c r="X11" s="6" t="s">
        <v>405</v>
      </c>
      <c r="Y11" s="8">
        <f>COUNTIF(Spreadsheet!$K$427,Y3)</f>
        <v>0</v>
      </c>
      <c r="Z11" s="8">
        <f>COUNTIF(Spreadsheet!$K$427,Z3)</f>
        <v>0</v>
      </c>
      <c r="AA11" s="8">
        <f>COUNTIF(Spreadsheet!$K$427,AA3)</f>
        <v>0</v>
      </c>
      <c r="AB11" s="8">
        <v>0</v>
      </c>
      <c r="AC11" s="15">
        <f t="shared" si="1"/>
        <v>0</v>
      </c>
      <c r="AE11" s="6" t="s">
        <v>152</v>
      </c>
      <c r="AF11" s="8">
        <f>COUNTIF(Spreadsheet!$K$464:$K$465,AF3)</f>
        <v>0</v>
      </c>
      <c r="AG11" s="8">
        <f>COUNTIF(Spreadsheet!$K$464:$K$465,AG3)</f>
        <v>0</v>
      </c>
      <c r="AH11" s="15">
        <f>COUNTIF(Spreadsheet!$K$464:$K$465,AH3)</f>
        <v>0</v>
      </c>
      <c r="AI11"/>
      <c r="AK11" s="7" t="s">
        <v>419</v>
      </c>
      <c r="AL11" s="5">
        <f>COUNTIF(Spreadsheet!$K$495:$K$495,AL4)</f>
        <v>0</v>
      </c>
      <c r="AM11" s="5">
        <f>COUNTIF(Spreadsheet!$K$495:$K$495,AM4)</f>
        <v>0</v>
      </c>
      <c r="AN11" s="95">
        <f>COUNTIF(Spreadsheet!$K$495:$K$495,AN4)</f>
        <v>0</v>
      </c>
      <c r="AO11" s="96"/>
      <c r="AQ11"/>
      <c r="AR11"/>
      <c r="AS11"/>
      <c r="AT11"/>
      <c r="AU11"/>
      <c r="AV11"/>
    </row>
    <row r="12" spans="2:50" s="2" customFormat="1" ht="15.75" x14ac:dyDescent="0.25">
      <c r="B12" s="1"/>
      <c r="C12" s="1"/>
      <c r="D12" s="1"/>
      <c r="E12" s="1"/>
      <c r="F12" s="1"/>
      <c r="K12"/>
      <c r="L12"/>
      <c r="M12"/>
      <c r="N12"/>
      <c r="O12"/>
      <c r="Q12" s="1"/>
      <c r="R12" s="1"/>
      <c r="S12" s="1"/>
      <c r="T12" s="1"/>
      <c r="U12" s="1"/>
      <c r="V12" s="1"/>
      <c r="X12" s="6" t="s">
        <v>149</v>
      </c>
      <c r="Y12" s="8">
        <f>COUNTIF(Spreadsheet!$K$430:$K$435,Y3)</f>
        <v>0</v>
      </c>
      <c r="Z12" s="8">
        <f>COUNTIF(Spreadsheet!$K$430:$K$435,Z3)</f>
        <v>0</v>
      </c>
      <c r="AA12" s="8">
        <f>COUNTIF(Spreadsheet!$K$430:$K$435,AA3)</f>
        <v>0</v>
      </c>
      <c r="AB12" s="8">
        <v>0</v>
      </c>
      <c r="AC12" s="15">
        <f t="shared" si="1"/>
        <v>0</v>
      </c>
      <c r="AE12" s="6"/>
      <c r="AF12" s="8"/>
      <c r="AG12" s="8"/>
      <c r="AH12" s="15"/>
      <c r="AI12"/>
      <c r="AQ12"/>
      <c r="AR12"/>
      <c r="AS12"/>
      <c r="AT12"/>
      <c r="AU12"/>
      <c r="AV12"/>
    </row>
    <row r="13" spans="2:50" s="2" customFormat="1" ht="15.75" x14ac:dyDescent="0.25">
      <c r="B13" s="1"/>
      <c r="C13" s="1"/>
      <c r="D13" s="1"/>
      <c r="E13" s="1"/>
      <c r="F13" s="1"/>
      <c r="K13"/>
      <c r="L13"/>
      <c r="M13"/>
      <c r="N13"/>
      <c r="O13"/>
      <c r="Q13"/>
      <c r="R13"/>
      <c r="S13"/>
      <c r="T13"/>
      <c r="U13"/>
      <c r="V13"/>
      <c r="X13" s="6"/>
      <c r="Y13" s="8"/>
      <c r="Z13" s="8"/>
      <c r="AA13" s="87"/>
      <c r="AB13" s="89"/>
      <c r="AC13" s="91"/>
      <c r="AE13" s="6"/>
      <c r="AF13" s="8"/>
      <c r="AG13" s="8"/>
      <c r="AH13" s="15"/>
      <c r="AI13"/>
      <c r="AQ13"/>
      <c r="AR13"/>
      <c r="AS13"/>
      <c r="AT13"/>
      <c r="AU13"/>
      <c r="AV13"/>
    </row>
    <row r="14" spans="2:50" ht="15.75" x14ac:dyDescent="0.25">
      <c r="X14" s="6"/>
      <c r="Y14" s="8"/>
      <c r="Z14" s="8"/>
      <c r="AA14" s="87"/>
      <c r="AB14" s="89"/>
      <c r="AC14" s="91"/>
      <c r="AE14" s="6"/>
      <c r="AF14" s="8"/>
      <c r="AG14" s="8"/>
      <c r="AH14" s="15"/>
    </row>
    <row r="15" spans="2:50" ht="15.75" x14ac:dyDescent="0.25">
      <c r="X15" s="6"/>
      <c r="Y15" s="8"/>
      <c r="Z15" s="8"/>
      <c r="AA15" s="87"/>
      <c r="AB15" s="89"/>
      <c r="AC15" s="91"/>
      <c r="AE15" s="7"/>
      <c r="AF15" s="9"/>
      <c r="AG15" s="9"/>
      <c r="AH15" s="16"/>
    </row>
    <row r="16" spans="2:50" ht="15.75" x14ac:dyDescent="0.25">
      <c r="X16" s="7"/>
      <c r="Y16" s="9"/>
      <c r="Z16" s="9"/>
      <c r="AA16" s="88"/>
      <c r="AB16" s="90"/>
      <c r="AC16" s="92"/>
      <c r="AE16" s="1"/>
      <c r="AF16" s="1"/>
      <c r="AG16" s="1"/>
      <c r="AH16" s="1"/>
      <c r="AI16" s="1"/>
    </row>
    <row r="17" spans="24:29" x14ac:dyDescent="0.25">
      <c r="X17" s="1"/>
      <c r="Y17" s="1"/>
      <c r="Z17" s="1"/>
      <c r="AA17" s="1"/>
      <c r="AB17" s="1"/>
      <c r="AC17" s="1"/>
    </row>
    <row r="37" spans="17:27" ht="15.75" x14ac:dyDescent="0.25">
      <c r="Q37" s="156" t="s">
        <v>406</v>
      </c>
      <c r="R37" s="156"/>
      <c r="S37" s="156"/>
      <c r="T37" s="156"/>
    </row>
    <row r="38" spans="17:27" ht="15.75" x14ac:dyDescent="0.25">
      <c r="Q38" s="13" t="s">
        <v>155</v>
      </c>
      <c r="R38" s="14" t="s">
        <v>413</v>
      </c>
      <c r="S38" s="27" t="s">
        <v>415</v>
      </c>
      <c r="T38" s="27" t="s">
        <v>414</v>
      </c>
    </row>
    <row r="39" spans="17:27" ht="15.75" x14ac:dyDescent="0.25">
      <c r="Q39" s="6" t="s">
        <v>116</v>
      </c>
      <c r="R39" s="8">
        <f>T4</f>
        <v>0</v>
      </c>
      <c r="S39" s="8">
        <f>U4</f>
        <v>0</v>
      </c>
      <c r="T39" s="15">
        <f>V4</f>
        <v>0</v>
      </c>
    </row>
    <row r="40" spans="17:27" ht="15.75" x14ac:dyDescent="0.25">
      <c r="Q40" s="6" t="s">
        <v>141</v>
      </c>
      <c r="R40" s="8">
        <f t="shared" ref="R40:R46" si="2">T5</f>
        <v>0</v>
      </c>
      <c r="S40" s="8">
        <f t="shared" ref="S40:S46" si="3">U5</f>
        <v>0</v>
      </c>
      <c r="T40" s="15">
        <f t="shared" ref="T40:T46" si="4">V5</f>
        <v>0</v>
      </c>
      <c r="X40" s="157" t="s">
        <v>139</v>
      </c>
      <c r="Y40" s="158"/>
      <c r="Z40" s="158"/>
      <c r="AA40" s="159"/>
    </row>
    <row r="41" spans="17:27" ht="15.75" x14ac:dyDescent="0.25">
      <c r="Q41" s="6" t="s">
        <v>142</v>
      </c>
      <c r="R41" s="8">
        <f t="shared" si="2"/>
        <v>0</v>
      </c>
      <c r="S41" s="8">
        <f t="shared" si="3"/>
        <v>0</v>
      </c>
      <c r="T41" s="15">
        <f t="shared" si="4"/>
        <v>0</v>
      </c>
      <c r="X41" s="13" t="s">
        <v>157</v>
      </c>
      <c r="Y41" s="14" t="s">
        <v>413</v>
      </c>
      <c r="Z41" s="27" t="s">
        <v>415</v>
      </c>
      <c r="AA41" s="27" t="s">
        <v>414</v>
      </c>
    </row>
    <row r="42" spans="17:27" ht="15.75" x14ac:dyDescent="0.25">
      <c r="Q42" s="6" t="s">
        <v>144</v>
      </c>
      <c r="R42" s="8">
        <f t="shared" si="2"/>
        <v>0</v>
      </c>
      <c r="S42" s="8">
        <f t="shared" si="3"/>
        <v>0</v>
      </c>
      <c r="T42" s="15">
        <f t="shared" si="4"/>
        <v>0</v>
      </c>
      <c r="X42" s="6" t="s">
        <v>145</v>
      </c>
      <c r="Y42" s="8">
        <f>AA4</f>
        <v>0</v>
      </c>
      <c r="Z42" s="8">
        <f t="shared" ref="Z42:AA50" si="5">AB4</f>
        <v>0</v>
      </c>
      <c r="AA42" s="15">
        <f t="shared" si="5"/>
        <v>0</v>
      </c>
    </row>
    <row r="43" spans="17:27" ht="15.75" x14ac:dyDescent="0.25">
      <c r="Q43" s="6" t="s">
        <v>117</v>
      </c>
      <c r="R43" s="8">
        <f t="shared" si="2"/>
        <v>0</v>
      </c>
      <c r="S43" s="8">
        <f t="shared" si="3"/>
        <v>0</v>
      </c>
      <c r="T43" s="15">
        <f t="shared" si="4"/>
        <v>0</v>
      </c>
      <c r="X43" s="6" t="s">
        <v>143</v>
      </c>
      <c r="Y43" s="8">
        <f t="shared" ref="Y43:Y50" si="6">AA5</f>
        <v>0</v>
      </c>
      <c r="Z43" s="8">
        <f t="shared" si="5"/>
        <v>0</v>
      </c>
      <c r="AA43" s="15">
        <f t="shared" si="5"/>
        <v>0</v>
      </c>
    </row>
    <row r="44" spans="17:27" ht="15.75" x14ac:dyDescent="0.25">
      <c r="Q44" s="6" t="s">
        <v>401</v>
      </c>
      <c r="R44" s="8">
        <f t="shared" si="2"/>
        <v>0</v>
      </c>
      <c r="S44" s="8">
        <f t="shared" si="3"/>
        <v>0</v>
      </c>
      <c r="T44" s="15">
        <f t="shared" si="4"/>
        <v>0</v>
      </c>
      <c r="X44" s="6" t="s">
        <v>403</v>
      </c>
      <c r="Y44" s="8">
        <f t="shared" si="6"/>
        <v>0</v>
      </c>
      <c r="Z44" s="8">
        <f t="shared" si="5"/>
        <v>0</v>
      </c>
      <c r="AA44" s="15">
        <f t="shared" si="5"/>
        <v>0</v>
      </c>
    </row>
    <row r="45" spans="17:27" ht="15.75" x14ac:dyDescent="0.25">
      <c r="Q45" s="6" t="s">
        <v>402</v>
      </c>
      <c r="R45" s="8">
        <f t="shared" si="2"/>
        <v>0</v>
      </c>
      <c r="S45" s="8">
        <f t="shared" si="3"/>
        <v>0</v>
      </c>
      <c r="T45" s="15">
        <f t="shared" si="4"/>
        <v>0</v>
      </c>
      <c r="X45" s="6" t="s">
        <v>146</v>
      </c>
      <c r="Y45" s="8">
        <f t="shared" si="6"/>
        <v>0</v>
      </c>
      <c r="Z45" s="8">
        <f t="shared" si="5"/>
        <v>0</v>
      </c>
      <c r="AA45" s="15">
        <f t="shared" si="5"/>
        <v>0</v>
      </c>
    </row>
    <row r="46" spans="17:27" ht="15.75" x14ac:dyDescent="0.25">
      <c r="Q46" s="7" t="s">
        <v>425</v>
      </c>
      <c r="R46" s="9">
        <f t="shared" si="2"/>
        <v>0</v>
      </c>
      <c r="S46" s="9">
        <f t="shared" si="3"/>
        <v>0</v>
      </c>
      <c r="T46" s="16">
        <f t="shared" si="4"/>
        <v>0</v>
      </c>
      <c r="X46" s="6" t="s">
        <v>147</v>
      </c>
      <c r="Y46" s="8">
        <f t="shared" si="6"/>
        <v>0</v>
      </c>
      <c r="Z46" s="8">
        <f t="shared" si="5"/>
        <v>0</v>
      </c>
      <c r="AA46" s="15">
        <f t="shared" si="5"/>
        <v>0</v>
      </c>
    </row>
    <row r="47" spans="17:27" ht="15.75" x14ac:dyDescent="0.25">
      <c r="X47" s="6" t="s">
        <v>148</v>
      </c>
      <c r="Y47" s="8">
        <f t="shared" si="6"/>
        <v>0</v>
      </c>
      <c r="Z47" s="8">
        <f t="shared" si="5"/>
        <v>0</v>
      </c>
      <c r="AA47" s="15">
        <f t="shared" si="5"/>
        <v>0</v>
      </c>
    </row>
    <row r="48" spans="17:27" ht="15.75" x14ac:dyDescent="0.25">
      <c r="X48" s="6" t="s">
        <v>404</v>
      </c>
      <c r="Y48" s="8">
        <f t="shared" si="6"/>
        <v>0</v>
      </c>
      <c r="Z48" s="8">
        <f t="shared" si="5"/>
        <v>0</v>
      </c>
      <c r="AA48" s="15">
        <f t="shared" si="5"/>
        <v>0</v>
      </c>
    </row>
    <row r="49" spans="24:27" ht="15.75" x14ac:dyDescent="0.25">
      <c r="X49" s="6" t="s">
        <v>405</v>
      </c>
      <c r="Y49" s="8">
        <f t="shared" si="6"/>
        <v>0</v>
      </c>
      <c r="Z49" s="8">
        <f t="shared" si="5"/>
        <v>0</v>
      </c>
      <c r="AA49" s="15">
        <f t="shared" si="5"/>
        <v>0</v>
      </c>
    </row>
    <row r="50" spans="24:27" ht="15.75" x14ac:dyDescent="0.25">
      <c r="X50" s="7" t="s">
        <v>149</v>
      </c>
      <c r="Y50" s="9">
        <f t="shared" si="6"/>
        <v>0</v>
      </c>
      <c r="Z50" s="9">
        <f t="shared" si="5"/>
        <v>0</v>
      </c>
      <c r="AA50" s="16">
        <f t="shared" si="5"/>
        <v>0</v>
      </c>
    </row>
  </sheetData>
  <mergeCells count="9">
    <mergeCell ref="Q37:T37"/>
    <mergeCell ref="X40:AA40"/>
    <mergeCell ref="AQ2:AU2"/>
    <mergeCell ref="B2:E2"/>
    <mergeCell ref="K2:N2"/>
    <mergeCell ref="Q2:V2"/>
    <mergeCell ref="X2:AC2"/>
    <mergeCell ref="AE2:AH2"/>
    <mergeCell ref="AK2:AN2"/>
  </mergeCell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D8:I163"/>
  <sheetViews>
    <sheetView showGridLines="0" zoomScaleNormal="100" workbookViewId="0"/>
  </sheetViews>
  <sheetFormatPr defaultRowHeight="15" x14ac:dyDescent="0.25"/>
  <cols>
    <col min="1" max="1" width="12.7109375" customWidth="1"/>
    <col min="2" max="2" width="23.28515625" customWidth="1"/>
    <col min="3" max="3" width="12.7109375" customWidth="1"/>
    <col min="4" max="4" width="48.28515625" customWidth="1"/>
    <col min="5" max="5" width="53.5703125" customWidth="1"/>
    <col min="6" max="7" width="12.7109375" customWidth="1"/>
    <col min="8" max="8" width="15.140625" customWidth="1"/>
    <col min="9" max="9" width="17.5703125" customWidth="1"/>
    <col min="10" max="10" width="17.85546875" customWidth="1"/>
    <col min="11" max="11" width="19.28515625" customWidth="1"/>
    <col min="12" max="21" width="12.7109375" customWidth="1"/>
  </cols>
  <sheetData>
    <row r="8" spans="6:9" x14ac:dyDescent="0.25">
      <c r="F8" s="17"/>
      <c r="G8" s="17"/>
      <c r="H8" s="17"/>
      <c r="I8" s="17"/>
    </row>
    <row r="9" spans="6:9" x14ac:dyDescent="0.25">
      <c r="I9" s="17"/>
    </row>
    <row r="10" spans="6:9" x14ac:dyDescent="0.25">
      <c r="I10" s="17"/>
    </row>
    <row r="11" spans="6:9" x14ac:dyDescent="0.25">
      <c r="I11" s="17"/>
    </row>
    <row r="12" spans="6:9" x14ac:dyDescent="0.25">
      <c r="I12" s="17"/>
    </row>
    <row r="13" spans="6:9" x14ac:dyDescent="0.25">
      <c r="I13" s="17"/>
    </row>
    <row r="14" spans="6:9" x14ac:dyDescent="0.25">
      <c r="I14" s="17"/>
    </row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spans="4:5" hidden="1" x14ac:dyDescent="0.25"/>
    <row r="50" spans="4:5" hidden="1" x14ac:dyDescent="0.25"/>
    <row r="51" spans="4:5" hidden="1" x14ac:dyDescent="0.25"/>
    <row r="53" spans="4:5" x14ac:dyDescent="0.25">
      <c r="D53" s="121" t="s">
        <v>563</v>
      </c>
      <c r="E53" s="122"/>
    </row>
    <row r="54" spans="4:5" x14ac:dyDescent="0.25">
      <c r="D54" s="123" t="s">
        <v>561</v>
      </c>
      <c r="E54" s="124" t="s">
        <v>562</v>
      </c>
    </row>
    <row r="55" spans="4:5" x14ac:dyDescent="0.25">
      <c r="D55" s="127"/>
      <c r="E55" s="128"/>
    </row>
    <row r="56" spans="4:5" x14ac:dyDescent="0.25">
      <c r="D56" s="125"/>
      <c r="E56" s="126"/>
    </row>
    <row r="57" spans="4:5" x14ac:dyDescent="0.25">
      <c r="D57" s="125"/>
      <c r="E57" s="126"/>
    </row>
    <row r="58" spans="4:5" x14ac:dyDescent="0.25">
      <c r="D58" s="125"/>
      <c r="E58" s="126"/>
    </row>
    <row r="59" spans="4:5" x14ac:dyDescent="0.25">
      <c r="D59" s="125"/>
      <c r="E59" s="126"/>
    </row>
    <row r="60" spans="4:5" x14ac:dyDescent="0.25">
      <c r="D60" s="125"/>
      <c r="E60" s="126"/>
    </row>
    <row r="61" spans="4:5" x14ac:dyDescent="0.25">
      <c r="D61" s="125"/>
      <c r="E61" s="126"/>
    </row>
    <row r="62" spans="4:5" x14ac:dyDescent="0.25">
      <c r="D62" s="125"/>
      <c r="E62" s="126"/>
    </row>
    <row r="63" spans="4:5" x14ac:dyDescent="0.25">
      <c r="D63" s="125"/>
      <c r="E63" s="126"/>
    </row>
    <row r="64" spans="4:5" x14ac:dyDescent="0.25">
      <c r="D64" s="125"/>
      <c r="E64" s="126"/>
    </row>
    <row r="65" spans="4:5" x14ac:dyDescent="0.25">
      <c r="D65" s="125"/>
      <c r="E65" s="126"/>
    </row>
    <row r="66" spans="4:5" x14ac:dyDescent="0.25">
      <c r="D66" s="125"/>
      <c r="E66" s="126"/>
    </row>
    <row r="67" spans="4:5" x14ac:dyDescent="0.25">
      <c r="D67" s="125"/>
      <c r="E67" s="126"/>
    </row>
    <row r="68" spans="4:5" x14ac:dyDescent="0.25">
      <c r="D68" s="125"/>
      <c r="E68" s="126"/>
    </row>
    <row r="69" spans="4:5" x14ac:dyDescent="0.25">
      <c r="D69" s="125"/>
      <c r="E69" s="126"/>
    </row>
    <row r="70" spans="4:5" x14ac:dyDescent="0.25">
      <c r="D70" s="125"/>
      <c r="E70" s="126"/>
    </row>
    <row r="71" spans="4:5" x14ac:dyDescent="0.25">
      <c r="D71" s="125"/>
      <c r="E71" s="126"/>
    </row>
    <row r="72" spans="4:5" x14ac:dyDescent="0.25">
      <c r="D72" s="125"/>
      <c r="E72" s="126"/>
    </row>
    <row r="73" spans="4:5" x14ac:dyDescent="0.25">
      <c r="D73" s="125"/>
      <c r="E73" s="126"/>
    </row>
    <row r="74" spans="4:5" x14ac:dyDescent="0.25">
      <c r="D74" s="125"/>
      <c r="E74" s="126"/>
    </row>
    <row r="75" spans="4:5" x14ac:dyDescent="0.25">
      <c r="D75" s="125"/>
      <c r="E75" s="126"/>
    </row>
    <row r="76" spans="4:5" x14ac:dyDescent="0.25">
      <c r="D76" s="125"/>
      <c r="E76" s="126"/>
    </row>
    <row r="77" spans="4:5" x14ac:dyDescent="0.25">
      <c r="D77" s="125"/>
      <c r="E77" s="126"/>
    </row>
    <row r="78" spans="4:5" x14ac:dyDescent="0.25">
      <c r="D78" s="125"/>
      <c r="E78" s="126"/>
    </row>
    <row r="79" spans="4:5" x14ac:dyDescent="0.25">
      <c r="D79" s="125"/>
      <c r="E79" s="126"/>
    </row>
    <row r="80" spans="4:5" x14ac:dyDescent="0.25">
      <c r="D80" s="125"/>
      <c r="E80" s="126"/>
    </row>
    <row r="81" spans="4:5" x14ac:dyDescent="0.25">
      <c r="D81" s="125"/>
      <c r="E81" s="126"/>
    </row>
    <row r="82" spans="4:5" x14ac:dyDescent="0.25">
      <c r="D82" s="125"/>
      <c r="E82" s="126"/>
    </row>
    <row r="83" spans="4:5" x14ac:dyDescent="0.25">
      <c r="D83" s="125"/>
      <c r="E83" s="126"/>
    </row>
    <row r="84" spans="4:5" x14ac:dyDescent="0.25">
      <c r="D84" s="125"/>
      <c r="E84" s="126"/>
    </row>
    <row r="85" spans="4:5" x14ac:dyDescent="0.25">
      <c r="D85" s="125"/>
      <c r="E85" s="126"/>
    </row>
    <row r="86" spans="4:5" x14ac:dyDescent="0.25">
      <c r="D86" s="125"/>
      <c r="E86" s="126"/>
    </row>
    <row r="87" spans="4:5" x14ac:dyDescent="0.25">
      <c r="D87" s="125"/>
      <c r="E87" s="126"/>
    </row>
    <row r="88" spans="4:5" x14ac:dyDescent="0.25">
      <c r="D88" s="125"/>
      <c r="E88" s="126"/>
    </row>
    <row r="89" spans="4:5" x14ac:dyDescent="0.25">
      <c r="D89" s="125"/>
      <c r="E89" s="126"/>
    </row>
    <row r="90" spans="4:5" x14ac:dyDescent="0.25">
      <c r="D90" s="125"/>
      <c r="E90" s="126"/>
    </row>
    <row r="91" spans="4:5" x14ac:dyDescent="0.25">
      <c r="D91" s="125"/>
      <c r="E91" s="126"/>
    </row>
    <row r="92" spans="4:5" x14ac:dyDescent="0.25">
      <c r="D92" s="125"/>
      <c r="E92" s="126"/>
    </row>
    <row r="93" spans="4:5" x14ac:dyDescent="0.25">
      <c r="D93" s="125"/>
      <c r="E93" s="126"/>
    </row>
    <row r="94" spans="4:5" x14ac:dyDescent="0.25">
      <c r="D94" s="125"/>
      <c r="E94" s="126"/>
    </row>
    <row r="95" spans="4:5" x14ac:dyDescent="0.25">
      <c r="D95" s="125"/>
      <c r="E95" s="126"/>
    </row>
    <row r="96" spans="4:5" x14ac:dyDescent="0.25">
      <c r="D96" s="125"/>
      <c r="E96" s="126"/>
    </row>
    <row r="97" spans="4:5" x14ac:dyDescent="0.25">
      <c r="D97" s="125"/>
      <c r="E97" s="126"/>
    </row>
    <row r="98" spans="4:5" x14ac:dyDescent="0.25">
      <c r="D98" s="125"/>
      <c r="E98" s="126"/>
    </row>
    <row r="99" spans="4:5" x14ac:dyDescent="0.25">
      <c r="D99" s="125"/>
      <c r="E99" s="126"/>
    </row>
    <row r="100" spans="4:5" x14ac:dyDescent="0.25">
      <c r="D100" s="125"/>
      <c r="E100" s="126"/>
    </row>
    <row r="101" spans="4:5" x14ac:dyDescent="0.25">
      <c r="D101" s="125"/>
      <c r="E101" s="126"/>
    </row>
    <row r="102" spans="4:5" x14ac:dyDescent="0.25">
      <c r="D102" s="125"/>
      <c r="E102" s="126"/>
    </row>
    <row r="103" spans="4:5" x14ac:dyDescent="0.25">
      <c r="D103" s="125"/>
      <c r="E103" s="126"/>
    </row>
    <row r="104" spans="4:5" x14ac:dyDescent="0.25">
      <c r="D104" s="125"/>
      <c r="E104" s="126"/>
    </row>
    <row r="105" spans="4:5" x14ac:dyDescent="0.25">
      <c r="D105" s="125"/>
      <c r="E105" s="126"/>
    </row>
    <row r="106" spans="4:5" x14ac:dyDescent="0.25">
      <c r="D106" s="125"/>
      <c r="E106" s="126"/>
    </row>
    <row r="107" spans="4:5" x14ac:dyDescent="0.25">
      <c r="D107" s="125"/>
      <c r="E107" s="126"/>
    </row>
    <row r="108" spans="4:5" x14ac:dyDescent="0.25">
      <c r="D108" s="125"/>
      <c r="E108" s="126"/>
    </row>
    <row r="109" spans="4:5" x14ac:dyDescent="0.25">
      <c r="D109" s="125"/>
      <c r="E109" s="126"/>
    </row>
    <row r="110" spans="4:5" x14ac:dyDescent="0.25">
      <c r="D110" s="125"/>
      <c r="E110" s="126"/>
    </row>
    <row r="111" spans="4:5" x14ac:dyDescent="0.25">
      <c r="D111" s="125"/>
      <c r="E111" s="126"/>
    </row>
    <row r="112" spans="4:5" x14ac:dyDescent="0.25">
      <c r="D112" s="125"/>
      <c r="E112" s="126"/>
    </row>
    <row r="113" spans="4:5" x14ac:dyDescent="0.25">
      <c r="D113" s="125"/>
      <c r="E113" s="126"/>
    </row>
    <row r="114" spans="4:5" x14ac:dyDescent="0.25">
      <c r="D114" s="125"/>
      <c r="E114" s="126"/>
    </row>
    <row r="115" spans="4:5" x14ac:dyDescent="0.25">
      <c r="D115" s="125"/>
      <c r="E115" s="126"/>
    </row>
    <row r="116" spans="4:5" x14ac:dyDescent="0.25">
      <c r="D116" s="125"/>
      <c r="E116" s="126"/>
    </row>
    <row r="117" spans="4:5" x14ac:dyDescent="0.25">
      <c r="D117" s="125"/>
      <c r="E117" s="126"/>
    </row>
    <row r="118" spans="4:5" x14ac:dyDescent="0.25">
      <c r="D118" s="125"/>
      <c r="E118" s="126"/>
    </row>
    <row r="119" spans="4:5" x14ac:dyDescent="0.25">
      <c r="D119" s="125"/>
      <c r="E119" s="126"/>
    </row>
    <row r="120" spans="4:5" x14ac:dyDescent="0.25">
      <c r="D120" s="125"/>
      <c r="E120" s="126"/>
    </row>
    <row r="121" spans="4:5" x14ac:dyDescent="0.25">
      <c r="D121" s="125"/>
      <c r="E121" s="126"/>
    </row>
    <row r="122" spans="4:5" x14ac:dyDescent="0.25">
      <c r="D122" s="125"/>
      <c r="E122" s="126"/>
    </row>
    <row r="123" spans="4:5" x14ac:dyDescent="0.25">
      <c r="D123" s="125"/>
      <c r="E123" s="126"/>
    </row>
    <row r="124" spans="4:5" x14ac:dyDescent="0.25">
      <c r="D124" s="125"/>
      <c r="E124" s="126"/>
    </row>
    <row r="125" spans="4:5" x14ac:dyDescent="0.25">
      <c r="D125" s="125"/>
      <c r="E125" s="126"/>
    </row>
    <row r="126" spans="4:5" x14ac:dyDescent="0.25">
      <c r="D126" s="125"/>
      <c r="E126" s="126"/>
    </row>
    <row r="127" spans="4:5" x14ac:dyDescent="0.25">
      <c r="D127" s="125"/>
      <c r="E127" s="126"/>
    </row>
    <row r="128" spans="4:5" x14ac:dyDescent="0.25">
      <c r="D128" s="125"/>
      <c r="E128" s="126"/>
    </row>
    <row r="129" spans="4:5" x14ac:dyDescent="0.25">
      <c r="D129" s="125"/>
      <c r="E129" s="126"/>
    </row>
    <row r="130" spans="4:5" x14ac:dyDescent="0.25">
      <c r="D130" s="125"/>
      <c r="E130" s="126"/>
    </row>
    <row r="131" spans="4:5" x14ac:dyDescent="0.25">
      <c r="D131" s="125"/>
      <c r="E131" s="126"/>
    </row>
    <row r="132" spans="4:5" x14ac:dyDescent="0.25">
      <c r="D132" s="125"/>
      <c r="E132" s="126"/>
    </row>
    <row r="133" spans="4:5" x14ac:dyDescent="0.25">
      <c r="D133" s="125"/>
      <c r="E133" s="126"/>
    </row>
    <row r="134" spans="4:5" x14ac:dyDescent="0.25">
      <c r="D134" s="125"/>
      <c r="E134" s="126"/>
    </row>
    <row r="135" spans="4:5" x14ac:dyDescent="0.25">
      <c r="D135" s="125"/>
      <c r="E135" s="126"/>
    </row>
    <row r="136" spans="4:5" x14ac:dyDescent="0.25">
      <c r="D136" s="125"/>
      <c r="E136" s="126"/>
    </row>
    <row r="137" spans="4:5" x14ac:dyDescent="0.25">
      <c r="D137" s="125"/>
      <c r="E137" s="126"/>
    </row>
    <row r="138" spans="4:5" x14ac:dyDescent="0.25">
      <c r="D138" s="125"/>
      <c r="E138" s="126"/>
    </row>
    <row r="139" spans="4:5" x14ac:dyDescent="0.25">
      <c r="D139" s="125"/>
      <c r="E139" s="126"/>
    </row>
    <row r="140" spans="4:5" x14ac:dyDescent="0.25">
      <c r="D140" s="125"/>
      <c r="E140" s="126"/>
    </row>
    <row r="141" spans="4:5" x14ac:dyDescent="0.25">
      <c r="D141" s="125"/>
      <c r="E141" s="126"/>
    </row>
    <row r="142" spans="4:5" x14ac:dyDescent="0.25">
      <c r="D142" s="125"/>
      <c r="E142" s="126"/>
    </row>
    <row r="143" spans="4:5" x14ac:dyDescent="0.25">
      <c r="D143" s="125"/>
      <c r="E143" s="126"/>
    </row>
    <row r="144" spans="4:5" x14ac:dyDescent="0.25">
      <c r="D144" s="125"/>
      <c r="E144" s="126"/>
    </row>
    <row r="145" spans="4:5" x14ac:dyDescent="0.25">
      <c r="D145" s="125"/>
      <c r="E145" s="126"/>
    </row>
    <row r="146" spans="4:5" x14ac:dyDescent="0.25">
      <c r="D146" s="125"/>
      <c r="E146" s="126"/>
    </row>
    <row r="147" spans="4:5" x14ac:dyDescent="0.25">
      <c r="D147" s="125"/>
      <c r="E147" s="126"/>
    </row>
    <row r="148" spans="4:5" x14ac:dyDescent="0.25">
      <c r="D148" s="125"/>
      <c r="E148" s="126"/>
    </row>
    <row r="149" spans="4:5" x14ac:dyDescent="0.25">
      <c r="D149" s="125"/>
      <c r="E149" s="126"/>
    </row>
    <row r="150" spans="4:5" x14ac:dyDescent="0.25">
      <c r="D150" s="125"/>
      <c r="E150" s="126"/>
    </row>
    <row r="151" spans="4:5" x14ac:dyDescent="0.25">
      <c r="D151" s="125"/>
      <c r="E151" s="126"/>
    </row>
    <row r="152" spans="4:5" x14ac:dyDescent="0.25">
      <c r="D152" s="125"/>
      <c r="E152" s="126"/>
    </row>
    <row r="153" spans="4:5" x14ac:dyDescent="0.25">
      <c r="D153" s="125"/>
      <c r="E153" s="126"/>
    </row>
    <row r="154" spans="4:5" x14ac:dyDescent="0.25">
      <c r="D154" s="125"/>
      <c r="E154" s="126"/>
    </row>
    <row r="155" spans="4:5" x14ac:dyDescent="0.25">
      <c r="D155" s="125"/>
      <c r="E155" s="126"/>
    </row>
    <row r="156" spans="4:5" x14ac:dyDescent="0.25">
      <c r="D156" s="125"/>
      <c r="E156" s="126"/>
    </row>
    <row r="157" spans="4:5" x14ac:dyDescent="0.25">
      <c r="D157" s="125"/>
      <c r="E157" s="126"/>
    </row>
    <row r="158" spans="4:5" x14ac:dyDescent="0.25">
      <c r="D158" s="125"/>
      <c r="E158" s="126"/>
    </row>
    <row r="159" spans="4:5" x14ac:dyDescent="0.25">
      <c r="D159" s="125"/>
      <c r="E159" s="126"/>
    </row>
    <row r="160" spans="4:5" x14ac:dyDescent="0.25">
      <c r="D160" s="125"/>
      <c r="E160" s="126"/>
    </row>
    <row r="161" spans="4:5" x14ac:dyDescent="0.25">
      <c r="D161" s="125"/>
      <c r="E161" s="126"/>
    </row>
    <row r="162" spans="4:5" x14ac:dyDescent="0.25">
      <c r="D162" s="125"/>
      <c r="E162" s="126"/>
    </row>
    <row r="163" spans="4:5" x14ac:dyDescent="0.25">
      <c r="D163" s="129"/>
      <c r="E163" s="130"/>
    </row>
  </sheetData>
  <sheetProtection formatCells="0" formatColumns="0" formatRows="0"/>
  <conditionalFormatting sqref="D55:E55">
    <cfRule type="expression" dxfId="5" priority="8">
      <formula>IF(AND(ISERROR(FIND("☛",$E55)),ISERROR(FIND("☛",$D55))),FALSE,TRUE)</formula>
    </cfRule>
  </conditionalFormatting>
  <conditionalFormatting sqref="D56:E56">
    <cfRule type="expression" dxfId="4" priority="4">
      <formula>IF(AND(ISERROR(FIND("☛",$E56)),ISERROR(FIND("☛",$D56))),FALSE,TRUE)</formula>
    </cfRule>
  </conditionalFormatting>
  <conditionalFormatting sqref="D57:E163">
    <cfRule type="expression" dxfId="3" priority="2">
      <formula>IF(AND(ISERROR(FIND("☛",$E57)),ISERROR(FIND("☛",$D57))),FALSE,TRUE)</formula>
    </cfRule>
  </conditionalFormatting>
  <printOptions horizontalCentered="1"/>
  <pageMargins left="0.45" right="0.45" top="0.75" bottom="0.75" header="0.3" footer="0.3"/>
  <pageSetup paperSize="9" scale="72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B0D9B679-7E14-4E83-940F-61DC70286EFF}">
            <xm:f>IF(_xlfn.IFNA(MATCH($D55,Settings!$M$4:$M$14,0),"")="",FALSE,TRUE)</xm:f>
            <x14:dxf>
              <fill>
                <patternFill>
                  <bgColor rgb="FFFF5B5B"/>
                </patternFill>
              </fill>
            </x14:dxf>
          </x14:cfRule>
          <xm:sqref>D55:E55</xm:sqref>
        </x14:conditionalFormatting>
        <x14:conditionalFormatting xmlns:xm="http://schemas.microsoft.com/office/excel/2006/main">
          <x14:cfRule type="expression" priority="3" id="{A141603F-D57D-41D3-B5D1-BD953ED84590}">
            <xm:f>IF(_xlfn.IFNA(MATCH($D56,Settings!$M$4:$M$14,0),"")="",FALSE,TRUE)</xm:f>
            <x14:dxf>
              <fill>
                <patternFill>
                  <bgColor rgb="FFFF5B5B"/>
                </patternFill>
              </fill>
            </x14:dxf>
          </x14:cfRule>
          <xm:sqref>D56:E56</xm:sqref>
        </x14:conditionalFormatting>
        <x14:conditionalFormatting xmlns:xm="http://schemas.microsoft.com/office/excel/2006/main">
          <x14:cfRule type="expression" priority="1" id="{C10BF606-1493-4A25-8DBD-C09D856B98FC}">
            <xm:f>IF(_xlfn.IFNA(MATCH($D57,Settings!$M$4:$M$14,0),"")="",FALSE,TRUE)</xm:f>
            <x14:dxf>
              <fill>
                <patternFill>
                  <bgColor rgb="FFFF5B5B"/>
                </patternFill>
              </fill>
            </x14:dxf>
          </x14:cfRule>
          <xm:sqref>D57:E163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Economics2016Report" ma:contentTypeID="0x0101007E65D9BE07173D4C80C1FB68060262EC00BA5C7E0B9EBEDB439F254855E6723E39" ma:contentTypeVersion="2" ma:contentTypeDescription="Create a new document." ma:contentTypeScope="" ma:versionID="b387c30bdcb9427e54aee05ca93175c7">
  <xsd:schema xmlns:xsd="http://www.w3.org/2001/XMLSchema" xmlns:xs="http://www.w3.org/2001/XMLSchema" xmlns:p="http://schemas.microsoft.com/office/2006/metadata/properties" xmlns:ns2="7a419a6b-5ca6-4cbf-8150-bd3568020951" targetNamespace="http://schemas.microsoft.com/office/2006/metadata/properties" ma:root="true" ma:fieldsID="f23e05af05e3b52492906be124d55d8a" ns2:_="">
    <xsd:import namespace="7a419a6b-5ca6-4cbf-8150-bd3568020951"/>
    <xsd:element name="properties">
      <xsd:complexType>
        <xsd:sequence>
          <xsd:element name="documentManagement">
            <xsd:complexType>
              <xsd:all>
                <xsd:element ref="ns2:Economics2016ReportSummary" minOccurs="0"/>
                <xsd:element ref="ns2:Economics2016ReportPublishedDate"/>
                <xsd:element ref="ns2:Economics2016ReportCategory" minOccurs="0"/>
                <xsd:element ref="ns2:Economics2016ReportRegion" minOccurs="0"/>
                <xsd:element ref="ns2:Economics2016ReportIsPublished" minOccurs="0"/>
                <xsd:element ref="ns2:Economics2016ReportHideFromLatest" minOccurs="0"/>
                <xsd:element ref="ns2:Economics2016ReportIsFeatured" minOccurs="0"/>
                <xsd:element ref="ns2:Economics2016ReportImageURL" minOccurs="0"/>
                <xsd:element ref="ns2:Economics2016ReportKeywor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419a6b-5ca6-4cbf-8150-bd3568020951" elementFormDefault="qualified">
    <xsd:import namespace="http://schemas.microsoft.com/office/2006/documentManagement/types"/>
    <xsd:import namespace="http://schemas.microsoft.com/office/infopath/2007/PartnerControls"/>
    <xsd:element name="Economics2016ReportSummary" ma:index="4" nillable="true" ma:displayName="Report Summary" ma:internalName="Economics2016ReportSummary">
      <xsd:simpleType>
        <xsd:restriction base="dms:Note">
          <xsd:maxLength value="255"/>
        </xsd:restriction>
      </xsd:simpleType>
    </xsd:element>
    <xsd:element name="Economics2016ReportPublishedDate" ma:index="5" ma:displayName="Published Date" ma:format="DateOnly" ma:indexed="true" ma:internalName="Economics2016ReportPublishedDate">
      <xsd:simpleType>
        <xsd:restriction base="dms:DateTime"/>
      </xsd:simpleType>
    </xsd:element>
    <xsd:element name="Economics2016ReportCategory" ma:index="6" nillable="true" ma:displayName="Category" ma:format="Dropdown" ma:indexed="true" ma:internalName="Economics2016ReportCategory">
      <xsd:simpleType>
        <xsd:union memberTypes="dms:Text">
          <xsd:simpleType>
            <xsd:restriction base="dms:Choice">
              <xsd:enumeration value="IOSA Standards Manual (ISM) - Manual"/>
              <xsd:enumeration value="IOSA Standards Manual (ISM) - ISM Temporary Revisions"/>
              <xsd:enumeration value="IOSA Standards Manual (ISM) - Regulatory Cross-reference Lists"/>
              <xsd:enumeration value="IOSA Standards Manual (ISM) - Other ISM-related Documents"/>
              <xsd:enumeration value="IOSA Program Manual (IPM) - Manual"/>
              <xsd:enumeration value="IOSA Program Manual (IPM) - IPM Temporary Revisions"/>
              <xsd:enumeration value="IOSA Audit Handbook Tables and Mandatory Observations - Manual"/>
              <xsd:enumeration value="IOSA Audit Handbook Tables and Mandatory Observations - IAH Temporary Revisions"/>
              <xsd:enumeration value="IATA Reference Manual for Audit Programs (IRM)"/>
              <xsd:enumeration value="IOSA Operator Alerts"/>
              <xsd:enumeration value="IOSA Forms - IOSA Self-Evaluation Form"/>
              <xsd:enumeration value="IOSA Forms - IOSA Audit Report Request Form"/>
              <xsd:enumeration value="IOSA Forms - IOSA Initial Audit Application Form"/>
              <xsd:enumeration value="IOSA Audit Handbook Procedures and Guidance (IAH P&amp;G) - Manual"/>
              <xsd:enumeration value="IOSA Audit Handbook Procedures and Guidance (IAH P&amp;G) - IAH Temporary Revision (TR)"/>
              <xsd:enumeration value="Other IOSA Documents"/>
              <xsd:enumeration value="Chart of the Week"/>
              <xsd:enumeration value="Archive"/>
            </xsd:restriction>
          </xsd:simpleType>
        </xsd:union>
      </xsd:simpleType>
    </xsd:element>
    <xsd:element name="Economics2016ReportRegion" ma:index="7" nillable="true" ma:displayName="Region" ma:internalName="Economics2016ReportRegion">
      <xsd:simpleType>
        <xsd:union memberTypes="dms:Text">
          <xsd:simpleType>
            <xsd:restriction base="dms:Choice">
              <xsd:enumeration value="Africa &amp; Middle East"/>
              <xsd:enumeration value="Americas"/>
              <xsd:enumeration value="Asia Pacific"/>
              <xsd:enumeration value="Europe"/>
              <xsd:enumeration value="North Asia"/>
              <xsd:enumeration value="Global"/>
            </xsd:restriction>
          </xsd:simpleType>
        </xsd:union>
      </xsd:simpleType>
    </xsd:element>
    <xsd:element name="Economics2016ReportIsPublished" ma:index="8" nillable="true" ma:displayName="Is Published" ma:default="True" ma:internalName="Economics2016ReportIsPublished">
      <xsd:simpleType>
        <xsd:restriction base="dms:Boolean"/>
      </xsd:simpleType>
    </xsd:element>
    <xsd:element name="Economics2016ReportHideFromLatest" ma:index="10" nillable="true" ma:displayName="Hide from Latest Reports" ma:internalName="Economics2016ReportHideFromLatest">
      <xsd:simpleType>
        <xsd:restriction base="dms:Boolean"/>
      </xsd:simpleType>
    </xsd:element>
    <xsd:element name="Economics2016ReportIsFeatured" ma:index="11" nillable="true" ma:displayName="Is Featured Report" ma:indexed="true" ma:internalName="Economics2016ReportIsFeatured">
      <xsd:simpleType>
        <xsd:restriction base="dms:Boolean"/>
      </xsd:simpleType>
    </xsd:element>
    <xsd:element name="Economics2016ReportImageURL" ma:index="12" nillable="true" ma:displayName="Image" ma:format="Image" ma:internalName="Economics2016ReportImageURL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Economics2016ReportKeywords" ma:index="13" nillable="true" ma:displayName="Keywords" ma:internalName="Economics2016ReportKeywords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" ma:displayName="Content Type"/>
        <xsd:element ref="dc:title" maxOccurs="1" ma:index="3" ma:displayName="Report Nam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Economics2016ReportImageURL xmlns="7a419a6b-5ca6-4cbf-8150-bd3568020951">
      <Url xsi:nil="true"/>
      <Description xsi:nil="true"/>
    </Economics2016ReportImageURL>
    <Economics2016ReportPublishedDate xmlns="7a419a6b-5ca6-4cbf-8150-bd3568020951">2019-11-05T05:00:00+00:00</Economics2016ReportPublishedDate>
    <Economics2016ReportHideFromLatest xmlns="7a419a6b-5ca6-4cbf-8150-bd3568020951">false</Economics2016ReportHideFromLatest>
    <Economics2016ReportKeywords xmlns="7a419a6b-5ca6-4cbf-8150-bd3568020951" xsi:nil="true"/>
    <Economics2016ReportCategory xmlns="7a419a6b-5ca6-4cbf-8150-bd3568020951">Other IOSA Documents</Economics2016ReportCategory>
    <Economics2016ReportIsPublished xmlns="7a419a6b-5ca6-4cbf-8150-bd3568020951">true</Economics2016ReportIsPublished>
    <Economics2016ReportIsFeatured xmlns="7a419a6b-5ca6-4cbf-8150-bd3568020951">false</Economics2016ReportIsFeatured>
    <Economics2016ReportSummary xmlns="7a419a6b-5ca6-4cbf-8150-bd3568020951" xsi:nil="true"/>
    <Economics2016ReportRegion xmlns="7a419a6b-5ca6-4cbf-8150-bd3568020951" xsi:nil="true"/>
  </documentManagement>
</p:properties>
</file>

<file path=customXml/itemProps1.xml><?xml version="1.0" encoding="utf-8"?>
<ds:datastoreItem xmlns:ds="http://schemas.openxmlformats.org/officeDocument/2006/customXml" ds:itemID="{ED3CCF1F-3DCD-4FAE-9716-E88AF5D10C8F}"/>
</file>

<file path=customXml/itemProps2.xml><?xml version="1.0" encoding="utf-8"?>
<ds:datastoreItem xmlns:ds="http://schemas.openxmlformats.org/officeDocument/2006/customXml" ds:itemID="{2D16B265-D8C7-4EEF-938D-F870D3CA0A7D}"/>
</file>

<file path=customXml/itemProps3.xml><?xml version="1.0" encoding="utf-8"?>
<ds:datastoreItem xmlns:ds="http://schemas.openxmlformats.org/officeDocument/2006/customXml" ds:itemID="{D0524515-ABE0-4809-9DC8-9715FAA5976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52</vt:i4>
      </vt:variant>
    </vt:vector>
  </HeadingPairs>
  <TitlesOfParts>
    <vt:vector size="57" baseType="lpstr">
      <vt:lpstr>Main</vt:lpstr>
      <vt:lpstr>Spreadsheet</vt:lpstr>
      <vt:lpstr>Settings</vt:lpstr>
      <vt:lpstr>Dashboard Data</vt:lpstr>
      <vt:lpstr>Dashboard</vt:lpstr>
      <vt:lpstr>Adverse_Weather_Conditions</vt:lpstr>
      <vt:lpstr>Adverse_Weather_Oversight_Procedures</vt:lpstr>
      <vt:lpstr>Aircraft_Arrival</vt:lpstr>
      <vt:lpstr>Aircraft_Cabin_Servicing</vt:lpstr>
      <vt:lpstr>Aircraft_Chocking</vt:lpstr>
      <vt:lpstr>Aircraft_Coning</vt:lpstr>
      <vt:lpstr>Aircraft_Departure</vt:lpstr>
      <vt:lpstr>Aircraft_Doors</vt:lpstr>
      <vt:lpstr>Aircraft_Loading</vt:lpstr>
      <vt:lpstr>Aircraft_Towing</vt:lpstr>
      <vt:lpstr>Aircraft_Towning</vt:lpstr>
      <vt:lpstr>Airside_Safety_investigation_Procedure</vt:lpstr>
      <vt:lpstr>Airside_Safety_Operational</vt:lpstr>
      <vt:lpstr>Baggage_Handling</vt:lpstr>
      <vt:lpstr>Baggage_Security</vt:lpstr>
      <vt:lpstr>Cabin_Baggage</vt:lpstr>
      <vt:lpstr>Checked_Baggage</vt:lpstr>
      <vt:lpstr>Emergency_Response_Procedures</vt:lpstr>
      <vt:lpstr>Hand_Signals</vt:lpstr>
      <vt:lpstr>Information_Exchange</vt:lpstr>
      <vt:lpstr>Introduction</vt:lpstr>
      <vt:lpstr>Introduction_5</vt:lpstr>
      <vt:lpstr>Introduction_6</vt:lpstr>
      <vt:lpstr>Introduction5</vt:lpstr>
      <vt:lpstr>Load_Control</vt:lpstr>
      <vt:lpstr>Load_Control_Principles</vt:lpstr>
      <vt:lpstr>Load_Control_Process_Flow</vt:lpstr>
      <vt:lpstr>Load_planning</vt:lpstr>
      <vt:lpstr>Loadsheet</vt:lpstr>
      <vt:lpstr>Mishandled_Baggage</vt:lpstr>
      <vt:lpstr>Monitoring_Procedures</vt:lpstr>
      <vt:lpstr>Open_Ramp_Departure</vt:lpstr>
      <vt:lpstr>Passenger_Arrival</vt:lpstr>
      <vt:lpstr>Passenger_Departure</vt:lpstr>
      <vt:lpstr>Passenger_Irregularities</vt:lpstr>
      <vt:lpstr>Passenger_Security</vt:lpstr>
      <vt:lpstr>Portable_Water_Servicing</vt:lpstr>
      <vt:lpstr>Post_Departure_Messaging</vt:lpstr>
      <vt:lpstr>Power_Push_Unit</vt:lpstr>
      <vt:lpstr>Dashboard!Print_Area</vt:lpstr>
      <vt:lpstr>Main!Print_Area</vt:lpstr>
      <vt:lpstr>Ramp_Safety_in_Aircraft_Handling</vt:lpstr>
      <vt:lpstr>Regulatory_Requirements</vt:lpstr>
      <vt:lpstr>Reporting_incidents</vt:lpstr>
      <vt:lpstr>Safety_During_Aircraft_Deicing_Operations</vt:lpstr>
      <vt:lpstr>Safety_During_Fueling_Defueling</vt:lpstr>
      <vt:lpstr>Special_Baggage</vt:lpstr>
      <vt:lpstr>Special_Categories_of_Passengers</vt:lpstr>
      <vt:lpstr>Supervision_Scope</vt:lpstr>
      <vt:lpstr>Toilet_Servicing</vt:lpstr>
      <vt:lpstr>Turnaround_Coordination</vt:lpstr>
      <vt:lpstr>Turnaroung_Coordination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IGOM-8-Gap-Analysis-Checklist</dc:title>
  <dc:creator>Perceptive Analytics</dc:creator>
  <cp:lastModifiedBy>ODHIAMBO Caroline</cp:lastModifiedBy>
  <cp:lastPrinted>2015-10-06T07:41:38Z</cp:lastPrinted>
  <dcterms:created xsi:type="dcterms:W3CDTF">2015-07-17T09:42:43Z</dcterms:created>
  <dcterms:modified xsi:type="dcterms:W3CDTF">2019-06-11T16:35:49Z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a2c98866-bf81-45c6-8681-21800e68175a</vt:lpwstr>
  </property>
  <property fmtid="{D5CDD505-2E9C-101B-9397-08002B2CF9AE}" pid="3" name="ContentTypeId">
    <vt:lpwstr>0x0101007E65D9BE07173D4C80C1FB68060262EC00BA5C7E0B9EBEDB439F254855E6723E39</vt:lpwstr>
  </property>
</Properties>
</file>