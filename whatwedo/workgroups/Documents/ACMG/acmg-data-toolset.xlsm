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drawings/drawing11.xml" ContentType="application/vnd.openxmlformats-officedocument.drawingml.chartshapes+xml"/>
  <Override PartName="/xl/charts/chart2.xml" ContentType="application/vnd.openxmlformats-officedocument.drawingml.chart+xml"/>
  <Override PartName="/xl/drawings/drawing1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51196F13-6AD0-C1B8-E2B4-A1F9AE17003E}"/>
  <workbookPr updateLinks="never" codeName="ThisWorkbook"/>
  <mc:AlternateContent xmlns:mc="http://schemas.openxmlformats.org/markup-compatibility/2006">
    <mc:Choice Requires="x15">
      <x15ac:absPath xmlns:x15ac="http://schemas.microsoft.com/office/spreadsheetml/2010/11/ac" url="/Users/sergiomoreira/Desktop/"/>
    </mc:Choice>
  </mc:AlternateContent>
  <xr:revisionPtr revIDLastSave="0" documentId="8_{98B3BA2B-BC81-1040-A7FC-AD22AB488AB9}" xr6:coauthVersionLast="43" xr6:coauthVersionMax="43" xr10:uidLastSave="{00000000-0000-0000-0000-000000000000}"/>
  <workbookProtection workbookAlgorithmName="SHA-512" workbookHashValue="bQhFkH1MspQmzsnSFGx1+LK1GqaFV3GwyNcEbE2Tch7Vw+1vzoW+iVhhCN+QE0s3fqJt3OwwSKJVJyJrFVkAog==" workbookSaltValue="gI8cr7RsEsZGWYoH26pLmA==" workbookSpinCount="100000" lockStructure="1"/>
  <bookViews>
    <workbookView xWindow="0" yWindow="460" windowWidth="51200" windowHeight="26740" tabRatio="773" xr2:uid="{00000000-000D-0000-FFFF-FFFF00000000}"/>
  </bookViews>
  <sheets>
    <sheet name="ReadMe" sheetId="66" r:id="rId1"/>
    <sheet name="Front Sheet" sheetId="1" r:id="rId2"/>
    <sheet name="Form 1 - aoctf" sheetId="58" state="hidden" r:id="rId3"/>
    <sheet name="Form 1" sheetId="75" r:id="rId4"/>
    <sheet name="Form 2" sheetId="72" r:id="rId5"/>
    <sheet name="Form 3 - 2009" sheetId="61" state="hidden" r:id="rId6"/>
    <sheet name="Form 3 - 2010" sheetId="62" state="hidden" r:id="rId7"/>
    <sheet name="Form 3 - 2011" sheetId="73" state="hidden" r:id="rId8"/>
    <sheet name="DataCheck" sheetId="70" state="hidden" r:id="rId9"/>
    <sheet name="Strategic KPIs Comparison" sheetId="76" r:id="rId10"/>
    <sheet name="AC Unit Cost Comparison" sheetId="77" r:id="rId11"/>
    <sheet name="References" sheetId="50" state="hidden" r:id="rId12"/>
    <sheet name="Setup" sheetId="71" state="hidden" r:id="rId13"/>
    <sheet name="Comments" sheetId="74" state="hidden" r:id="rId14"/>
  </sheets>
  <definedNames>
    <definedName name="_Key1" hidden="1">#REF!</definedName>
    <definedName name="_Key2" hidden="1">#REF!</definedName>
    <definedName name="_Order1" hidden="1">255</definedName>
    <definedName name="_Order2" hidden="1">255</definedName>
    <definedName name="_Parse_In" hidden="1">#REF!</definedName>
    <definedName name="_Parse_Out" hidden="1">#REF!</definedName>
    <definedName name="_Sort" hidden="1">#REF!</definedName>
    <definedName name="AirlineBusinessModel">References!$AB$2:$AB$6</definedName>
    <definedName name="AirlineCode">'Front Sheet'!$C$4</definedName>
    <definedName name="_xlnm.Print_Area" localSheetId="0">ReadMe!$A$1:$E$50</definedName>
    <definedName name="ChartRangeAge2009">OFFSET(#REF!,0,0,1,30-COUNTBLANK(#REF!))</definedName>
    <definedName name="ChartRangeAge2010">OFFSET(#REF!,0,0,1,30-COUNTBLANK(#REF!))</definedName>
    <definedName name="ChartRangeAge2011">OFFSET(#REF!,0,0,1,30-COUNTBLANK(#REF!))</definedName>
    <definedName name="ChartRangeAircraft2010">OFFSET(#REF!,0,0,1,30-COUNTBLANK(#REF!))</definedName>
    <definedName name="ChartRangeCostPerASK2009">OFFSET(#REF!,0,0,1,30-COUNTBLANK(#REF!))</definedName>
    <definedName name="ChartRangeCostPerASK2010">OFFSET(#REF!,0,0,1,30-COUNTBLANK(#REF!))</definedName>
    <definedName name="ChartRangeCostPerASK2011">OFFSET(#REF!,0,0,1,30-COUNTBLANK(#REF!))</definedName>
    <definedName name="ChartRangeCostPerATK2009">OFFSET(#REF!,0,0,1,30-COUNTBLANK(#REF!))</definedName>
    <definedName name="ChartRangeCostPerATK2010">OFFSET(#REF!,0,0,1,30-COUNTBLANK(#REF!))</definedName>
    <definedName name="ChartRangeCostPerATK2011">OFFSET(#REF!,0,0,1,30-COUNTBLANK(#REF!))</definedName>
    <definedName name="ChartRangeRT2010">OFFSET(#REF!,0,0,1,30-COUNTBLANK(#REF!))</definedName>
    <definedName name="ChartRangeRTCostPerASK2009">OFFSET(#REF!,0,0,1,30-COUNTBLANK(#REF!))</definedName>
    <definedName name="ChartRangeRTCostPerASK2010">OFFSET(#REF!,0,0,1,30-COUNTBLANK(#REF!))</definedName>
    <definedName name="ChartRangeRTCostPerASK2011">OFFSET(#REF!,0,0,1,30-COUNTBLANK(#REF!))</definedName>
    <definedName name="ChartRangeRTCostPerATK2009">OFFSET(#REF!,0,0,1,30-COUNTBLANK(#REF!))</definedName>
    <definedName name="ChartRangeRTCostPerATK2010">OFFSET(#REF!,0,0,1,30-COUNTBLANK(#REF!))</definedName>
    <definedName name="ChartRangeRTCostPerATK2011">OFFSET(#REF!,0,0,1,30-COUNTBLANK(#REF!))</definedName>
    <definedName name="ChartRangeRTUtil2009">OFFSET(#REF!,0,0,1,30-COUNTBLANK(#REF!))</definedName>
    <definedName name="ChartRangeRTUtil2010">OFFSET(#REF!,0,0,1,30-COUNTBLANK(#REF!))</definedName>
    <definedName name="ChartRangeRTUtil2011">OFFSET(#REF!,0,0,1,30-COUNTBLANK(#REF!))</definedName>
    <definedName name="ChartRangeUtil2009">OFFSET(#REF!,0,0,1,30-COUNTBLANK(#REF!))</definedName>
    <definedName name="ChartRangeUtil2010">OFFSET(#REF!,0,0,1,30-COUNTBLANK(#REF!))</definedName>
    <definedName name="ChartRangeUtil2011">OFFSET(#REF!,0,0,1,30-COUNTBLANK(#REF!))</definedName>
    <definedName name="ClassCodes">References!$R$2:$S$4</definedName>
    <definedName name="CorporateResults">'Front Sheet'!#REF!</definedName>
    <definedName name="CountryNameAlone">References!$D$2:$D$214</definedName>
    <definedName name="CurrencyCode">References!$E$2:$E$194</definedName>
    <definedName name="CurrencyCountryCode">References!$F$2:$F$214</definedName>
    <definedName name="DataCollectionYear">'Front Sheet'!$C$10</definedName>
    <definedName name="FinancialYearEnd">'Front Sheet'!$C$9</definedName>
    <definedName name="FinancialYearValue">References!$I$2:$I$13</definedName>
    <definedName name="IATACode">References!$A$2:$A$722</definedName>
    <definedName name="IATACodeName">OFFSET(References!$A$2,0,0,COUNTA(References!$A:$A)-1,2)</definedName>
    <definedName name="ListAircraft">OFFSET(References!$Y$2,0,0,COUNTA(References!$Y:$Y)-1,1)</definedName>
    <definedName name="ListAircraftNCode">OFFSET(References!$Y$2,0,0,COUNTA(References!$Y:$Y)-1,3)</definedName>
    <definedName name="ListDataCollectionYear">OFFSET(References!$U$2,0,0,COUNTA(References!$U:$U)-1,1)</definedName>
    <definedName name="ListExchangeRateInput">OFFSET(References!$V$2,0,0,COUNTA(References!$V:$V)-1,1)</definedName>
    <definedName name="ListIATACode">OFFSET(References!$A$2,0,0,COUNTA(References!$A:$A)-1,1)</definedName>
    <definedName name="ListInequalitySymbolGT">OFFSET(References!$W$2,0,0,COUNTA(References!$W:$W)-1,1)</definedName>
    <definedName name="ListInequalitySymbolLT">OFFSET(References!$X$2,0,0,COUNTA(References!$X:$X)-1,1)</definedName>
    <definedName name="ListRoute">OFFSET(References!$O$2,0,0,COUNTA(References!$O:$O)-1,1)</definedName>
    <definedName name="ListRouteNCode">OFFSET(References!$O$2,0,0,COUNTA(References!$O:$O)-1,2)</definedName>
    <definedName name="MtceCost">References!$AC$2:$AC$3</definedName>
    <definedName name="MtceSegments">References!#REF!</definedName>
    <definedName name="ReportingCurrency">'Front Sheet'!$C$7</definedName>
    <definedName name="RouteCodeAndRoutes">References!$Q$2:$Q$30</definedName>
    <definedName name="RouteList">References!$O$2:$O$26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75" l="1"/>
  <c r="C93" i="72"/>
  <c r="C27" i="72" l="1"/>
  <c r="C26" i="72"/>
  <c r="D28" i="72"/>
  <c r="G28" i="72"/>
  <c r="F28" i="72"/>
  <c r="H28" i="72"/>
  <c r="I28" i="72"/>
  <c r="J28" i="72"/>
  <c r="K28" i="72"/>
  <c r="L28" i="72"/>
  <c r="M28" i="72"/>
  <c r="N28" i="72"/>
  <c r="O28" i="72"/>
  <c r="P28" i="72"/>
  <c r="Q28" i="72"/>
  <c r="R28" i="72"/>
  <c r="S28" i="72"/>
  <c r="T28" i="72"/>
  <c r="U28" i="72"/>
  <c r="V28" i="72"/>
  <c r="W28" i="72"/>
  <c r="X28" i="72"/>
  <c r="Y28" i="72"/>
  <c r="Z28" i="72"/>
  <c r="AA28" i="72"/>
  <c r="AB28" i="72"/>
  <c r="AC28" i="72"/>
  <c r="AD28" i="72"/>
  <c r="AE28" i="72"/>
  <c r="AF28" i="72"/>
  <c r="AG28" i="72"/>
  <c r="E28" i="72"/>
  <c r="C28" i="72" s="1"/>
  <c r="F30" i="76" s="1"/>
  <c r="C35" i="72"/>
  <c r="C39" i="72" s="1"/>
  <c r="E38" i="76"/>
  <c r="D11" i="66"/>
  <c r="F36" i="76"/>
  <c r="C74" i="72" a="1"/>
  <c r="C74" i="72" s="1"/>
  <c r="E16" i="76" s="1"/>
  <c r="F16" i="76" s="1"/>
  <c r="C29" i="75"/>
  <c r="C30" i="75"/>
  <c r="D30" i="75"/>
  <c r="E22" i="72"/>
  <c r="F22" i="72"/>
  <c r="G22" i="72"/>
  <c r="H22" i="72"/>
  <c r="I22" i="72"/>
  <c r="J22" i="72"/>
  <c r="K22" i="72"/>
  <c r="L22" i="72"/>
  <c r="L29" i="72" s="1"/>
  <c r="M22" i="72"/>
  <c r="N22" i="72"/>
  <c r="O22" i="72"/>
  <c r="O29" i="72" s="1"/>
  <c r="P22" i="72"/>
  <c r="Q22" i="72"/>
  <c r="R22" i="72"/>
  <c r="S22" i="72"/>
  <c r="S29" i="72" s="1"/>
  <c r="S49" i="72" s="1"/>
  <c r="T22" i="72"/>
  <c r="U22" i="72"/>
  <c r="V22" i="72"/>
  <c r="W22" i="72"/>
  <c r="X22" i="72"/>
  <c r="Y22" i="72"/>
  <c r="Z22" i="72"/>
  <c r="AA22" i="72"/>
  <c r="AB22" i="72"/>
  <c r="AC22" i="72"/>
  <c r="AD22" i="72"/>
  <c r="AE22" i="72"/>
  <c r="AE29" i="72" s="1"/>
  <c r="AE49" i="72" s="1"/>
  <c r="AF22" i="72"/>
  <c r="AG22" i="72"/>
  <c r="BA34" i="77"/>
  <c r="BB33" i="77"/>
  <c r="BA33" i="77"/>
  <c r="AX34" i="77"/>
  <c r="AU34" i="77"/>
  <c r="AR34" i="77"/>
  <c r="AO34" i="77"/>
  <c r="AY33" i="77"/>
  <c r="AX33" i="77"/>
  <c r="AV33" i="77"/>
  <c r="AU33" i="77"/>
  <c r="AS33" i="77"/>
  <c r="AR33" i="77"/>
  <c r="AP33" i="77"/>
  <c r="AO33" i="77"/>
  <c r="AL34" i="77"/>
  <c r="AI34" i="77"/>
  <c r="AF34" i="77"/>
  <c r="AC34" i="77"/>
  <c r="AM33" i="77"/>
  <c r="AL33" i="77"/>
  <c r="AJ33" i="77"/>
  <c r="AI33" i="77"/>
  <c r="AG33" i="77"/>
  <c r="AF33" i="77"/>
  <c r="AD33" i="77"/>
  <c r="AC33" i="77"/>
  <c r="Z34" i="77"/>
  <c r="W34" i="77"/>
  <c r="AA33" i="77"/>
  <c r="Z33" i="77"/>
  <c r="X33" i="77"/>
  <c r="W33" i="77"/>
  <c r="T34" i="77"/>
  <c r="Q34" i="77"/>
  <c r="U33" i="77"/>
  <c r="T33" i="77"/>
  <c r="R33" i="77"/>
  <c r="Q33" i="77"/>
  <c r="N34" i="77"/>
  <c r="K34" i="77"/>
  <c r="O33" i="77"/>
  <c r="N33" i="77"/>
  <c r="L33" i="77"/>
  <c r="K33" i="77"/>
  <c r="H34" i="77"/>
  <c r="I33" i="77"/>
  <c r="H33" i="77"/>
  <c r="F33" i="77"/>
  <c r="E34" i="77"/>
  <c r="E33" i="77"/>
  <c r="C70" i="72" a="1"/>
  <c r="C70" i="72" s="1"/>
  <c r="E15" i="76" s="1"/>
  <c r="F15" i="76" s="1"/>
  <c r="C66" i="72"/>
  <c r="G58" i="72"/>
  <c r="G62" i="72" s="1"/>
  <c r="C24" i="72"/>
  <c r="C16" i="72"/>
  <c r="C12" i="72"/>
  <c r="C10" i="72"/>
  <c r="C8" i="72"/>
  <c r="F31" i="76" s="1"/>
  <c r="E61" i="72"/>
  <c r="T61" i="72"/>
  <c r="H60" i="72"/>
  <c r="G60" i="72"/>
  <c r="E60" i="72"/>
  <c r="D60" i="72"/>
  <c r="D61" i="72"/>
  <c r="AG61" i="72"/>
  <c r="AF61" i="72"/>
  <c r="AE61" i="72"/>
  <c r="AD61" i="72"/>
  <c r="AC61" i="72"/>
  <c r="AB61" i="72"/>
  <c r="AA61" i="72"/>
  <c r="Z61" i="72"/>
  <c r="Y61" i="72"/>
  <c r="X61" i="72"/>
  <c r="W61" i="72"/>
  <c r="V61" i="72"/>
  <c r="U61" i="72"/>
  <c r="S61" i="72"/>
  <c r="R61" i="72"/>
  <c r="Q61" i="72"/>
  <c r="P61" i="72"/>
  <c r="O61" i="72"/>
  <c r="N61" i="72"/>
  <c r="M61" i="72"/>
  <c r="L61" i="72"/>
  <c r="K61" i="72"/>
  <c r="J61" i="72"/>
  <c r="I61" i="72"/>
  <c r="H61" i="72"/>
  <c r="AG60" i="72"/>
  <c r="AF60" i="72"/>
  <c r="AE60" i="72"/>
  <c r="AD60" i="72"/>
  <c r="AC60" i="72"/>
  <c r="AB60" i="72"/>
  <c r="AA60" i="72"/>
  <c r="Z60" i="72"/>
  <c r="Y60" i="72"/>
  <c r="X60" i="72"/>
  <c r="W60" i="72"/>
  <c r="V60" i="72"/>
  <c r="U60" i="72"/>
  <c r="T60" i="72"/>
  <c r="S60" i="72"/>
  <c r="R60" i="72"/>
  <c r="Q60" i="72"/>
  <c r="P60" i="72"/>
  <c r="O60" i="72"/>
  <c r="N60" i="72"/>
  <c r="M60" i="72"/>
  <c r="L60" i="72"/>
  <c r="K60" i="72"/>
  <c r="J60" i="72"/>
  <c r="I60" i="72"/>
  <c r="F75" i="72"/>
  <c r="E75" i="72"/>
  <c r="D75" i="72"/>
  <c r="D76" i="72"/>
  <c r="F76" i="72"/>
  <c r="AG76" i="72"/>
  <c r="AF76" i="72"/>
  <c r="AE76" i="72"/>
  <c r="AD76" i="72"/>
  <c r="AC76" i="72"/>
  <c r="AB76" i="72"/>
  <c r="AA76" i="72"/>
  <c r="Z76" i="72"/>
  <c r="Y76" i="72"/>
  <c r="X76" i="72"/>
  <c r="W76" i="72"/>
  <c r="V76" i="72"/>
  <c r="U76" i="72"/>
  <c r="T76" i="72"/>
  <c r="S76" i="72"/>
  <c r="R76" i="72"/>
  <c r="Q76" i="72"/>
  <c r="P76" i="72"/>
  <c r="O76" i="72"/>
  <c r="N76" i="72"/>
  <c r="M76" i="72"/>
  <c r="L76" i="72"/>
  <c r="K76" i="72"/>
  <c r="J76" i="72"/>
  <c r="I76" i="72"/>
  <c r="H76" i="72"/>
  <c r="E76" i="72"/>
  <c r="AG75" i="72"/>
  <c r="AF75" i="72"/>
  <c r="AE75" i="72"/>
  <c r="AD75" i="72"/>
  <c r="AC75" i="72"/>
  <c r="AB75" i="72"/>
  <c r="AA75" i="72"/>
  <c r="Z75" i="72"/>
  <c r="Y75" i="72"/>
  <c r="X75" i="72"/>
  <c r="W75" i="72"/>
  <c r="V75" i="72"/>
  <c r="U75" i="72"/>
  <c r="T75" i="72"/>
  <c r="S75" i="72"/>
  <c r="R75" i="72"/>
  <c r="Q75" i="72"/>
  <c r="P75" i="72"/>
  <c r="O75" i="72"/>
  <c r="N75" i="72"/>
  <c r="M75" i="72"/>
  <c r="L75" i="72"/>
  <c r="K75" i="72"/>
  <c r="J75" i="72"/>
  <c r="I75" i="72"/>
  <c r="H75" i="72"/>
  <c r="C98" i="72"/>
  <c r="D13" i="70"/>
  <c r="D29" i="75"/>
  <c r="C20" i="72"/>
  <c r="D22" i="72"/>
  <c r="C19" i="72"/>
  <c r="C18" i="72"/>
  <c r="C17" i="72"/>
  <c r="E58" i="72"/>
  <c r="E62" i="72" s="1"/>
  <c r="C88" i="72"/>
  <c r="C46" i="72"/>
  <c r="F29" i="76" s="1"/>
  <c r="D6" i="72"/>
  <c r="H14" i="72"/>
  <c r="I14" i="72"/>
  <c r="J14" i="72"/>
  <c r="K14" i="72"/>
  <c r="L14" i="72"/>
  <c r="M14" i="72"/>
  <c r="N14" i="72"/>
  <c r="O14" i="72"/>
  <c r="P14" i="72"/>
  <c r="Q14" i="72"/>
  <c r="R14" i="72"/>
  <c r="S14" i="72"/>
  <c r="T14" i="72"/>
  <c r="U14" i="72"/>
  <c r="V14" i="72"/>
  <c r="W14" i="72"/>
  <c r="X14" i="72"/>
  <c r="Y14" i="72"/>
  <c r="Z14" i="72"/>
  <c r="AA14" i="72"/>
  <c r="AB14" i="72"/>
  <c r="AC14" i="72"/>
  <c r="AD14" i="72"/>
  <c r="AE14" i="72"/>
  <c r="AF14" i="72"/>
  <c r="AG14" i="72"/>
  <c r="E14" i="72"/>
  <c r="D14" i="72"/>
  <c r="C85" i="72"/>
  <c r="C82" i="72"/>
  <c r="E5" i="75"/>
  <c r="F2" i="50"/>
  <c r="M2" i="50"/>
  <c r="F3" i="50"/>
  <c r="M3" i="50"/>
  <c r="F4" i="50"/>
  <c r="M4" i="50"/>
  <c r="F5" i="50"/>
  <c r="M5" i="50"/>
  <c r="F6" i="50"/>
  <c r="M6" i="50"/>
  <c r="F7" i="50"/>
  <c r="M7" i="50"/>
  <c r="F8" i="50"/>
  <c r="M8" i="50"/>
  <c r="F9" i="50"/>
  <c r="M9" i="50"/>
  <c r="F10" i="50"/>
  <c r="M10" i="50"/>
  <c r="F11" i="50"/>
  <c r="M11" i="50"/>
  <c r="F12" i="50"/>
  <c r="M12" i="50"/>
  <c r="F13" i="50"/>
  <c r="M13" i="50"/>
  <c r="F14" i="50"/>
  <c r="M14" i="50"/>
  <c r="F15" i="50"/>
  <c r="M15" i="50"/>
  <c r="F16" i="50"/>
  <c r="M16" i="50"/>
  <c r="F17" i="50"/>
  <c r="M17" i="50"/>
  <c r="F18" i="50"/>
  <c r="M18" i="50"/>
  <c r="F19" i="50"/>
  <c r="M19" i="50"/>
  <c r="F20" i="50"/>
  <c r="M20" i="50"/>
  <c r="F21" i="50"/>
  <c r="M21" i="50"/>
  <c r="F22" i="50"/>
  <c r="M22" i="50"/>
  <c r="F23" i="50"/>
  <c r="M23" i="50"/>
  <c r="F24" i="50"/>
  <c r="M24" i="50"/>
  <c r="F25" i="50"/>
  <c r="M25" i="50"/>
  <c r="F26" i="50"/>
  <c r="M26" i="50"/>
  <c r="F27" i="50"/>
  <c r="M27" i="50"/>
  <c r="F28" i="50"/>
  <c r="M28" i="50"/>
  <c r="F29" i="50"/>
  <c r="M29" i="50"/>
  <c r="F30" i="50"/>
  <c r="M30" i="50"/>
  <c r="F31" i="50"/>
  <c r="M31" i="50"/>
  <c r="F32" i="50"/>
  <c r="M32" i="50"/>
  <c r="F33" i="50"/>
  <c r="M33" i="50"/>
  <c r="F34" i="50"/>
  <c r="M34" i="50"/>
  <c r="F35" i="50"/>
  <c r="M35" i="50"/>
  <c r="F36" i="50"/>
  <c r="M36" i="50"/>
  <c r="F37" i="50"/>
  <c r="M37" i="50"/>
  <c r="F38" i="50"/>
  <c r="M38" i="50"/>
  <c r="F39" i="50"/>
  <c r="M39" i="50"/>
  <c r="F40" i="50"/>
  <c r="M40" i="50"/>
  <c r="F41" i="50"/>
  <c r="M41" i="50"/>
  <c r="F42" i="50"/>
  <c r="M42" i="50"/>
  <c r="F43" i="50"/>
  <c r="M43" i="50"/>
  <c r="F44" i="50"/>
  <c r="M44" i="50"/>
  <c r="F45" i="50"/>
  <c r="M45" i="50"/>
  <c r="F46" i="50"/>
  <c r="M46" i="50"/>
  <c r="F47" i="50"/>
  <c r="M47" i="50"/>
  <c r="F48" i="50"/>
  <c r="M48" i="50"/>
  <c r="F49" i="50"/>
  <c r="M49" i="50"/>
  <c r="F50" i="50"/>
  <c r="M50" i="50"/>
  <c r="F51" i="50"/>
  <c r="M51" i="50"/>
  <c r="F52" i="50"/>
  <c r="M52" i="50"/>
  <c r="F53" i="50"/>
  <c r="M53" i="50"/>
  <c r="F54" i="50"/>
  <c r="M54" i="50"/>
  <c r="F55" i="50"/>
  <c r="M55" i="50"/>
  <c r="F56" i="50"/>
  <c r="M56" i="50"/>
  <c r="F57" i="50"/>
  <c r="M57" i="50"/>
  <c r="F58" i="50"/>
  <c r="M58" i="50"/>
  <c r="F59" i="50"/>
  <c r="M59" i="50"/>
  <c r="F60" i="50"/>
  <c r="M60" i="50"/>
  <c r="F61" i="50"/>
  <c r="M61" i="50"/>
  <c r="F62" i="50"/>
  <c r="M62" i="50"/>
  <c r="F63" i="50"/>
  <c r="M63" i="50"/>
  <c r="F64" i="50"/>
  <c r="M64" i="50"/>
  <c r="F65" i="50"/>
  <c r="M65" i="50"/>
  <c r="F66" i="50"/>
  <c r="M66" i="50"/>
  <c r="F67" i="50"/>
  <c r="M67" i="50"/>
  <c r="F68" i="50"/>
  <c r="M68" i="50"/>
  <c r="F69" i="50"/>
  <c r="M69" i="50"/>
  <c r="F70" i="50"/>
  <c r="M70" i="50"/>
  <c r="F71" i="50"/>
  <c r="M71" i="50"/>
  <c r="F72" i="50"/>
  <c r="M72" i="50"/>
  <c r="F73" i="50"/>
  <c r="M73" i="50"/>
  <c r="F74" i="50"/>
  <c r="M74" i="50"/>
  <c r="F75" i="50"/>
  <c r="M75" i="50"/>
  <c r="F76" i="50"/>
  <c r="M76" i="50"/>
  <c r="F77" i="50"/>
  <c r="M77" i="50"/>
  <c r="F78" i="50"/>
  <c r="M78" i="50"/>
  <c r="F79" i="50"/>
  <c r="M79" i="50"/>
  <c r="F80" i="50"/>
  <c r="M80" i="50"/>
  <c r="F81" i="50"/>
  <c r="M81" i="50"/>
  <c r="F82" i="50"/>
  <c r="M82" i="50"/>
  <c r="F83" i="50"/>
  <c r="M83" i="50"/>
  <c r="F84" i="50"/>
  <c r="M84" i="50"/>
  <c r="F85" i="50"/>
  <c r="M85" i="50"/>
  <c r="F86" i="50"/>
  <c r="M86" i="50"/>
  <c r="F87" i="50"/>
  <c r="M87" i="50"/>
  <c r="F88" i="50"/>
  <c r="M88" i="50"/>
  <c r="F89" i="50"/>
  <c r="M89" i="50"/>
  <c r="F90" i="50"/>
  <c r="M90" i="50"/>
  <c r="F91" i="50"/>
  <c r="M91" i="50"/>
  <c r="F92" i="50"/>
  <c r="M92" i="50"/>
  <c r="F93" i="50"/>
  <c r="M93" i="50"/>
  <c r="F94" i="50"/>
  <c r="M94" i="50"/>
  <c r="F95" i="50"/>
  <c r="M95" i="50"/>
  <c r="F96" i="50"/>
  <c r="M96" i="50"/>
  <c r="F97" i="50"/>
  <c r="M97" i="50"/>
  <c r="F98" i="50"/>
  <c r="M98" i="50"/>
  <c r="F99" i="50"/>
  <c r="M99" i="50"/>
  <c r="F100" i="50"/>
  <c r="M100" i="50"/>
  <c r="F101" i="50"/>
  <c r="M101" i="50"/>
  <c r="F102" i="50"/>
  <c r="M102" i="50"/>
  <c r="F103" i="50"/>
  <c r="M103" i="50"/>
  <c r="F104" i="50"/>
  <c r="M104" i="50"/>
  <c r="F105" i="50"/>
  <c r="M105" i="50"/>
  <c r="F106" i="50"/>
  <c r="M106" i="50"/>
  <c r="F107" i="50"/>
  <c r="M107" i="50"/>
  <c r="F108" i="50"/>
  <c r="M108" i="50"/>
  <c r="F109" i="50"/>
  <c r="M109" i="50"/>
  <c r="F110" i="50"/>
  <c r="M110" i="50"/>
  <c r="F111" i="50"/>
  <c r="M111" i="50"/>
  <c r="F112" i="50"/>
  <c r="M112" i="50"/>
  <c r="F113" i="50"/>
  <c r="M113" i="50"/>
  <c r="F114" i="50"/>
  <c r="M114" i="50"/>
  <c r="F115" i="50"/>
  <c r="M115" i="50"/>
  <c r="F116" i="50"/>
  <c r="M116" i="50"/>
  <c r="F117" i="50"/>
  <c r="M117" i="50"/>
  <c r="F118" i="50"/>
  <c r="M118" i="50"/>
  <c r="F119" i="50"/>
  <c r="M119" i="50"/>
  <c r="F120" i="50"/>
  <c r="M120" i="50"/>
  <c r="F121" i="50"/>
  <c r="M121" i="50"/>
  <c r="F122" i="50"/>
  <c r="M122" i="50"/>
  <c r="F123" i="50"/>
  <c r="M123" i="50"/>
  <c r="F124" i="50"/>
  <c r="M124" i="50"/>
  <c r="F125" i="50"/>
  <c r="M125" i="50"/>
  <c r="F126" i="50"/>
  <c r="M126" i="50"/>
  <c r="F127" i="50"/>
  <c r="M127" i="50"/>
  <c r="F128" i="50"/>
  <c r="M128" i="50"/>
  <c r="F129" i="50"/>
  <c r="M129" i="50"/>
  <c r="F130" i="50"/>
  <c r="M130" i="50"/>
  <c r="F131" i="50"/>
  <c r="M131" i="50"/>
  <c r="F132" i="50"/>
  <c r="M132" i="50"/>
  <c r="F133" i="50"/>
  <c r="M133" i="50"/>
  <c r="F134" i="50"/>
  <c r="M134" i="50"/>
  <c r="F135" i="50"/>
  <c r="M135" i="50"/>
  <c r="F136" i="50"/>
  <c r="M136" i="50"/>
  <c r="F137" i="50"/>
  <c r="M137" i="50"/>
  <c r="F138" i="50"/>
  <c r="M138" i="50"/>
  <c r="F139" i="50"/>
  <c r="M139" i="50"/>
  <c r="F140" i="50"/>
  <c r="M140" i="50"/>
  <c r="F141" i="50"/>
  <c r="M141" i="50"/>
  <c r="F142" i="50"/>
  <c r="M142" i="50"/>
  <c r="F143" i="50"/>
  <c r="M143" i="50"/>
  <c r="F144" i="50"/>
  <c r="M144" i="50"/>
  <c r="F145" i="50"/>
  <c r="M145" i="50"/>
  <c r="F146" i="50"/>
  <c r="M146" i="50"/>
  <c r="F147" i="50"/>
  <c r="M147" i="50"/>
  <c r="F148" i="50"/>
  <c r="M148" i="50"/>
  <c r="F149" i="50"/>
  <c r="M149" i="50"/>
  <c r="F150" i="50"/>
  <c r="M150" i="50"/>
  <c r="F151" i="50"/>
  <c r="M151" i="50"/>
  <c r="F152" i="50"/>
  <c r="F153" i="50"/>
  <c r="F154" i="50"/>
  <c r="F155" i="50"/>
  <c r="F156" i="50"/>
  <c r="F157" i="50"/>
  <c r="F158" i="50"/>
  <c r="F159" i="50"/>
  <c r="F160" i="50"/>
  <c r="F161" i="50"/>
  <c r="F162" i="50"/>
  <c r="F163" i="50"/>
  <c r="F164" i="50"/>
  <c r="F165" i="50"/>
  <c r="F166" i="50"/>
  <c r="F167" i="50"/>
  <c r="F168" i="50"/>
  <c r="F169" i="50"/>
  <c r="F170" i="50"/>
  <c r="F171" i="50"/>
  <c r="F172" i="50"/>
  <c r="F173" i="50"/>
  <c r="F174" i="50"/>
  <c r="F175" i="50"/>
  <c r="F176" i="50"/>
  <c r="F177" i="50"/>
  <c r="F178" i="50"/>
  <c r="F179" i="50"/>
  <c r="F180" i="50"/>
  <c r="F181" i="50"/>
  <c r="F182" i="50"/>
  <c r="F183" i="50"/>
  <c r="F184" i="50"/>
  <c r="F185" i="50"/>
  <c r="F186" i="50"/>
  <c r="F187" i="50"/>
  <c r="F188" i="50"/>
  <c r="F189" i="50"/>
  <c r="F190" i="50"/>
  <c r="F191" i="50"/>
  <c r="F192" i="50"/>
  <c r="F193" i="50"/>
  <c r="F194" i="50"/>
  <c r="F195" i="50"/>
  <c r="F196" i="50"/>
  <c r="F197" i="50"/>
  <c r="F198" i="50"/>
  <c r="F199" i="50"/>
  <c r="F200" i="50"/>
  <c r="F201" i="50"/>
  <c r="F202" i="50"/>
  <c r="F203" i="50"/>
  <c r="F204" i="50"/>
  <c r="F205" i="50"/>
  <c r="F206" i="50"/>
  <c r="F207" i="50"/>
  <c r="F208" i="50"/>
  <c r="F209" i="50"/>
  <c r="F210" i="50"/>
  <c r="F211" i="50"/>
  <c r="F212" i="50"/>
  <c r="F213" i="50"/>
  <c r="F214" i="50"/>
  <c r="F28" i="76"/>
  <c r="F34" i="76"/>
  <c r="D6" i="70"/>
  <c r="D14" i="70"/>
  <c r="C5" i="73"/>
  <c r="D6" i="73"/>
  <c r="E6" i="73"/>
  <c r="F6" i="73"/>
  <c r="G6" i="73"/>
  <c r="H6" i="73"/>
  <c r="I6" i="73"/>
  <c r="J6" i="73"/>
  <c r="K6" i="73"/>
  <c r="L6" i="73"/>
  <c r="M6" i="73"/>
  <c r="N6" i="73"/>
  <c r="O6" i="73"/>
  <c r="P6" i="73"/>
  <c r="Q6" i="73"/>
  <c r="R6" i="73"/>
  <c r="S6" i="73"/>
  <c r="T6" i="73"/>
  <c r="U6" i="73"/>
  <c r="V6" i="73"/>
  <c r="W6" i="73"/>
  <c r="X6" i="73"/>
  <c r="Y6" i="73"/>
  <c r="Z6" i="73"/>
  <c r="AA6" i="73"/>
  <c r="AB6" i="73"/>
  <c r="AC6" i="73"/>
  <c r="AD6" i="73"/>
  <c r="AE6" i="73"/>
  <c r="AF6" i="73"/>
  <c r="AG6" i="73"/>
  <c r="C8" i="73"/>
  <c r="C9" i="73"/>
  <c r="C10" i="73"/>
  <c r="C11" i="73"/>
  <c r="D12" i="73"/>
  <c r="E12" i="73"/>
  <c r="F12" i="73"/>
  <c r="G12" i="73"/>
  <c r="H12" i="73"/>
  <c r="I12" i="73"/>
  <c r="J12" i="73"/>
  <c r="K12" i="73"/>
  <c r="L12" i="73"/>
  <c r="M12" i="73"/>
  <c r="N12" i="73"/>
  <c r="O12" i="73"/>
  <c r="P12" i="73"/>
  <c r="Q12" i="73"/>
  <c r="R12" i="73"/>
  <c r="S12" i="73"/>
  <c r="T12" i="73"/>
  <c r="U12" i="73"/>
  <c r="V12" i="73"/>
  <c r="W12" i="73"/>
  <c r="X12" i="73"/>
  <c r="Y12" i="73"/>
  <c r="Z12" i="73"/>
  <c r="AA12" i="73"/>
  <c r="AB12" i="73"/>
  <c r="AC12" i="73"/>
  <c r="AD12" i="73"/>
  <c r="AE12" i="73"/>
  <c r="AF12" i="73"/>
  <c r="AG12" i="73"/>
  <c r="C14" i="73"/>
  <c r="C15" i="73"/>
  <c r="C16" i="73"/>
  <c r="C17" i="73"/>
  <c r="C18" i="73"/>
  <c r="C19" i="73"/>
  <c r="C20" i="73"/>
  <c r="D21" i="73"/>
  <c r="D22" i="73" s="1"/>
  <c r="E21" i="73"/>
  <c r="E22" i="73" s="1"/>
  <c r="F21" i="73"/>
  <c r="G21" i="73"/>
  <c r="G22" i="73" s="1"/>
  <c r="H21" i="73"/>
  <c r="H22" i="73" s="1"/>
  <c r="I21" i="73"/>
  <c r="I22" i="73" s="1"/>
  <c r="J21" i="73"/>
  <c r="J22" i="73"/>
  <c r="J48" i="73" s="1"/>
  <c r="J53" i="73" s="1"/>
  <c r="K21" i="73"/>
  <c r="K22" i="73"/>
  <c r="L21" i="73"/>
  <c r="L22" i="73" s="1"/>
  <c r="M21" i="73"/>
  <c r="M22" i="73" s="1"/>
  <c r="N21" i="73"/>
  <c r="N22" i="73" s="1"/>
  <c r="O21" i="73"/>
  <c r="O22" i="73" s="1"/>
  <c r="P21" i="73"/>
  <c r="P22" i="73" s="1"/>
  <c r="P48" i="73" s="1"/>
  <c r="Q21" i="73"/>
  <c r="Q22" i="73" s="1"/>
  <c r="R21" i="73"/>
  <c r="R22" i="73"/>
  <c r="S21" i="73"/>
  <c r="S22" i="73"/>
  <c r="T21" i="73"/>
  <c r="T22" i="73" s="1"/>
  <c r="U21" i="73"/>
  <c r="U22" i="73" s="1"/>
  <c r="U48" i="73" s="1"/>
  <c r="U53" i="73" s="1"/>
  <c r="V21" i="73"/>
  <c r="V22" i="73"/>
  <c r="W21" i="73"/>
  <c r="W22" i="73" s="1"/>
  <c r="X21" i="73"/>
  <c r="X22" i="73" s="1"/>
  <c r="Y21" i="73"/>
  <c r="Y22" i="73" s="1"/>
  <c r="Y48" i="73" s="1"/>
  <c r="Y53" i="73" s="1"/>
  <c r="Z21" i="73"/>
  <c r="Z22" i="73" s="1"/>
  <c r="Z48" i="73" s="1"/>
  <c r="Z53" i="73" s="1"/>
  <c r="AA21" i="73"/>
  <c r="AA22" i="73"/>
  <c r="AB21" i="73"/>
  <c r="AB22" i="73" s="1"/>
  <c r="AC21" i="73"/>
  <c r="AC22" i="73" s="1"/>
  <c r="AD21" i="73"/>
  <c r="AD22" i="73" s="1"/>
  <c r="AE21" i="73"/>
  <c r="AE22" i="73"/>
  <c r="AF21" i="73"/>
  <c r="AF22" i="73"/>
  <c r="AG21" i="73"/>
  <c r="AG22" i="73" s="1"/>
  <c r="C24" i="73"/>
  <c r="C25" i="73"/>
  <c r="C26" i="73"/>
  <c r="C27" i="73"/>
  <c r="C28" i="73"/>
  <c r="D29" i="73"/>
  <c r="E29" i="73"/>
  <c r="F29" i="73"/>
  <c r="G29" i="73"/>
  <c r="H29" i="73"/>
  <c r="I29" i="73"/>
  <c r="J29" i="73"/>
  <c r="K29" i="73"/>
  <c r="L29" i="73"/>
  <c r="M29" i="73"/>
  <c r="N29" i="73"/>
  <c r="O29" i="73"/>
  <c r="P29" i="73"/>
  <c r="Q29" i="73"/>
  <c r="R29" i="73"/>
  <c r="S29" i="73"/>
  <c r="T29" i="73"/>
  <c r="U29" i="73"/>
  <c r="V29" i="73"/>
  <c r="W29" i="73"/>
  <c r="X29" i="73"/>
  <c r="Y29" i="73"/>
  <c r="Z29" i="73"/>
  <c r="AA29" i="73"/>
  <c r="AB29" i="73"/>
  <c r="AC29" i="73"/>
  <c r="AD29" i="73"/>
  <c r="AE29" i="73"/>
  <c r="AF29" i="73"/>
  <c r="AG29" i="73"/>
  <c r="C31" i="73"/>
  <c r="C32" i="73"/>
  <c r="D33" i="73"/>
  <c r="D38" i="73" s="1"/>
  <c r="E33" i="73"/>
  <c r="F33" i="73"/>
  <c r="G33" i="73"/>
  <c r="G38" i="73" s="1"/>
  <c r="G48" i="73" s="1"/>
  <c r="H33" i="73"/>
  <c r="I33" i="73"/>
  <c r="J33" i="73"/>
  <c r="K33" i="73"/>
  <c r="K38" i="73" s="1"/>
  <c r="L33" i="73"/>
  <c r="M33" i="73"/>
  <c r="M38" i="73" s="1"/>
  <c r="N33" i="73"/>
  <c r="N38" i="73" s="1"/>
  <c r="O33" i="73"/>
  <c r="P33" i="73"/>
  <c r="P38" i="73" s="1"/>
  <c r="Q33" i="73"/>
  <c r="Q38" i="73" s="1"/>
  <c r="R33" i="73"/>
  <c r="S33" i="73"/>
  <c r="T33" i="73"/>
  <c r="U33" i="73"/>
  <c r="U38" i="73" s="1"/>
  <c r="V33" i="73"/>
  <c r="W33" i="73"/>
  <c r="X33" i="73"/>
  <c r="Y33" i="73"/>
  <c r="Z33" i="73"/>
  <c r="Z38" i="73" s="1"/>
  <c r="AA33" i="73"/>
  <c r="AB33" i="73"/>
  <c r="AC33" i="73"/>
  <c r="AD33" i="73"/>
  <c r="AE33" i="73"/>
  <c r="AF33" i="73"/>
  <c r="AF38" i="73"/>
  <c r="AG33" i="73"/>
  <c r="C34" i="73"/>
  <c r="C35" i="73"/>
  <c r="C36" i="73"/>
  <c r="D37" i="73"/>
  <c r="E37" i="73"/>
  <c r="F37" i="73"/>
  <c r="F38" i="73"/>
  <c r="G37" i="73"/>
  <c r="H37" i="73"/>
  <c r="I37" i="73"/>
  <c r="J37" i="73"/>
  <c r="K37" i="73"/>
  <c r="L37" i="73"/>
  <c r="M37" i="73"/>
  <c r="N37" i="73"/>
  <c r="O37" i="73"/>
  <c r="O38" i="73"/>
  <c r="P37" i="73"/>
  <c r="Q37" i="73"/>
  <c r="R37" i="73"/>
  <c r="S37" i="73"/>
  <c r="T37" i="73"/>
  <c r="U37" i="73"/>
  <c r="V37" i="73"/>
  <c r="W37" i="73"/>
  <c r="W38" i="73" s="1"/>
  <c r="X37" i="73"/>
  <c r="Y37" i="73"/>
  <c r="Y38" i="73" s="1"/>
  <c r="Z37" i="73"/>
  <c r="AA37" i="73"/>
  <c r="AB37" i="73"/>
  <c r="AC37" i="73"/>
  <c r="AD37" i="73"/>
  <c r="AE37" i="73"/>
  <c r="AF37" i="73"/>
  <c r="AG37" i="73"/>
  <c r="C40" i="73"/>
  <c r="C41" i="73"/>
  <c r="C42" i="73"/>
  <c r="C43" i="73"/>
  <c r="C44" i="73"/>
  <c r="C45" i="73"/>
  <c r="D46" i="73"/>
  <c r="E46" i="73"/>
  <c r="F46" i="73"/>
  <c r="G46" i="73"/>
  <c r="H46" i="73"/>
  <c r="I46" i="73"/>
  <c r="J46" i="73"/>
  <c r="K46" i="73"/>
  <c r="L46" i="73"/>
  <c r="M46" i="73"/>
  <c r="N46" i="73"/>
  <c r="O46" i="73"/>
  <c r="P46" i="73"/>
  <c r="Q46" i="73"/>
  <c r="R46" i="73"/>
  <c r="S46" i="73"/>
  <c r="T46" i="73"/>
  <c r="U46" i="73"/>
  <c r="V46" i="73"/>
  <c r="W46" i="73"/>
  <c r="X46" i="73"/>
  <c r="Y46" i="73"/>
  <c r="Z46" i="73"/>
  <c r="AA46" i="73"/>
  <c r="AB46" i="73"/>
  <c r="AC46" i="73"/>
  <c r="AD46" i="73"/>
  <c r="AE46" i="73"/>
  <c r="AF46" i="73"/>
  <c r="AG46" i="73"/>
  <c r="C50" i="73"/>
  <c r="C51" i="73"/>
  <c r="D52" i="73"/>
  <c r="E52" i="73"/>
  <c r="F52" i="73"/>
  <c r="G52" i="73"/>
  <c r="H52" i="73"/>
  <c r="I52" i="73"/>
  <c r="J52" i="73"/>
  <c r="K52" i="73"/>
  <c r="L52" i="73"/>
  <c r="M52" i="73"/>
  <c r="N52" i="73"/>
  <c r="O52" i="73"/>
  <c r="P52" i="73"/>
  <c r="Q52" i="73"/>
  <c r="R52" i="73"/>
  <c r="S52" i="73"/>
  <c r="T52" i="73"/>
  <c r="U52" i="73"/>
  <c r="V52" i="73"/>
  <c r="W52" i="73"/>
  <c r="X52" i="73"/>
  <c r="Y52" i="73"/>
  <c r="Z52" i="73"/>
  <c r="AA52" i="73"/>
  <c r="AB52" i="73"/>
  <c r="AC52" i="73"/>
  <c r="AD52" i="73"/>
  <c r="AE52" i="73"/>
  <c r="AF52" i="73"/>
  <c r="AG52" i="73"/>
  <c r="C55" i="73"/>
  <c r="C57" i="73"/>
  <c r="C59" i="73"/>
  <c r="C61" i="73"/>
  <c r="C62" i="73"/>
  <c r="C63" i="73"/>
  <c r="D64" i="73"/>
  <c r="E64" i="73"/>
  <c r="F64" i="73"/>
  <c r="G64" i="73"/>
  <c r="H64" i="73"/>
  <c r="I64" i="73"/>
  <c r="J64" i="73"/>
  <c r="K64" i="73"/>
  <c r="L64" i="73"/>
  <c r="M64" i="73"/>
  <c r="N64" i="73"/>
  <c r="O64" i="73"/>
  <c r="P64" i="73"/>
  <c r="Q64" i="73"/>
  <c r="R64" i="73"/>
  <c r="S64" i="73"/>
  <c r="T64" i="73"/>
  <c r="U64" i="73"/>
  <c r="V64" i="73"/>
  <c r="W64" i="73"/>
  <c r="X64" i="73"/>
  <c r="Y64" i="73"/>
  <c r="Z64" i="73"/>
  <c r="AA64" i="73"/>
  <c r="AB64" i="73"/>
  <c r="AC64" i="73"/>
  <c r="AD64" i="73"/>
  <c r="AE64" i="73"/>
  <c r="AF64" i="73"/>
  <c r="AG64" i="73"/>
  <c r="C66" i="73"/>
  <c r="C67" i="73"/>
  <c r="C69" i="73"/>
  <c r="C70" i="73"/>
  <c r="C71" i="73"/>
  <c r="C72" i="73"/>
  <c r="C73" i="73"/>
  <c r="D75" i="73"/>
  <c r="E75" i="73"/>
  <c r="F75" i="73"/>
  <c r="G75" i="73"/>
  <c r="H75" i="73"/>
  <c r="I75" i="73"/>
  <c r="J75" i="73"/>
  <c r="K75" i="73"/>
  <c r="L75" i="73"/>
  <c r="M75" i="73"/>
  <c r="N75" i="73"/>
  <c r="O75" i="73"/>
  <c r="P75" i="73"/>
  <c r="Q75" i="73"/>
  <c r="R75" i="73"/>
  <c r="S75" i="73"/>
  <c r="T75" i="73"/>
  <c r="U75" i="73"/>
  <c r="V75" i="73"/>
  <c r="W75" i="73"/>
  <c r="X75" i="73"/>
  <c r="Y75" i="73"/>
  <c r="Z75" i="73"/>
  <c r="AA75" i="73"/>
  <c r="AB75" i="73"/>
  <c r="AC75" i="73"/>
  <c r="AD75" i="73"/>
  <c r="AE75" i="73"/>
  <c r="AF75" i="73"/>
  <c r="AG75" i="73"/>
  <c r="C5" i="62"/>
  <c r="D6" i="62"/>
  <c r="E6" i="62"/>
  <c r="F6" i="62"/>
  <c r="G6" i="62"/>
  <c r="H6" i="62"/>
  <c r="I6" i="62"/>
  <c r="J6" i="62"/>
  <c r="K6" i="62"/>
  <c r="L6" i="62"/>
  <c r="M6" i="62"/>
  <c r="N6" i="62"/>
  <c r="O6" i="62"/>
  <c r="P6" i="62"/>
  <c r="Q6" i="62"/>
  <c r="R6" i="62"/>
  <c r="S6" i="62"/>
  <c r="T6" i="62"/>
  <c r="U6" i="62"/>
  <c r="V6" i="62"/>
  <c r="W6" i="62"/>
  <c r="X6" i="62"/>
  <c r="Y6" i="62"/>
  <c r="Z6" i="62"/>
  <c r="AA6" i="62"/>
  <c r="AB6" i="62"/>
  <c r="AC6" i="62"/>
  <c r="AD6" i="62"/>
  <c r="AE6" i="62"/>
  <c r="AF6" i="62"/>
  <c r="AG6" i="62"/>
  <c r="C8" i="62"/>
  <c r="C9" i="62"/>
  <c r="C10" i="62"/>
  <c r="C11" i="62"/>
  <c r="D12" i="62"/>
  <c r="E12" i="62"/>
  <c r="F12" i="62"/>
  <c r="G12" i="62"/>
  <c r="H12" i="62"/>
  <c r="I12" i="62"/>
  <c r="J12" i="62"/>
  <c r="K12" i="62"/>
  <c r="L12" i="62"/>
  <c r="M12" i="62"/>
  <c r="N12" i="62"/>
  <c r="O12" i="62"/>
  <c r="P12" i="62"/>
  <c r="Q12" i="62"/>
  <c r="R12" i="62"/>
  <c r="S12" i="62"/>
  <c r="T12" i="62"/>
  <c r="U12" i="62"/>
  <c r="V12" i="62"/>
  <c r="W12" i="62"/>
  <c r="X12" i="62"/>
  <c r="Y12" i="62"/>
  <c r="Z12" i="62"/>
  <c r="AA12" i="62"/>
  <c r="AB12" i="62"/>
  <c r="AC12" i="62"/>
  <c r="AD12" i="62"/>
  <c r="AE12" i="62"/>
  <c r="AF12" i="62"/>
  <c r="AG12" i="62"/>
  <c r="C14" i="62"/>
  <c r="C15" i="62"/>
  <c r="C16" i="62"/>
  <c r="C17" i="62"/>
  <c r="C18" i="62"/>
  <c r="C19" i="62"/>
  <c r="C20" i="62"/>
  <c r="D21" i="62"/>
  <c r="D22" i="62" s="1"/>
  <c r="E21" i="62"/>
  <c r="F21" i="62"/>
  <c r="F22" i="62" s="1"/>
  <c r="G21" i="62"/>
  <c r="H21" i="62"/>
  <c r="H22" i="62" s="1"/>
  <c r="I21" i="62"/>
  <c r="I22" i="62" s="1"/>
  <c r="J21" i="62"/>
  <c r="J22" i="62" s="1"/>
  <c r="K21" i="62"/>
  <c r="K22" i="62" s="1"/>
  <c r="L21" i="62"/>
  <c r="L22" i="62"/>
  <c r="M21" i="62"/>
  <c r="M22" i="62" s="1"/>
  <c r="N21" i="62"/>
  <c r="N22" i="62" s="1"/>
  <c r="O21" i="62"/>
  <c r="O22" i="62" s="1"/>
  <c r="P21" i="62"/>
  <c r="P22" i="62" s="1"/>
  <c r="Q21" i="62"/>
  <c r="Q22" i="62" s="1"/>
  <c r="R21" i="62"/>
  <c r="R22" i="62" s="1"/>
  <c r="S21" i="62"/>
  <c r="S22" i="62" s="1"/>
  <c r="T21" i="62"/>
  <c r="T22" i="62" s="1"/>
  <c r="U21" i="62"/>
  <c r="U22" i="62" s="1"/>
  <c r="V21" i="62"/>
  <c r="V22" i="62" s="1"/>
  <c r="W21" i="62"/>
  <c r="W22" i="62" s="1"/>
  <c r="W48" i="62" s="1"/>
  <c r="W53" i="62" s="1"/>
  <c r="X21" i="62"/>
  <c r="X22" i="62" s="1"/>
  <c r="Y21" i="62"/>
  <c r="Y22" i="62" s="1"/>
  <c r="Z21" i="62"/>
  <c r="Z22" i="62" s="1"/>
  <c r="AA21" i="62"/>
  <c r="AA22" i="62" s="1"/>
  <c r="AB21" i="62"/>
  <c r="AB22" i="62" s="1"/>
  <c r="AC21" i="62"/>
  <c r="AC22" i="62"/>
  <c r="AD21" i="62"/>
  <c r="AD22" i="62" s="1"/>
  <c r="AE21" i="62"/>
  <c r="AE22" i="62" s="1"/>
  <c r="AF21" i="62"/>
  <c r="AF22" i="62"/>
  <c r="AG21" i="62"/>
  <c r="AG22" i="62" s="1"/>
  <c r="C24" i="62"/>
  <c r="C25" i="62"/>
  <c r="C26" i="62"/>
  <c r="C27" i="62"/>
  <c r="C28" i="62"/>
  <c r="D29" i="62"/>
  <c r="E29" i="62"/>
  <c r="F29" i="62"/>
  <c r="G29" i="62"/>
  <c r="H29" i="62"/>
  <c r="I29" i="62"/>
  <c r="J29" i="62"/>
  <c r="K29" i="62"/>
  <c r="L29" i="62"/>
  <c r="M29" i="62"/>
  <c r="N29" i="62"/>
  <c r="O29" i="62"/>
  <c r="P29" i="62"/>
  <c r="Q29" i="62"/>
  <c r="R29" i="62"/>
  <c r="S29" i="62"/>
  <c r="T29" i="62"/>
  <c r="U29" i="62"/>
  <c r="V29" i="62"/>
  <c r="W29" i="62"/>
  <c r="X29" i="62"/>
  <c r="Y29" i="62"/>
  <c r="Z29" i="62"/>
  <c r="AA29" i="62"/>
  <c r="AB29" i="62"/>
  <c r="AC29" i="62"/>
  <c r="AD29" i="62"/>
  <c r="AE29" i="62"/>
  <c r="AF29" i="62"/>
  <c r="AG29" i="62"/>
  <c r="C31" i="62"/>
  <c r="C32" i="62"/>
  <c r="D33" i="62"/>
  <c r="D38" i="62" s="1"/>
  <c r="E33" i="62"/>
  <c r="F33" i="62"/>
  <c r="G33" i="62"/>
  <c r="H33" i="62"/>
  <c r="I33" i="62"/>
  <c r="J33" i="62"/>
  <c r="K33" i="62"/>
  <c r="L33" i="62"/>
  <c r="L38" i="62" s="1"/>
  <c r="L48" i="62" s="1"/>
  <c r="L53" i="62" s="1"/>
  <c r="M33" i="62"/>
  <c r="M38" i="62" s="1"/>
  <c r="N33" i="62"/>
  <c r="O33" i="62"/>
  <c r="P33" i="62"/>
  <c r="P38" i="62"/>
  <c r="P48" i="62" s="1"/>
  <c r="P53" i="62" s="1"/>
  <c r="Q33" i="62"/>
  <c r="R33" i="62"/>
  <c r="R38" i="62" s="1"/>
  <c r="S33" i="62"/>
  <c r="S38" i="62" s="1"/>
  <c r="T33" i="62"/>
  <c r="U33" i="62"/>
  <c r="V33" i="62"/>
  <c r="V38" i="62" s="1"/>
  <c r="W33" i="62"/>
  <c r="W38" i="62" s="1"/>
  <c r="X33" i="62"/>
  <c r="X38" i="62" s="1"/>
  <c r="X48" i="62" s="1"/>
  <c r="X53" i="62" s="1"/>
  <c r="Y33" i="62"/>
  <c r="Z33" i="62"/>
  <c r="Z38" i="62" s="1"/>
  <c r="AA33" i="62"/>
  <c r="AA38" i="62" s="1"/>
  <c r="AA48" i="62" s="1"/>
  <c r="AA53" i="62" s="1"/>
  <c r="AB33" i="62"/>
  <c r="AB38" i="62" s="1"/>
  <c r="AB48" i="62" s="1"/>
  <c r="AB53" i="62" s="1"/>
  <c r="AC33" i="62"/>
  <c r="AD33" i="62"/>
  <c r="AE33" i="62"/>
  <c r="AE38" i="62" s="1"/>
  <c r="AF33" i="62"/>
  <c r="AG33" i="62"/>
  <c r="AG38" i="62" s="1"/>
  <c r="C34" i="62"/>
  <c r="C35" i="62"/>
  <c r="C36" i="62"/>
  <c r="D37" i="62"/>
  <c r="E37" i="62"/>
  <c r="F37" i="62"/>
  <c r="G37" i="62"/>
  <c r="H37" i="62"/>
  <c r="I37" i="62"/>
  <c r="J37" i="62"/>
  <c r="K37" i="62"/>
  <c r="L37" i="62"/>
  <c r="M37" i="62"/>
  <c r="N37" i="62"/>
  <c r="N38" i="62"/>
  <c r="O37" i="62"/>
  <c r="P37" i="62"/>
  <c r="Q37" i="62"/>
  <c r="R37" i="62"/>
  <c r="S37" i="62"/>
  <c r="T37" i="62"/>
  <c r="U37" i="62"/>
  <c r="V37" i="62"/>
  <c r="W37" i="62"/>
  <c r="X37" i="62"/>
  <c r="Y37" i="62"/>
  <c r="Z37" i="62"/>
  <c r="AA37" i="62"/>
  <c r="AB37" i="62"/>
  <c r="AC37" i="62"/>
  <c r="AC38" i="62" s="1"/>
  <c r="AD37" i="62"/>
  <c r="AE37" i="62"/>
  <c r="AF37" i="62"/>
  <c r="AG37" i="62"/>
  <c r="C40" i="62"/>
  <c r="C41" i="62"/>
  <c r="C42" i="62"/>
  <c r="C43" i="62"/>
  <c r="C44" i="62"/>
  <c r="C45" i="62"/>
  <c r="D46" i="62"/>
  <c r="E46" i="62"/>
  <c r="F46" i="62"/>
  <c r="C46" i="62" s="1"/>
  <c r="G46" i="62"/>
  <c r="H46" i="62"/>
  <c r="I46" i="62"/>
  <c r="J46" i="62"/>
  <c r="K46" i="62"/>
  <c r="L46" i="62"/>
  <c r="M46" i="62"/>
  <c r="N46" i="62"/>
  <c r="O46" i="62"/>
  <c r="P46" i="62"/>
  <c r="Q46" i="62"/>
  <c r="R46" i="62"/>
  <c r="S46" i="62"/>
  <c r="T46" i="62"/>
  <c r="U46" i="62"/>
  <c r="V46" i="62"/>
  <c r="W46" i="62"/>
  <c r="X46" i="62"/>
  <c r="Y46" i="62"/>
  <c r="Z46" i="62"/>
  <c r="AA46" i="62"/>
  <c r="AB46" i="62"/>
  <c r="AC46" i="62"/>
  <c r="AD46" i="62"/>
  <c r="AE46" i="62"/>
  <c r="AF46" i="62"/>
  <c r="AG46" i="62"/>
  <c r="C50" i="62"/>
  <c r="C51" i="62"/>
  <c r="D52" i="62"/>
  <c r="E52" i="62"/>
  <c r="F52" i="62"/>
  <c r="C52" i="62" s="1"/>
  <c r="G52" i="62"/>
  <c r="H52" i="62"/>
  <c r="I52" i="62"/>
  <c r="J52" i="62"/>
  <c r="K52" i="62"/>
  <c r="L52" i="62"/>
  <c r="M52" i="62"/>
  <c r="N52" i="62"/>
  <c r="O52" i="62"/>
  <c r="P52" i="62"/>
  <c r="Q52" i="62"/>
  <c r="R52" i="62"/>
  <c r="S52" i="62"/>
  <c r="T52" i="62"/>
  <c r="U52" i="62"/>
  <c r="V52" i="62"/>
  <c r="W52" i="62"/>
  <c r="X52" i="62"/>
  <c r="Y52" i="62"/>
  <c r="Z52" i="62"/>
  <c r="AA52" i="62"/>
  <c r="AB52" i="62"/>
  <c r="AC52" i="62"/>
  <c r="AD52" i="62"/>
  <c r="AE52" i="62"/>
  <c r="AF52" i="62"/>
  <c r="AG52" i="62"/>
  <c r="C55" i="62"/>
  <c r="C57" i="62"/>
  <c r="C59" i="62"/>
  <c r="C61" i="62"/>
  <c r="C62" i="62"/>
  <c r="C63" i="62"/>
  <c r="D64" i="62"/>
  <c r="E64" i="62"/>
  <c r="F64" i="62"/>
  <c r="G64" i="62"/>
  <c r="H64" i="62"/>
  <c r="I64" i="62"/>
  <c r="J64" i="62"/>
  <c r="K64" i="62"/>
  <c r="L64" i="62"/>
  <c r="M64" i="62"/>
  <c r="N64" i="62"/>
  <c r="O64" i="62"/>
  <c r="P64" i="62"/>
  <c r="Q64" i="62"/>
  <c r="R64" i="62"/>
  <c r="S64" i="62"/>
  <c r="T64" i="62"/>
  <c r="U64" i="62"/>
  <c r="V64" i="62"/>
  <c r="W64" i="62"/>
  <c r="X64" i="62"/>
  <c r="Y64" i="62"/>
  <c r="Z64" i="62"/>
  <c r="AA64" i="62"/>
  <c r="AB64" i="62"/>
  <c r="AC64" i="62"/>
  <c r="AD64" i="62"/>
  <c r="AE64" i="62"/>
  <c r="AF64" i="62"/>
  <c r="AG64" i="62"/>
  <c r="C66" i="62"/>
  <c r="C67" i="62"/>
  <c r="C69" i="62"/>
  <c r="C70" i="62"/>
  <c r="C71" i="62"/>
  <c r="C72" i="62"/>
  <c r="C73" i="62"/>
  <c r="D75" i="62"/>
  <c r="E75" i="62"/>
  <c r="C74" i="62" s="1" a="1"/>
  <c r="C74" i="62" s="1"/>
  <c r="F75" i="62"/>
  <c r="G75" i="62"/>
  <c r="H75" i="62"/>
  <c r="I75" i="62"/>
  <c r="J75" i="62"/>
  <c r="K75" i="62"/>
  <c r="L75" i="62"/>
  <c r="M75" i="62"/>
  <c r="N75" i="62"/>
  <c r="O75" i="62"/>
  <c r="P75" i="62"/>
  <c r="Q75" i="62"/>
  <c r="R75" i="62"/>
  <c r="S75" i="62"/>
  <c r="T75" i="62"/>
  <c r="U75" i="62"/>
  <c r="V75" i="62"/>
  <c r="W75" i="62"/>
  <c r="X75" i="62"/>
  <c r="Y75" i="62"/>
  <c r="Z75" i="62"/>
  <c r="AA75" i="62"/>
  <c r="AB75" i="62"/>
  <c r="AC75" i="62"/>
  <c r="AD75" i="62"/>
  <c r="AE75" i="62"/>
  <c r="AF75" i="62"/>
  <c r="AG75" i="62"/>
  <c r="C5" i="61"/>
  <c r="D6" i="61"/>
  <c r="E6" i="61"/>
  <c r="F6" i="61"/>
  <c r="G6" i="61"/>
  <c r="H6" i="61"/>
  <c r="I6" i="61"/>
  <c r="J6" i="61"/>
  <c r="K6" i="61"/>
  <c r="L6" i="61"/>
  <c r="M6" i="61"/>
  <c r="N6" i="61"/>
  <c r="O6" i="61"/>
  <c r="P6" i="61"/>
  <c r="Q6" i="61"/>
  <c r="R6" i="61"/>
  <c r="S6" i="61"/>
  <c r="T6" i="61"/>
  <c r="U6" i="61"/>
  <c r="V6" i="61"/>
  <c r="W6" i="61"/>
  <c r="X6" i="61"/>
  <c r="Y6" i="61"/>
  <c r="Z6" i="61"/>
  <c r="AA6" i="61"/>
  <c r="AB6" i="61"/>
  <c r="AC6" i="61"/>
  <c r="AD6" i="61"/>
  <c r="AE6" i="61"/>
  <c r="AF6" i="61"/>
  <c r="AG6" i="61"/>
  <c r="C8" i="61"/>
  <c r="C9" i="61"/>
  <c r="C10" i="61"/>
  <c r="C11" i="61"/>
  <c r="D12" i="61"/>
  <c r="E12" i="61"/>
  <c r="F12" i="61"/>
  <c r="G12" i="61"/>
  <c r="H12" i="61"/>
  <c r="I12" i="61"/>
  <c r="J12" i="61"/>
  <c r="K12" i="61"/>
  <c r="L12" i="61"/>
  <c r="M12" i="61"/>
  <c r="N12" i="61"/>
  <c r="O12" i="61"/>
  <c r="P12" i="61"/>
  <c r="Q12" i="61"/>
  <c r="R12" i="61"/>
  <c r="S12" i="61"/>
  <c r="T12" i="61"/>
  <c r="U12" i="61"/>
  <c r="V12" i="61"/>
  <c r="W12" i="61"/>
  <c r="X12" i="61"/>
  <c r="Y12" i="61"/>
  <c r="Z12" i="61"/>
  <c r="AA12" i="61"/>
  <c r="AB12" i="61"/>
  <c r="AC12" i="61"/>
  <c r="AD12" i="61"/>
  <c r="AE12" i="61"/>
  <c r="AF12" i="61"/>
  <c r="AG12" i="61"/>
  <c r="C14" i="61"/>
  <c r="C15" i="61"/>
  <c r="C16" i="61"/>
  <c r="C17" i="61"/>
  <c r="C18" i="61"/>
  <c r="C19" i="61"/>
  <c r="C20" i="61"/>
  <c r="D21" i="61"/>
  <c r="D22" i="61" s="1"/>
  <c r="E21" i="61"/>
  <c r="F21" i="61"/>
  <c r="F22" i="61" s="1"/>
  <c r="G21" i="61"/>
  <c r="G22" i="61" s="1"/>
  <c r="H21" i="61"/>
  <c r="H22" i="61" s="1"/>
  <c r="I21" i="61"/>
  <c r="I22" i="61" s="1"/>
  <c r="J21" i="61"/>
  <c r="J22" i="61" s="1"/>
  <c r="K21" i="61"/>
  <c r="K22" i="61" s="1"/>
  <c r="L21" i="61"/>
  <c r="L22" i="61" s="1"/>
  <c r="M21" i="61"/>
  <c r="M22" i="61" s="1"/>
  <c r="N21" i="61"/>
  <c r="N22" i="61" s="1"/>
  <c r="O21" i="61"/>
  <c r="O22" i="61" s="1"/>
  <c r="P21" i="61"/>
  <c r="P22" i="61" s="1"/>
  <c r="Q21" i="61"/>
  <c r="Q22" i="61" s="1"/>
  <c r="R21" i="61"/>
  <c r="R22" i="61" s="1"/>
  <c r="S21" i="61"/>
  <c r="S22" i="61"/>
  <c r="T21" i="61"/>
  <c r="T22" i="61" s="1"/>
  <c r="U21" i="61"/>
  <c r="U22" i="61" s="1"/>
  <c r="V21" i="61"/>
  <c r="V22" i="61" s="1"/>
  <c r="W21" i="61"/>
  <c r="W22" i="61" s="1"/>
  <c r="X21" i="61"/>
  <c r="X22" i="61" s="1"/>
  <c r="Y21" i="61"/>
  <c r="Y22" i="61"/>
  <c r="Z21" i="61"/>
  <c r="Z22" i="61" s="1"/>
  <c r="AA21" i="61"/>
  <c r="AA22" i="61" s="1"/>
  <c r="AB21" i="61"/>
  <c r="AB22" i="61" s="1"/>
  <c r="AC21" i="61"/>
  <c r="AC22" i="61" s="1"/>
  <c r="AD21" i="61"/>
  <c r="AD22" i="61" s="1"/>
  <c r="AE21" i="61"/>
  <c r="AE22" i="61" s="1"/>
  <c r="AF21" i="61"/>
  <c r="AF22" i="61" s="1"/>
  <c r="AG21" i="61"/>
  <c r="AG22" i="61" s="1"/>
  <c r="E22" i="61"/>
  <c r="C24" i="61"/>
  <c r="C25" i="61"/>
  <c r="C26" i="61"/>
  <c r="C27" i="61"/>
  <c r="C28" i="61"/>
  <c r="D29" i="61"/>
  <c r="E29" i="61"/>
  <c r="F29" i="61"/>
  <c r="G29" i="61"/>
  <c r="H29" i="61"/>
  <c r="I29" i="61"/>
  <c r="J29" i="61"/>
  <c r="K29" i="61"/>
  <c r="L29" i="61"/>
  <c r="M29" i="61"/>
  <c r="N29" i="61"/>
  <c r="O29" i="61"/>
  <c r="P29" i="61"/>
  <c r="Q29" i="61"/>
  <c r="R29" i="61"/>
  <c r="S29" i="61"/>
  <c r="T29" i="61"/>
  <c r="U29" i="61"/>
  <c r="V29" i="61"/>
  <c r="W29" i="61"/>
  <c r="X29" i="61"/>
  <c r="Y29" i="61"/>
  <c r="Z29" i="61"/>
  <c r="AA29" i="61"/>
  <c r="AB29" i="61"/>
  <c r="AC29" i="61"/>
  <c r="AD29" i="61"/>
  <c r="AE29" i="61"/>
  <c r="AF29" i="61"/>
  <c r="AG29" i="61"/>
  <c r="C31" i="61"/>
  <c r="C32" i="61"/>
  <c r="D33" i="61"/>
  <c r="E33" i="61"/>
  <c r="F33" i="61"/>
  <c r="G33" i="61"/>
  <c r="H33" i="61"/>
  <c r="I33" i="61"/>
  <c r="J33" i="61"/>
  <c r="J38" i="61" s="1"/>
  <c r="J48" i="61" s="1"/>
  <c r="J53" i="61" s="1"/>
  <c r="K33" i="61"/>
  <c r="L33" i="61"/>
  <c r="M33" i="61"/>
  <c r="N33" i="61"/>
  <c r="O33" i="61"/>
  <c r="O38" i="61" s="1"/>
  <c r="P33" i="61"/>
  <c r="Q33" i="61"/>
  <c r="Q38" i="61" s="1"/>
  <c r="R33" i="61"/>
  <c r="S33" i="61"/>
  <c r="T33" i="61"/>
  <c r="U33" i="61"/>
  <c r="V33" i="61"/>
  <c r="V38" i="61"/>
  <c r="W33" i="61"/>
  <c r="X33" i="61"/>
  <c r="Y33" i="61"/>
  <c r="Z33" i="61"/>
  <c r="Z38" i="61" s="1"/>
  <c r="Z48" i="61" s="1"/>
  <c r="Z53" i="61" s="1"/>
  <c r="AA33" i="61"/>
  <c r="AB33" i="61"/>
  <c r="AB38" i="61" s="1"/>
  <c r="AB48" i="61" s="1"/>
  <c r="AC33" i="61"/>
  <c r="AD33" i="61"/>
  <c r="AD38" i="61" s="1"/>
  <c r="AD48" i="61" s="1"/>
  <c r="AD53" i="61" s="1"/>
  <c r="AE33" i="61"/>
  <c r="AE38" i="61" s="1"/>
  <c r="AF33" i="61"/>
  <c r="AG33" i="61"/>
  <c r="AG38" i="61" s="1"/>
  <c r="C34" i="61"/>
  <c r="C35" i="61"/>
  <c r="C36" i="61"/>
  <c r="D37" i="61"/>
  <c r="E37" i="61"/>
  <c r="E38" i="61" s="1"/>
  <c r="F37" i="61"/>
  <c r="G37" i="61"/>
  <c r="H37" i="61"/>
  <c r="I37" i="61"/>
  <c r="J37" i="61"/>
  <c r="K37" i="61"/>
  <c r="L37" i="61"/>
  <c r="M37" i="61"/>
  <c r="M38" i="61" s="1"/>
  <c r="M48" i="61" s="1"/>
  <c r="M53" i="61" s="1"/>
  <c r="N37" i="61"/>
  <c r="O37" i="61"/>
  <c r="P37" i="61"/>
  <c r="P38" i="61" s="1"/>
  <c r="Q37" i="61"/>
  <c r="R37" i="61"/>
  <c r="S37" i="61"/>
  <c r="T37" i="61"/>
  <c r="U37" i="61"/>
  <c r="V37" i="61"/>
  <c r="W37" i="61"/>
  <c r="X37" i="61"/>
  <c r="Y37" i="61"/>
  <c r="Z37" i="61"/>
  <c r="AA37" i="61"/>
  <c r="AB37" i="61"/>
  <c r="AC37" i="61"/>
  <c r="AD37" i="61"/>
  <c r="AE37" i="61"/>
  <c r="AF37" i="61"/>
  <c r="AF38" i="61" s="1"/>
  <c r="AG37" i="61"/>
  <c r="C40" i="61"/>
  <c r="C41" i="61"/>
  <c r="C42" i="61"/>
  <c r="C43" i="61"/>
  <c r="C44" i="61"/>
  <c r="C45" i="61"/>
  <c r="D46" i="61"/>
  <c r="E46" i="61"/>
  <c r="F46" i="61"/>
  <c r="G46" i="61"/>
  <c r="H46" i="61"/>
  <c r="I46" i="61"/>
  <c r="J46" i="61"/>
  <c r="K46" i="61"/>
  <c r="L46" i="61"/>
  <c r="M46" i="61"/>
  <c r="N46" i="61"/>
  <c r="O46" i="61"/>
  <c r="P46" i="61"/>
  <c r="Q46" i="61"/>
  <c r="R46" i="61"/>
  <c r="S46" i="61"/>
  <c r="T46" i="61"/>
  <c r="U46" i="61"/>
  <c r="V46" i="61"/>
  <c r="W46" i="61"/>
  <c r="X46" i="61"/>
  <c r="Y46" i="61"/>
  <c r="Z46" i="61"/>
  <c r="AA46" i="61"/>
  <c r="AB46" i="61"/>
  <c r="AC46" i="61"/>
  <c r="AD46" i="61"/>
  <c r="AE46" i="61"/>
  <c r="AF46" i="61"/>
  <c r="AG46" i="61"/>
  <c r="C50" i="61"/>
  <c r="C51" i="61"/>
  <c r="D52" i="61"/>
  <c r="E52" i="61"/>
  <c r="F52" i="61"/>
  <c r="G52" i="61"/>
  <c r="H52" i="61"/>
  <c r="I52" i="61"/>
  <c r="J52" i="61"/>
  <c r="K52" i="61"/>
  <c r="L52" i="61"/>
  <c r="M52" i="61"/>
  <c r="N52" i="61"/>
  <c r="O52" i="61"/>
  <c r="P52" i="61"/>
  <c r="Q52" i="61"/>
  <c r="R52" i="61"/>
  <c r="S52" i="61"/>
  <c r="T52" i="61"/>
  <c r="U52" i="61"/>
  <c r="V52" i="61"/>
  <c r="W52" i="61"/>
  <c r="X52" i="61"/>
  <c r="Y52" i="61"/>
  <c r="Z52" i="61"/>
  <c r="AA52" i="61"/>
  <c r="AB52" i="61"/>
  <c r="AC52" i="61"/>
  <c r="AD52" i="61"/>
  <c r="AE52" i="61"/>
  <c r="AF52" i="61"/>
  <c r="AG52" i="61"/>
  <c r="C55" i="61"/>
  <c r="C57" i="61"/>
  <c r="C59" i="61"/>
  <c r="C61" i="61"/>
  <c r="C62" i="61"/>
  <c r="C63" i="61"/>
  <c r="D64" i="61"/>
  <c r="E64" i="61"/>
  <c r="F64" i="61"/>
  <c r="G64" i="61"/>
  <c r="H64" i="61"/>
  <c r="I64" i="61"/>
  <c r="J64" i="61"/>
  <c r="K64" i="61"/>
  <c r="L64" i="61"/>
  <c r="M64" i="61"/>
  <c r="N64" i="61"/>
  <c r="O64" i="61"/>
  <c r="P64" i="61"/>
  <c r="Q64" i="61"/>
  <c r="R64" i="61"/>
  <c r="S64" i="61"/>
  <c r="T64" i="61"/>
  <c r="U64" i="61"/>
  <c r="V64" i="61"/>
  <c r="W64" i="61"/>
  <c r="X64" i="61"/>
  <c r="Y64" i="61"/>
  <c r="Z64" i="61"/>
  <c r="AA64" i="61"/>
  <c r="AB64" i="61"/>
  <c r="AC64" i="61"/>
  <c r="AD64" i="61"/>
  <c r="AE64" i="61"/>
  <c r="AF64" i="61"/>
  <c r="AG64" i="61"/>
  <c r="C66" i="61"/>
  <c r="C67" i="61"/>
  <c r="C69" i="61"/>
  <c r="C70" i="61"/>
  <c r="C71" i="61"/>
  <c r="C72" i="61"/>
  <c r="C73" i="61"/>
  <c r="D75" i="61"/>
  <c r="E75" i="61"/>
  <c r="F75" i="61"/>
  <c r="G75" i="61"/>
  <c r="H75" i="61"/>
  <c r="I75" i="61"/>
  <c r="J75" i="61"/>
  <c r="K75" i="61"/>
  <c r="L75" i="61"/>
  <c r="M75" i="61"/>
  <c r="N75" i="61"/>
  <c r="O75" i="61"/>
  <c r="P75" i="61"/>
  <c r="Q75" i="61"/>
  <c r="R75" i="61"/>
  <c r="S75" i="61"/>
  <c r="T75" i="61"/>
  <c r="U75" i="61"/>
  <c r="V75" i="61"/>
  <c r="W75" i="61"/>
  <c r="X75" i="61"/>
  <c r="Y75" i="61"/>
  <c r="Z75" i="61"/>
  <c r="AA75" i="61"/>
  <c r="AB75" i="61"/>
  <c r="AC75" i="61"/>
  <c r="AD75" i="61"/>
  <c r="AE75" i="61"/>
  <c r="AF75" i="61"/>
  <c r="AG75" i="61"/>
  <c r="B5" i="72"/>
  <c r="E6" i="72"/>
  <c r="F6" i="72"/>
  <c r="G6" i="72"/>
  <c r="H6" i="72"/>
  <c r="I6" i="72"/>
  <c r="J6" i="72"/>
  <c r="K6" i="72"/>
  <c r="L6" i="72"/>
  <c r="M6" i="72"/>
  <c r="N6" i="72"/>
  <c r="O6" i="72"/>
  <c r="P6" i="72"/>
  <c r="Q6" i="72"/>
  <c r="R6" i="72"/>
  <c r="S6" i="72"/>
  <c r="T6" i="72"/>
  <c r="U6" i="72"/>
  <c r="V6" i="72"/>
  <c r="W6" i="72"/>
  <c r="X6" i="72"/>
  <c r="Y6" i="72"/>
  <c r="Z6" i="72"/>
  <c r="AA6" i="72"/>
  <c r="AB6" i="72"/>
  <c r="AC6" i="72"/>
  <c r="AD6" i="72"/>
  <c r="AE6" i="72"/>
  <c r="AF6" i="72"/>
  <c r="AG6" i="72"/>
  <c r="C11" i="72"/>
  <c r="F26" i="76" s="1"/>
  <c r="D25" i="72"/>
  <c r="E25" i="72"/>
  <c r="F25" i="72"/>
  <c r="F29" i="72" s="1"/>
  <c r="H25" i="72"/>
  <c r="I25" i="72"/>
  <c r="I29" i="72" s="1"/>
  <c r="I49" i="72" s="1"/>
  <c r="J25" i="72"/>
  <c r="J29" i="72"/>
  <c r="J49" i="72"/>
  <c r="K25" i="72"/>
  <c r="L25" i="72"/>
  <c r="M25" i="72"/>
  <c r="N25" i="72"/>
  <c r="O25" i="72"/>
  <c r="P25" i="72"/>
  <c r="P29" i="72"/>
  <c r="Q25" i="72"/>
  <c r="Q29" i="72" s="1"/>
  <c r="R25" i="72"/>
  <c r="R29" i="72" s="1"/>
  <c r="R49" i="72" s="1"/>
  <c r="S25" i="72"/>
  <c r="T25" i="72"/>
  <c r="T29" i="72" s="1"/>
  <c r="T49" i="72" s="1"/>
  <c r="U25" i="72"/>
  <c r="U29" i="72" s="1"/>
  <c r="U49" i="72" s="1"/>
  <c r="V25" i="72"/>
  <c r="V29" i="72" s="1"/>
  <c r="W25" i="72"/>
  <c r="X25" i="72"/>
  <c r="X29" i="72" s="1"/>
  <c r="Y25" i="72"/>
  <c r="Y29" i="72" s="1"/>
  <c r="Y49" i="72" s="1"/>
  <c r="Z25" i="72"/>
  <c r="Z29" i="72"/>
  <c r="AA25" i="72"/>
  <c r="AB25" i="72"/>
  <c r="AC25" i="72"/>
  <c r="AD25" i="72"/>
  <c r="AE25" i="72"/>
  <c r="AF25" i="72"/>
  <c r="AF29" i="72" s="1"/>
  <c r="AG25" i="72"/>
  <c r="C55" i="72"/>
  <c r="C57" i="72"/>
  <c r="D58" i="72"/>
  <c r="D62" i="72"/>
  <c r="F58" i="72"/>
  <c r="F62" i="72"/>
  <c r="H58" i="72"/>
  <c r="I58" i="72"/>
  <c r="I62" i="72" s="1"/>
  <c r="J58" i="72"/>
  <c r="J62" i="72" s="1"/>
  <c r="K58" i="72"/>
  <c r="K62" i="72" s="1"/>
  <c r="L58" i="72"/>
  <c r="L62" i="72" s="1"/>
  <c r="M58" i="72"/>
  <c r="M62" i="72" s="1"/>
  <c r="N58" i="72"/>
  <c r="N62" i="72" s="1"/>
  <c r="O58" i="72"/>
  <c r="O62" i="72" s="1"/>
  <c r="P58" i="72"/>
  <c r="P62" i="72"/>
  <c r="Q58" i="72"/>
  <c r="Q62" i="72" s="1"/>
  <c r="R58" i="72"/>
  <c r="R62" i="72" s="1"/>
  <c r="S58" i="72"/>
  <c r="S62" i="72" s="1"/>
  <c r="T58" i="72"/>
  <c r="T62" i="72"/>
  <c r="U58" i="72"/>
  <c r="U62" i="72" s="1"/>
  <c r="V58" i="72"/>
  <c r="V62" i="72"/>
  <c r="W58" i="72"/>
  <c r="W62" i="72" s="1"/>
  <c r="X58" i="72"/>
  <c r="X62" i="72"/>
  <c r="Y58" i="72"/>
  <c r="Y62" i="72" s="1"/>
  <c r="Z58" i="72"/>
  <c r="Z62" i="72" s="1"/>
  <c r="AA58" i="72"/>
  <c r="AA62" i="72" s="1"/>
  <c r="AB58" i="72"/>
  <c r="AB62" i="72"/>
  <c r="AC58" i="72"/>
  <c r="AC62" i="72" s="1"/>
  <c r="AD58" i="72"/>
  <c r="AD62" i="72"/>
  <c r="AE58" i="72"/>
  <c r="AE62" i="72" s="1"/>
  <c r="AF58" i="72"/>
  <c r="AF62" i="72"/>
  <c r="AG58" i="72"/>
  <c r="AG62" i="72" s="1"/>
  <c r="C64" i="72"/>
  <c r="D70" i="72"/>
  <c r="E70" i="72"/>
  <c r="H70" i="72"/>
  <c r="I70" i="72"/>
  <c r="J70" i="72"/>
  <c r="K70" i="72"/>
  <c r="L70" i="72"/>
  <c r="M70" i="72"/>
  <c r="N70" i="72"/>
  <c r="O70" i="72"/>
  <c r="P70" i="72"/>
  <c r="Q70" i="72"/>
  <c r="R70" i="72"/>
  <c r="S70" i="72"/>
  <c r="T70" i="72"/>
  <c r="U70" i="72"/>
  <c r="V70" i="72"/>
  <c r="W70" i="72"/>
  <c r="X70" i="72"/>
  <c r="Y70" i="72"/>
  <c r="Z70" i="72"/>
  <c r="AA70" i="72"/>
  <c r="AB70" i="72"/>
  <c r="AC70" i="72"/>
  <c r="AD70" i="72"/>
  <c r="AE70" i="72"/>
  <c r="AF70" i="72"/>
  <c r="AG70" i="72"/>
  <c r="D73" i="72"/>
  <c r="E73" i="72"/>
  <c r="F73" i="72"/>
  <c r="H73" i="72"/>
  <c r="I73" i="72"/>
  <c r="J73" i="72"/>
  <c r="K73" i="72"/>
  <c r="L73" i="72"/>
  <c r="M73" i="72"/>
  <c r="N73" i="72"/>
  <c r="O73" i="72"/>
  <c r="P73" i="72"/>
  <c r="Q73" i="72"/>
  <c r="R73" i="72"/>
  <c r="S73" i="72"/>
  <c r="T73" i="72"/>
  <c r="U73" i="72"/>
  <c r="V73" i="72"/>
  <c r="W73" i="72"/>
  <c r="X73" i="72"/>
  <c r="Y73" i="72"/>
  <c r="Z73" i="72"/>
  <c r="AA73" i="72"/>
  <c r="AB73" i="72"/>
  <c r="AC73" i="72"/>
  <c r="AD73" i="72"/>
  <c r="AE73" i="72"/>
  <c r="AF73" i="72"/>
  <c r="AG73" i="72"/>
  <c r="C5" i="58"/>
  <c r="J21" i="58" s="1"/>
  <c r="D5" i="58"/>
  <c r="K13" i="58"/>
  <c r="E5" i="58"/>
  <c r="C11" i="58"/>
  <c r="C15" i="58" s="1"/>
  <c r="J14" i="58" s="1"/>
  <c r="D11" i="58"/>
  <c r="D15" i="58"/>
  <c r="K14" i="58" s="1"/>
  <c r="K16" i="58" s="1"/>
  <c r="K17" i="58" s="1"/>
  <c r="C20" i="58"/>
  <c r="J15" i="58"/>
  <c r="D20" i="58"/>
  <c r="K15" i="58" s="1"/>
  <c r="J22" i="58"/>
  <c r="K22" i="58"/>
  <c r="H32" i="58"/>
  <c r="I32" i="58"/>
  <c r="J32" i="58"/>
  <c r="K32" i="58"/>
  <c r="H33" i="58"/>
  <c r="I33" i="58"/>
  <c r="C39" i="58"/>
  <c r="J23" i="58" s="1"/>
  <c r="D39" i="58"/>
  <c r="K23" i="58"/>
  <c r="G38" i="61"/>
  <c r="F22" i="73"/>
  <c r="F48" i="73" s="1"/>
  <c r="F53" i="73" s="1"/>
  <c r="F14" i="72"/>
  <c r="G61" i="72"/>
  <c r="G73" i="72"/>
  <c r="G76" i="72"/>
  <c r="C13" i="72"/>
  <c r="F35" i="76" s="1"/>
  <c r="C54" i="72"/>
  <c r="F60" i="72"/>
  <c r="C59" i="72"/>
  <c r="C65" i="72"/>
  <c r="D7" i="70" s="1"/>
  <c r="C67" i="72"/>
  <c r="C72" i="72"/>
  <c r="C69" i="72"/>
  <c r="C56" i="72"/>
  <c r="F61" i="72"/>
  <c r="G75" i="72"/>
  <c r="G70" i="72"/>
  <c r="C71" i="72"/>
  <c r="C9" i="72"/>
  <c r="D8" i="70" s="1"/>
  <c r="G14" i="72"/>
  <c r="C23" i="72"/>
  <c r="G25" i="72"/>
  <c r="G29" i="72" s="1"/>
  <c r="G49" i="72" s="1"/>
  <c r="C68" i="72"/>
  <c r="F70" i="72"/>
  <c r="G22" i="62"/>
  <c r="V38" i="73"/>
  <c r="V48" i="73" s="1"/>
  <c r="V53" i="73" s="1"/>
  <c r="J38" i="73"/>
  <c r="N38" i="61"/>
  <c r="N48" i="61" s="1"/>
  <c r="N53" i="61" s="1"/>
  <c r="T38" i="62"/>
  <c r="T48" i="62" s="1"/>
  <c r="T53" i="62" s="1"/>
  <c r="K24" i="58"/>
  <c r="K25" i="58" s="1"/>
  <c r="E22" i="62"/>
  <c r="M48" i="73"/>
  <c r="M53" i="73" s="1"/>
  <c r="V48" i="61"/>
  <c r="V53" i="61" s="1"/>
  <c r="F38" i="62"/>
  <c r="F48" i="62" s="1"/>
  <c r="F53" i="62" s="1"/>
  <c r="AF48" i="73"/>
  <c r="AF53" i="73" s="1"/>
  <c r="Q48" i="73"/>
  <c r="Q53" i="73" s="1"/>
  <c r="P49" i="72"/>
  <c r="R38" i="61"/>
  <c r="AG48" i="62"/>
  <c r="AG38" i="73"/>
  <c r="AG48" i="73" s="1"/>
  <c r="E38" i="62"/>
  <c r="F37" i="76"/>
  <c r="K21" i="58"/>
  <c r="E48" i="62"/>
  <c r="AA38" i="73" l="1"/>
  <c r="AF49" i="72"/>
  <c r="R48" i="61"/>
  <c r="R53" i="61" s="1"/>
  <c r="AE48" i="61"/>
  <c r="AE53" i="61" s="1"/>
  <c r="V48" i="62"/>
  <c r="V53" i="62" s="1"/>
  <c r="C14" i="72"/>
  <c r="Z49" i="72"/>
  <c r="K48" i="61"/>
  <c r="K53" i="61" s="1"/>
  <c r="AG53" i="62"/>
  <c r="AE38" i="73"/>
  <c r="G53" i="73"/>
  <c r="F49" i="72"/>
  <c r="O48" i="61"/>
  <c r="O53" i="61" s="1"/>
  <c r="D48" i="62"/>
  <c r="D53" i="62" s="1"/>
  <c r="F38" i="61"/>
  <c r="F48" i="61" s="1"/>
  <c r="F53" i="61" s="1"/>
  <c r="C33" i="61"/>
  <c r="AA48" i="61"/>
  <c r="AA53" i="61" s="1"/>
  <c r="C12" i="73"/>
  <c r="AB53" i="61"/>
  <c r="E48" i="61"/>
  <c r="J38" i="62"/>
  <c r="J48" i="62" s="1"/>
  <c r="J53" i="62" s="1"/>
  <c r="C29" i="62"/>
  <c r="C22" i="72"/>
  <c r="F27" i="76" s="1"/>
  <c r="C74" i="61" a="1"/>
  <c r="C74" i="61" s="1"/>
  <c r="C64" i="61"/>
  <c r="C52" i="61"/>
  <c r="Q48" i="61"/>
  <c r="Q53" i="61" s="1"/>
  <c r="C46" i="61"/>
  <c r="H38" i="61"/>
  <c r="AA38" i="61"/>
  <c r="T38" i="61"/>
  <c r="T48" i="61" s="1"/>
  <c r="T53" i="61" s="1"/>
  <c r="I38" i="61"/>
  <c r="I48" i="61" s="1"/>
  <c r="I53" i="61" s="1"/>
  <c r="C29" i="61"/>
  <c r="O38" i="62"/>
  <c r="AD38" i="62"/>
  <c r="AD48" i="62" s="1"/>
  <c r="AD53" i="62" s="1"/>
  <c r="I38" i="62"/>
  <c r="I48" i="62" s="1"/>
  <c r="I53" i="62" s="1"/>
  <c r="C46" i="73"/>
  <c r="C37" i="73"/>
  <c r="R38" i="73"/>
  <c r="T38" i="73"/>
  <c r="T48" i="73" s="1"/>
  <c r="T53" i="73" s="1"/>
  <c r="O48" i="73"/>
  <c r="O53" i="73" s="1"/>
  <c r="AD29" i="72"/>
  <c r="AD49" i="72" s="1"/>
  <c r="K29" i="72"/>
  <c r="K49" i="72" s="1"/>
  <c r="AG53" i="73"/>
  <c r="J16" i="58"/>
  <c r="J17" i="58" s="1"/>
  <c r="C73" i="72"/>
  <c r="AA29" i="72"/>
  <c r="AA49" i="72" s="1"/>
  <c r="W29" i="72"/>
  <c r="W49" i="72" s="1"/>
  <c r="U38" i="61"/>
  <c r="S38" i="61"/>
  <c r="S48" i="61"/>
  <c r="S53" i="61" s="1"/>
  <c r="H38" i="62"/>
  <c r="H48" i="62" s="1"/>
  <c r="H53" i="62" s="1"/>
  <c r="AC48" i="62"/>
  <c r="AC53" i="62" s="1"/>
  <c r="Z48" i="62"/>
  <c r="Z53" i="62" s="1"/>
  <c r="C64" i="73"/>
  <c r="C52" i="73"/>
  <c r="AC38" i="73"/>
  <c r="AC48" i="73" s="1"/>
  <c r="AC53" i="73" s="1"/>
  <c r="S38" i="73"/>
  <c r="S48" i="73" s="1"/>
  <c r="S53" i="73" s="1"/>
  <c r="E38" i="73"/>
  <c r="E48" i="73" s="1"/>
  <c r="E53" i="73" s="1"/>
  <c r="AA48" i="73"/>
  <c r="AA53" i="73" s="1"/>
  <c r="L49" i="72"/>
  <c r="E29" i="72"/>
  <c r="E49" i="72" s="1"/>
  <c r="AF48" i="61"/>
  <c r="AF53" i="61" s="1"/>
  <c r="X38" i="61"/>
  <c r="Y38" i="61"/>
  <c r="Y48" i="61" s="1"/>
  <c r="Y53" i="61" s="1"/>
  <c r="K38" i="61"/>
  <c r="P48" i="61"/>
  <c r="P53" i="61" s="1"/>
  <c r="Y38" i="62"/>
  <c r="AF38" i="62"/>
  <c r="AF48" i="62" s="1"/>
  <c r="AF53" i="62" s="1"/>
  <c r="Q38" i="62"/>
  <c r="Q48" i="62" s="1"/>
  <c r="Q53" i="62" s="1"/>
  <c r="K38" i="62"/>
  <c r="S48" i="62"/>
  <c r="S53" i="62" s="1"/>
  <c r="X38" i="73"/>
  <c r="X48" i="73" s="1"/>
  <c r="X53" i="73" s="1"/>
  <c r="AB38" i="73"/>
  <c r="AB48" i="73" s="1"/>
  <c r="AB53" i="73" s="1"/>
  <c r="L38" i="73"/>
  <c r="L48" i="73" s="1"/>
  <c r="L53" i="73" s="1"/>
  <c r="H38" i="73"/>
  <c r="H48" i="73" s="1"/>
  <c r="D48" i="73"/>
  <c r="D53" i="73" s="1"/>
  <c r="C29" i="73"/>
  <c r="AB29" i="72"/>
  <c r="AB49" i="72" s="1"/>
  <c r="G36" i="76"/>
  <c r="H36" i="76" s="1"/>
  <c r="C47" i="72"/>
  <c r="F33" i="76"/>
  <c r="G33" i="76" s="1"/>
  <c r="H33" i="76" s="1"/>
  <c r="C75" i="72"/>
  <c r="G34" i="76"/>
  <c r="H34" i="76" s="1"/>
  <c r="G30" i="76"/>
  <c r="H30" i="76" s="1"/>
  <c r="D10" i="70"/>
  <c r="E6" i="75"/>
  <c r="E7" i="75"/>
  <c r="G27" i="76"/>
  <c r="H27" i="76" s="1"/>
  <c r="G37" i="76"/>
  <c r="H37" i="76" s="1"/>
  <c r="G28" i="76"/>
  <c r="H28" i="76" s="1"/>
  <c r="G35" i="76"/>
  <c r="H35" i="76" s="1"/>
  <c r="G26" i="76"/>
  <c r="H26" i="76" s="1"/>
  <c r="C61" i="72"/>
  <c r="E13" i="76" s="1"/>
  <c r="F13" i="76" s="1"/>
  <c r="C60" i="72"/>
  <c r="C25" i="72"/>
  <c r="E53" i="61"/>
  <c r="F32" i="76"/>
  <c r="G32" i="76" s="1"/>
  <c r="H32" i="76" s="1"/>
  <c r="L38" i="61"/>
  <c r="L48" i="61" s="1"/>
  <c r="L53" i="61" s="1"/>
  <c r="C75" i="73"/>
  <c r="C74" i="73" a="1"/>
  <c r="C74" i="73" s="1"/>
  <c r="N29" i="72"/>
  <c r="N49" i="72" s="1"/>
  <c r="C21" i="73"/>
  <c r="C75" i="61"/>
  <c r="C33" i="73"/>
  <c r="C21" i="61"/>
  <c r="H29" i="72"/>
  <c r="C58" i="72"/>
  <c r="H62" i="72"/>
  <c r="X48" i="61"/>
  <c r="X53" i="61" s="1"/>
  <c r="G48" i="61"/>
  <c r="G53" i="61" s="1"/>
  <c r="C12" i="61"/>
  <c r="J34" i="58" s="1"/>
  <c r="R48" i="62"/>
  <c r="AE48" i="62"/>
  <c r="AE53" i="62" s="1"/>
  <c r="Y48" i="62"/>
  <c r="Y53" i="62" s="1"/>
  <c r="O48" i="62"/>
  <c r="O53" i="62" s="1"/>
  <c r="R53" i="62"/>
  <c r="C12" i="62"/>
  <c r="K34" i="58" s="1"/>
  <c r="P53" i="73"/>
  <c r="H53" i="73"/>
  <c r="Q49" i="72"/>
  <c r="AG29" i="72"/>
  <c r="AG49" i="72" s="1"/>
  <c r="M48" i="62"/>
  <c r="M53" i="62" s="1"/>
  <c r="E53" i="62"/>
  <c r="C22" i="62"/>
  <c r="C37" i="62"/>
  <c r="C33" i="62"/>
  <c r="J13" i="58"/>
  <c r="AG48" i="61"/>
  <c r="AG53" i="61" s="1"/>
  <c r="C22" i="61"/>
  <c r="C37" i="61"/>
  <c r="C22" i="73"/>
  <c r="D9" i="70"/>
  <c r="F25" i="76"/>
  <c r="C76" i="72"/>
  <c r="J24" i="58"/>
  <c r="J25" i="58" s="1"/>
  <c r="U48" i="61"/>
  <c r="U53" i="61" s="1"/>
  <c r="C75" i="62"/>
  <c r="C64" i="62"/>
  <c r="N48" i="62"/>
  <c r="N53" i="62" s="1"/>
  <c r="R48" i="73"/>
  <c r="R53" i="73" s="1"/>
  <c r="X49" i="72"/>
  <c r="H49" i="72"/>
  <c r="D29" i="72"/>
  <c r="W38" i="61"/>
  <c r="W48" i="61" s="1"/>
  <c r="W53" i="61" s="1"/>
  <c r="D38" i="61"/>
  <c r="D48" i="61" s="1"/>
  <c r="D53" i="61" s="1"/>
  <c r="H48" i="61"/>
  <c r="H53" i="61" s="1"/>
  <c r="U38" i="62"/>
  <c r="U48" i="62" s="1"/>
  <c r="U53" i="62" s="1"/>
  <c r="AE48" i="73"/>
  <c r="AE53" i="73" s="1"/>
  <c r="W48" i="73"/>
  <c r="W53" i="73" s="1"/>
  <c r="N48" i="73"/>
  <c r="N53" i="73" s="1"/>
  <c r="K48" i="73"/>
  <c r="K53" i="73" s="1"/>
  <c r="D49" i="72"/>
  <c r="O49" i="72"/>
  <c r="AC29" i="72"/>
  <c r="AC49" i="72" s="1"/>
  <c r="M29" i="72"/>
  <c r="M49" i="72" s="1"/>
  <c r="AC38" i="61"/>
  <c r="AC48" i="61" s="1"/>
  <c r="AC53" i="61" s="1"/>
  <c r="G38" i="62"/>
  <c r="G48" i="62" s="1"/>
  <c r="K48" i="62"/>
  <c r="K53" i="62" s="1"/>
  <c r="C21" i="62"/>
  <c r="AD38" i="73"/>
  <c r="AD48" i="73" s="1"/>
  <c r="AD53" i="73" s="1"/>
  <c r="I38" i="73"/>
  <c r="I48" i="73" s="1"/>
  <c r="I53" i="73" s="1"/>
  <c r="V49" i="72"/>
  <c r="G29" i="76"/>
  <c r="H29" i="76" s="1"/>
  <c r="G31" i="76"/>
  <c r="H31" i="76" s="1"/>
  <c r="D12" i="70" l="1"/>
  <c r="C52" i="72"/>
  <c r="C53" i="73"/>
  <c r="G53" i="62"/>
  <c r="C53" i="62" s="1"/>
  <c r="C48" i="62"/>
  <c r="I34" i="58" s="1"/>
  <c r="D11" i="70"/>
  <c r="E11" i="76"/>
  <c r="F11" i="76" s="1"/>
  <c r="C62" i="72"/>
  <c r="E14" i="76" s="1"/>
  <c r="F14" i="76" s="1"/>
  <c r="C53" i="61"/>
  <c r="C38" i="62"/>
  <c r="C29" i="72"/>
  <c r="C49" i="72" s="1"/>
  <c r="C48" i="61"/>
  <c r="H34" i="58" s="1"/>
  <c r="C38" i="73"/>
  <c r="C48" i="73"/>
  <c r="C38" i="61"/>
  <c r="G25" i="76"/>
  <c r="H25" i="76" s="1"/>
  <c r="F38" i="76"/>
  <c r="G38" i="76" s="1"/>
  <c r="H38" i="76" s="1"/>
  <c r="E6" i="76" l="1"/>
  <c r="F6" i="76" s="1"/>
  <c r="E10" i="76"/>
  <c r="F10" i="76" s="1"/>
  <c r="E9" i="76"/>
  <c r="F9" i="76" s="1"/>
  <c r="E8" i="76"/>
  <c r="F8" i="76" s="1"/>
  <c r="E7" i="76"/>
  <c r="F7" i="76" s="1"/>
  <c r="E12" i="76"/>
  <c r="F12" i="76" s="1"/>
  <c r="C14" i="75"/>
  <c r="C15" i="7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SNG Ashley</author>
    <author>IATA</author>
  </authors>
  <commentList>
    <comment ref="B6" authorId="0" shapeId="0" xr:uid="{00000000-0006-0000-0100-000001000000}">
      <text>
        <r>
          <rPr>
            <sz val="9"/>
            <color indexed="81"/>
            <rFont val="Tahoma"/>
            <family val="2"/>
          </rPr>
          <t>Please enter the business model that best describes your airline. If it is not available from the list, select 'Other' and enter in the box to the right.</t>
        </r>
      </text>
    </comment>
    <comment ref="C10" authorId="1" shapeId="0" xr:uid="{00000000-0006-0000-0100-000002000000}">
      <text>
        <r>
          <rPr>
            <b/>
            <sz val="9"/>
            <color indexed="81"/>
            <rFont val="Tahoma"/>
            <family val="2"/>
          </rPr>
          <t>IATA:</t>
        </r>
        <r>
          <rPr>
            <sz val="9"/>
            <color indexed="81"/>
            <rFont val="Tahoma"/>
            <family val="2"/>
          </rPr>
          <t xml:space="preserve">
Data of Fiscal Year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IATA</author>
  </authors>
  <commentList>
    <comment ref="B8" authorId="0" shapeId="0" xr:uid="{00000000-0006-0000-0200-000001000000}">
      <text>
        <r>
          <rPr>
            <sz val="8"/>
            <color indexed="81"/>
            <rFont val="Tahoma"/>
            <family val="2"/>
          </rPr>
          <t xml:space="preserve">Cash, bank deposits, including working funds, deposits in transit, special deposits for the payment of debts, other liquid assets.
</t>
        </r>
      </text>
    </comment>
    <comment ref="B9" authorId="0" shapeId="0" xr:uid="{00000000-0006-0000-0200-000002000000}">
      <text>
        <r>
          <rPr>
            <sz val="8"/>
            <color indexed="81"/>
            <rFont val="Tahoma"/>
            <family val="2"/>
          </rPr>
          <t xml:space="preserve">Expendable parts, materials and supplies, which is net of the allowance for obsolescence, work in progress
</t>
        </r>
      </text>
    </comment>
    <comment ref="B10" authorId="0" shapeId="0" xr:uid="{00000000-0006-0000-0200-000003000000}">
      <text>
        <r>
          <rPr>
            <sz val="8"/>
            <color indexed="81"/>
            <rFont val="Tahoma"/>
            <family val="2"/>
          </rPr>
          <t xml:space="preserve">Accounts receivable, prepaid expenses, short-term investments, dues from subsidiaries.
</t>
        </r>
      </text>
    </comment>
    <comment ref="B12" authorId="0" shapeId="0" xr:uid="{00000000-0006-0000-0200-000004000000}">
      <text>
        <r>
          <rPr>
            <sz val="8"/>
            <color indexed="81"/>
            <rFont val="Tahoma"/>
            <family val="2"/>
          </rPr>
          <t xml:space="preserve">Long-term investments of the company, e.g. investment in associated companies and trade investments.
</t>
        </r>
      </text>
    </comment>
    <comment ref="B13" authorId="0" shapeId="0" xr:uid="{00000000-0006-0000-0200-000005000000}">
      <text>
        <r>
          <rPr>
            <sz val="8"/>
            <color indexed="81"/>
            <rFont val="Tahoma"/>
            <family val="2"/>
          </rPr>
          <t xml:space="preserve">Net book value at year-end of owned aircraft and spares, groud equipments, buildings, etc
</t>
        </r>
      </text>
    </comment>
    <comment ref="B14" authorId="0" shapeId="0" xr:uid="{00000000-0006-0000-0200-000006000000}">
      <text>
        <r>
          <rPr>
            <sz val="8"/>
            <color indexed="81"/>
            <rFont val="Tahoma"/>
            <family val="2"/>
          </rPr>
          <t xml:space="preserve">Assets such as goodwill, patents, license, etc.
</t>
        </r>
      </text>
    </comment>
    <comment ref="B16" authorId="0" shapeId="0" xr:uid="{00000000-0006-0000-0200-000007000000}">
      <text>
        <r>
          <rPr>
            <sz val="8"/>
            <color indexed="81"/>
            <rFont val="Tahoma"/>
            <family val="2"/>
          </rPr>
          <t xml:space="preserve">Year-end values of: bank overdraft, staff deposit accounts, short term loans of less than one year, other financial current liabilities, advance payments, accounts payable, notes payable, etc.
</t>
        </r>
      </text>
    </comment>
    <comment ref="B17" authorId="0" shapeId="0" xr:uid="{00000000-0006-0000-0200-000008000000}">
      <text>
        <r>
          <rPr>
            <sz val="8"/>
            <color indexed="81"/>
            <rFont val="Tahoma"/>
            <family val="2"/>
          </rPr>
          <t xml:space="preserve">Year-end balances of: bank loans, debenture loans, mortage loans, portion of long term debt maturing outside one year, convertible debenture loans, other long term financing and capitalised leases.
</t>
        </r>
      </text>
    </comment>
    <comment ref="B18" authorId="0" shapeId="0" xr:uid="{00000000-0006-0000-0200-000009000000}">
      <text>
        <r>
          <rPr>
            <sz val="8"/>
            <color indexed="81"/>
            <rFont val="Tahoma"/>
            <family val="2"/>
          </rPr>
          <t xml:space="preserve">Year-end balances of: deferred credits, deferred taxation, allowances, severance payment fund, etc.
</t>
        </r>
      </text>
    </comment>
    <comment ref="B19" authorId="0" shapeId="0" xr:uid="{00000000-0006-0000-0200-00000A000000}">
      <text>
        <r>
          <rPr>
            <sz val="8"/>
            <color indexed="81"/>
            <rFont val="Tahoma"/>
            <family val="2"/>
          </rPr>
          <t xml:space="preserve">Share capital, revenue reserves, revaluation reserves and other capital reserves.
</t>
        </r>
      </text>
    </comment>
    <comment ref="B22" authorId="0" shapeId="0" xr:uid="{00000000-0006-0000-0200-00000B000000}">
      <text>
        <r>
          <rPr>
            <sz val="8"/>
            <color indexed="81"/>
            <rFont val="Tahoma"/>
            <family val="2"/>
          </rPr>
          <t xml:space="preserve">Amount paid in interest (including tax) on loans; interest element of aircraft financing lease payments for each year; miscellaneous costs incurred when providing for loans, e.g. commitment fees, bank charges, etc.
</t>
        </r>
      </text>
    </comment>
    <comment ref="B23" authorId="0" shapeId="0" xr:uid="{00000000-0006-0000-0200-00000C000000}">
      <text>
        <r>
          <rPr>
            <sz val="8"/>
            <color indexed="81"/>
            <rFont val="Tahoma"/>
            <family val="2"/>
          </rPr>
          <t xml:space="preserve">Interest received on bank accounts, other deposite accounts and investments
</t>
        </r>
      </text>
    </comment>
    <comment ref="B28" authorId="0" shapeId="0" xr:uid="{00000000-0006-0000-0200-00000D000000}">
      <text>
        <r>
          <rPr>
            <sz val="8"/>
            <color indexed="81"/>
            <rFont val="Tahoma"/>
            <family val="2"/>
          </rPr>
          <t>Annual fuel price including any 'fuel-into-plane' costs. Include also 'Hedging or Forward Purchase' contracts.</t>
        </r>
        <r>
          <rPr>
            <sz val="8"/>
            <color indexed="81"/>
            <rFont val="Tahoma"/>
            <family val="2"/>
          </rPr>
          <t xml:space="preserve">
</t>
        </r>
      </text>
    </comment>
    <comment ref="B30" authorId="0" shapeId="0" xr:uid="{00000000-0006-0000-0200-00000E000000}">
      <text>
        <r>
          <rPr>
            <b/>
            <sz val="8"/>
            <color indexed="81"/>
            <rFont val="Tahoma"/>
            <family val="2"/>
          </rPr>
          <t>Salary + Benefits</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FERJAN Klemen</author>
    <author>IATA</author>
    <author>Klemen</author>
    <author xml:space="preserve"> </author>
    <author>SNG Ashley</author>
  </authors>
  <commentList>
    <comment ref="B5" authorId="0" shapeId="0" xr:uid="{00000000-0006-0000-0300-000001000000}">
      <text>
        <r>
          <rPr>
            <sz val="9"/>
            <color indexed="81"/>
            <rFont val="Tahoma"/>
            <family val="2"/>
          </rPr>
          <t>All revenues earned from the transportation of passengers on both scheduled and charter operations, after the deduction of applicable discounts and rebates and interline prorated through-tariffs. In the case of promotional offers (i.e. "two-for-one"), the gross passenger revenue for both tickets is to be charged with the applicable discount so as to reflect the net revenue of the value of one ticket. For passengers travelling on tickets issued in exchange for frequent-flyer points, nil revenue is to be entered. Also includes monies collected from air passengers on surcharges of fuel and other surcharges that result in revenues retained by the air carrier i.e. where the carrier does not have the obligation to pass on the amounts so collected to the government or any other entity.
Excludes:
• the value of passenger tickets sold in advance; the value of such tickets shall be carried forward until such time as the flight takes place or the value is refunded or until the value of the unredeemed tickets is written back to revenues;
• taxes on the sale of passenger transportation; cancellation fees; revenues from the sale of food and drinks not included in the price of the ticket; revenues from nominal service charges for persons travelling on a non-revenue basis (such as staff members);
• payments made for ground transportation, commission receivable from the carrier's sale of transportation on other air carriers' services, or other expenses connected with passenger handling or interrupted flights. Such expenses shall be charged to appropriate expenditure accounts.</t>
        </r>
      </text>
    </comment>
    <comment ref="B6" authorId="0" shapeId="0" xr:uid="{00000000-0006-0000-0300-000002000000}">
      <text>
        <r>
          <rPr>
            <sz val="9"/>
            <color indexed="81"/>
            <rFont val="Tahoma"/>
            <family val="2"/>
          </rPr>
          <t>All revenues arising from the transportation of passengers which are not included in the ticket price or have been added to the ticket price in exchange for additional services beyond the transportation aspect in the original fare class. This includes revenues from baggage in excess of the free baggage allowance, baggage fees, cancellation fees, change fees, revenues from the sale of food and drinks, in-flight entertainment and/or equipment, pillows and blankets, preferred seat selection or upgrades, priority boarding, lounge access, internet access, phone calls, (commissions from) duty-free sales, etc.</t>
        </r>
      </text>
    </comment>
    <comment ref="B7" authorId="0" shapeId="0" xr:uid="{00000000-0006-0000-0300-000003000000}">
      <text>
        <r>
          <rPr>
            <sz val="9"/>
            <color indexed="81"/>
            <rFont val="Tahoma"/>
            <family val="2"/>
          </rPr>
          <t>Revenue derived from freight and mail, in dedicated cargo operations as well as from belly cargo space of passenger aircraft.
Includes:
• revenues for the carriage of freight, after deduction of applicable discounts and rebates, and interline prorated through-tariffs
• express revenue and revenue from the carriage of diplomatic bags. Where the air carrier's staff has the privilege of sending personal consignments at reduced rates, such revenue shall be considered as normal freight revenue.
• all payments received from the carriage of all domestic and foreign mail at prevailing rates, irrespective of the fact that such rates may be fixed in advance or in arrears.</t>
        </r>
      </text>
    </comment>
    <comment ref="B8" authorId="1" shapeId="0" xr:uid="{00000000-0006-0000-0300-000004000000}">
      <text>
        <r>
          <rPr>
            <b/>
            <sz val="9"/>
            <color indexed="81"/>
            <rFont val="Tahoma"/>
            <family val="2"/>
          </rPr>
          <t>IATA:</t>
        </r>
        <r>
          <rPr>
            <sz val="9"/>
            <color indexed="81"/>
            <rFont val="Tahoma"/>
            <family val="2"/>
          </rPr>
          <t xml:space="preserve">
This is the total operating revenue of the airline FY2016. 
In </t>
        </r>
        <r>
          <rPr>
            <b/>
            <u/>
            <sz val="9"/>
            <color indexed="81"/>
            <rFont val="Tahoma"/>
            <family val="2"/>
          </rPr>
          <t>USD</t>
        </r>
        <r>
          <rPr>
            <sz val="9"/>
            <color indexed="81"/>
            <rFont val="Tahoma"/>
            <family val="2"/>
          </rPr>
          <t>.
Please make sure that the reported revenue relates directly to the core air transport operations only (passengers and cargo).
If the air carrier is part of a group of companies encompassing other related activities, such as
aircraft maintenance ("MRO"), catering, and reservation systems, etc., only the revenues pertaining to the air carrier should be reported here (the reported data scope should match the data scope from the Form 2).</t>
        </r>
      </text>
    </comment>
    <comment ref="B9" authorId="0" shapeId="0" xr:uid="{00000000-0006-0000-0300-000005000000}">
      <text>
        <r>
          <rPr>
            <b/>
            <sz val="9"/>
            <color indexed="81"/>
            <rFont val="Tahoma"/>
            <family val="2"/>
          </rPr>
          <t>Incidental transport-related revenues</t>
        </r>
        <r>
          <rPr>
            <sz val="9"/>
            <color indexed="81"/>
            <rFont val="Tahoma"/>
            <family val="2"/>
          </rPr>
          <t xml:space="preserve">
Revenues from a carrier's non-core transport-related activities. Gross revenues for all such activities not included above are to be reported here. Examples of incidental transport-related revenues are: revenues from the provision of aircraft to other carriers or parties from operations under their control, such as in chartering, interchange or operating lease agreements; revenues from capacity-equalization payments arising from pooled services; revenues received by the marketing carrier under code-shared, blocked-seat or joint services arrangements; and any other revenues not classified under above and related to the air transport activities of the reporting carrier.
</t>
        </r>
        <r>
          <rPr>
            <b/>
            <sz val="9"/>
            <color indexed="81"/>
            <rFont val="Tahoma"/>
            <family val="2"/>
          </rPr>
          <t>Miscellaneous operating revenues</t>
        </r>
        <r>
          <rPr>
            <sz val="9"/>
            <color indexed="81"/>
            <rFont val="Tahoma"/>
            <family val="2"/>
          </rPr>
          <t xml:space="preserve">
Net revenues (i.e. gross revenues less related expenses) from sources such as handling services for third parties, service and maintenance sales, surface transportation, catering services, properties, and sources other than air transport when these activities are performed by the air carrier entity of a group.
</t>
        </r>
      </text>
    </comment>
    <comment ref="B10" authorId="2" shapeId="0" xr:uid="{00000000-0006-0000-0300-000006000000}">
      <text>
        <r>
          <rPr>
            <b/>
            <sz val="9"/>
            <color indexed="81"/>
            <rFont val="Tahoma"/>
            <family val="2"/>
          </rPr>
          <t>Klemen:</t>
        </r>
        <r>
          <rPr>
            <sz val="9"/>
            <color indexed="81"/>
            <rFont val="Tahoma"/>
            <family val="2"/>
          </rPr>
          <t xml:space="preserve">
For the purposes of better quality analysis and benchmarking the following two non-operating categories should be reported:
- </t>
        </r>
        <r>
          <rPr>
            <b/>
            <sz val="9"/>
            <color indexed="81"/>
            <rFont val="Tahoma"/>
            <family val="2"/>
          </rPr>
          <t>Fuel and oil hedging gain(loss)</t>
        </r>
        <r>
          <rPr>
            <sz val="9"/>
            <color indexed="81"/>
            <rFont val="Tahoma"/>
            <family val="2"/>
          </rPr>
          <t xml:space="preserve">; include here profits or losses obtained from any “financial hedging” or forward cover transactions associated with fuel purchase.
- </t>
        </r>
        <r>
          <rPr>
            <b/>
            <sz val="9"/>
            <color indexed="81"/>
            <rFont val="Tahoma"/>
            <family val="2"/>
          </rPr>
          <t>Foreign exchange gain(loss)</t>
        </r>
        <r>
          <rPr>
            <sz val="9"/>
            <color indexed="81"/>
            <rFont val="Tahoma"/>
            <family val="2"/>
          </rPr>
          <t xml:space="preserve">; include here profits or losses obtained from foreign exchange transactions, including foreign exchange hedge.
</t>
        </r>
      </text>
    </comment>
    <comment ref="B11" authorId="2" shapeId="0" xr:uid="{00000000-0006-0000-0300-000007000000}">
      <text>
        <r>
          <rPr>
            <b/>
            <sz val="9"/>
            <color indexed="81"/>
            <rFont val="Tahoma"/>
            <family val="2"/>
          </rPr>
          <t>Klemen:</t>
        </r>
        <r>
          <rPr>
            <sz val="9"/>
            <color indexed="81"/>
            <rFont val="Tahoma"/>
            <family val="2"/>
          </rPr>
          <t xml:space="preserve">
Include here profits or losses obtained from any “financial hedging” or forward cover transactions associated with fuel purchase.
In </t>
        </r>
        <r>
          <rPr>
            <b/>
            <u/>
            <sz val="9"/>
            <color indexed="81"/>
            <rFont val="Tahoma"/>
            <family val="2"/>
          </rPr>
          <t>USD</t>
        </r>
        <r>
          <rPr>
            <sz val="9"/>
            <color indexed="81"/>
            <rFont val="Tahoma"/>
            <family val="2"/>
          </rPr>
          <t>.</t>
        </r>
      </text>
    </comment>
    <comment ref="B12" authorId="2" shapeId="0" xr:uid="{00000000-0006-0000-0300-000008000000}">
      <text>
        <r>
          <rPr>
            <b/>
            <sz val="9"/>
            <color indexed="81"/>
            <rFont val="Tahoma"/>
            <family val="2"/>
          </rPr>
          <t>Klemen:</t>
        </r>
        <r>
          <rPr>
            <sz val="9"/>
            <color indexed="81"/>
            <rFont val="Tahoma"/>
            <family val="2"/>
          </rPr>
          <t xml:space="preserve">
Include here profits or losses obtained from foreign exchange transactions, including foreign exchange hedge.
In </t>
        </r>
        <r>
          <rPr>
            <b/>
            <u/>
            <sz val="9"/>
            <color indexed="81"/>
            <rFont val="Tahoma"/>
            <family val="2"/>
          </rPr>
          <t>USD</t>
        </r>
        <r>
          <rPr>
            <sz val="9"/>
            <color indexed="81"/>
            <rFont val="Tahoma"/>
            <family val="2"/>
          </rPr>
          <t>.</t>
        </r>
      </text>
    </comment>
    <comment ref="C17" authorId="3" shapeId="0" xr:uid="{00000000-0006-0000-0300-000009000000}">
      <text>
        <r>
          <rPr>
            <sz val="9"/>
            <color indexed="81"/>
            <rFont val="Tahoma"/>
            <family val="2"/>
          </rPr>
          <t>Indicate the number of Full Time Equivalent (FTE) per division.
Number of employees refers to all personnel (both permanent and temporary) on the payroll of an airline (average over the year).</t>
        </r>
      </text>
    </comment>
    <comment ref="D17" authorId="3" shapeId="0" xr:uid="{00000000-0006-0000-0300-00000A000000}">
      <text>
        <r>
          <rPr>
            <sz val="9"/>
            <color indexed="81"/>
            <rFont val="Tahoma"/>
            <family val="2"/>
          </rPr>
          <t xml:space="preserve">Indicate the total gross salaries and compensations per division in </t>
        </r>
        <r>
          <rPr>
            <b/>
            <u/>
            <sz val="9"/>
            <color indexed="81"/>
            <rFont val="Tahoma"/>
            <family val="2"/>
          </rPr>
          <t>USD.</t>
        </r>
      </text>
    </comment>
    <comment ref="F17" authorId="3" shapeId="0" xr:uid="{00000000-0006-0000-0300-00000B000000}">
      <text>
        <r>
          <rPr>
            <sz val="9"/>
            <color indexed="81"/>
            <rFont val="Tahoma"/>
            <family val="2"/>
          </rPr>
          <t>‘Duty hour’ is a period which starts when a crew member (either flight deck crew or flight attendant) is required by an airline to commence a duty and ends when the crew member is free from all duties. It normally starts when the crew member is required by an airline to report for a flight or a series of flights; it finishes at the end of the last flight on which he/she is an operating crew member.</t>
        </r>
      </text>
    </comment>
    <comment ref="B18" authorId="1" shapeId="0" xr:uid="{00000000-0006-0000-0300-00000C000000}">
      <text>
        <r>
          <rPr>
            <sz val="9"/>
            <color indexed="81"/>
            <rFont val="Tahoma"/>
            <family val="2"/>
          </rPr>
          <t>Includes:
• All pilots and co-pilots including executive and managerial personnel who perform commercial flying duties from time to time.
• Flight engineers, radio operators and navigators including executive and managerial personnel who perform these duties infrequently.</t>
        </r>
      </text>
    </comment>
    <comment ref="B19" authorId="1" shapeId="0" xr:uid="{00000000-0006-0000-0300-00000D000000}">
      <text>
        <r>
          <rPr>
            <sz val="9"/>
            <color indexed="81"/>
            <rFont val="Tahoma"/>
            <family val="2"/>
          </rPr>
          <t xml:space="preserve">Aircraft engineering, maintenance, overhaul and repair personnel including corresponding administration, accounting, time keeping, stores, planning, training and inspection staff. This category covers technical management, inspection and quality control, technical engineering, production planning and control, technical purchasing/stores, workshop, hangar and line maintenance staff.
</t>
        </r>
      </text>
    </comment>
    <comment ref="B20" authorId="1" shapeId="0" xr:uid="{00000000-0006-0000-0300-00000E000000}">
      <text>
        <r>
          <rPr>
            <sz val="9"/>
            <color indexed="81"/>
            <rFont val="Tahoma"/>
            <family val="2"/>
          </rPr>
          <t>Staff engaged in Station and Ground operations such as traffic handling (passenger and cargo), loading and servicing aircraft, including supervisors, dispatchers and ground radio operators.</t>
        </r>
      </text>
    </comment>
    <comment ref="B21" authorId="1" shapeId="0" xr:uid="{00000000-0006-0000-0300-00000F000000}">
      <text>
        <r>
          <rPr>
            <sz val="9"/>
            <color indexed="81"/>
            <rFont val="Tahoma"/>
            <family val="2"/>
          </rPr>
          <t xml:space="preserve">Pursers, stewards, stewardesses, hostesses.
</t>
        </r>
      </text>
    </comment>
    <comment ref="B22" authorId="1" shapeId="0" xr:uid="{00000000-0006-0000-0300-000010000000}">
      <text>
        <r>
          <rPr>
            <sz val="9"/>
            <color indexed="81"/>
            <rFont val="Tahoma"/>
            <family val="2"/>
          </rPr>
          <t>Personnel providing In-flight Catering operations (excluding flight attendants), and personnel providing information and services at airport terminals, such as check-in counter and gate agents, baggage claim, unaccompanied minors, wheelchair assistance, etc.</t>
        </r>
      </text>
    </comment>
    <comment ref="B23" authorId="1" shapeId="0" xr:uid="{00000000-0006-0000-0300-000011000000}">
      <text>
        <r>
          <rPr>
            <sz val="9"/>
            <color indexed="81"/>
            <rFont val="Tahoma"/>
            <family val="2"/>
          </rPr>
          <t>Reservations, ticketing sales, scheduling, tariffs, marketing, custom services, commercial and public relations staff including corresponding administration and management personnel.</t>
        </r>
      </text>
    </comment>
    <comment ref="B24" authorId="4" shapeId="0" xr:uid="{00000000-0006-0000-0300-000012000000}">
      <text>
        <r>
          <rPr>
            <sz val="9"/>
            <color indexed="81"/>
            <rFont val="Tahoma"/>
            <family val="2"/>
          </rPr>
          <t>Personnel involved in administration of IT hardware, software, development of new systems, data warehousing and web related IT, communications such as networks (including data, telephone, voice over IP), satellite communications, datalink, and SITA.</t>
        </r>
      </text>
    </comment>
    <comment ref="B25" authorId="4" shapeId="0" xr:uid="{00000000-0006-0000-0300-000013000000}">
      <text>
        <r>
          <rPr>
            <sz val="9"/>
            <color indexed="81"/>
            <rFont val="Tahoma"/>
            <family val="2"/>
          </rPr>
          <t>Personnel involved in all aspects of finance, such as financial analysis and planning, financial and management accounting, cost control, corporate fi-nance, treasury etc.</t>
        </r>
      </text>
    </comment>
    <comment ref="B26" authorId="4" shapeId="0" xr:uid="{00000000-0006-0000-0300-000014000000}">
      <text>
        <r>
          <rPr>
            <sz val="9"/>
            <color indexed="81"/>
            <rFont val="Tahoma"/>
            <family val="2"/>
          </rPr>
          <t>Personnel involved in activities relating to employees, including recruitment and hiring, orientation of new employees, retention of staff and employee relations.</t>
        </r>
      </text>
    </comment>
    <comment ref="B27" authorId="4" shapeId="0" xr:uid="{00000000-0006-0000-0300-000015000000}">
      <text>
        <r>
          <rPr>
            <sz val="9"/>
            <color indexed="81"/>
            <rFont val="Tahoma"/>
            <family val="2"/>
          </rPr>
          <t>Personnel involved in obtaining or buying goods and services for the air-line, with responsibilities including purchase planning, price negotiation, supply chain and material management, inventory control etc.</t>
        </r>
      </text>
    </comment>
    <comment ref="B28" authorId="4" shapeId="0" xr:uid="{00000000-0006-0000-0300-000016000000}">
      <text>
        <r>
          <rPr>
            <sz val="9"/>
            <color indexed="81"/>
            <rFont val="Tahoma"/>
            <family val="2"/>
          </rPr>
          <t>General and administrative personnel not included in the functions de-scribed above such as the senior management team, safety and security, legal and general counsel, government affairs, facility management.</t>
        </r>
      </text>
    </comment>
    <comment ref="B29" authorId="1" shapeId="0" xr:uid="{00000000-0006-0000-0300-000017000000}">
      <text>
        <r>
          <rPr>
            <sz val="9"/>
            <color indexed="81"/>
            <rFont val="Tahoma"/>
            <family val="2"/>
          </rPr>
          <t>Personnel performing the general and administrative functions of the air carrier excluded in the categories listed above.</t>
        </r>
      </text>
    </comment>
    <comment ref="C30" authorId="1" shapeId="0" xr:uid="{00000000-0006-0000-0300-000018000000}">
      <text>
        <r>
          <rPr>
            <b/>
            <sz val="9"/>
            <color indexed="81"/>
            <rFont val="Tahoma"/>
            <family val="2"/>
          </rPr>
          <t>IATA:</t>
        </r>
        <r>
          <rPr>
            <sz val="9"/>
            <color indexed="81"/>
            <rFont val="Tahoma"/>
            <family val="2"/>
          </rPr>
          <t xml:space="preserve">
This is the total number of Full Time Equivalent (FTE) of the airline.</t>
        </r>
      </text>
    </comment>
    <comment ref="D30" authorId="1" shapeId="0" xr:uid="{00000000-0006-0000-0300-000019000000}">
      <text>
        <r>
          <rPr>
            <b/>
            <sz val="9"/>
            <color indexed="81"/>
            <rFont val="Tahoma"/>
            <family val="2"/>
          </rPr>
          <t>IATA:</t>
        </r>
        <r>
          <rPr>
            <sz val="9"/>
            <color indexed="81"/>
            <rFont val="Tahoma"/>
            <family val="2"/>
          </rPr>
          <t xml:space="preserve">
This is the total salaries and compensation of the airline in </t>
        </r>
        <r>
          <rPr>
            <b/>
            <u/>
            <sz val="9"/>
            <color indexed="81"/>
            <rFont val="Tahoma"/>
            <family val="2"/>
          </rPr>
          <t>USD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IATA</author>
    <author>SNG Ashley</author>
    <author>FERJAN Klemen</author>
    <author>hi</author>
    <author>Klemen</author>
  </authors>
  <commentList>
    <comment ref="B8" authorId="0" shapeId="0" xr:uid="{00000000-0006-0000-0400-000001000000}">
      <text>
        <r>
          <rPr>
            <sz val="8"/>
            <color indexed="81"/>
            <rFont val="Tahoma"/>
            <family val="2"/>
          </rPr>
          <t xml:space="preserve"> Flight crew salaries and expenses. Include pay and allowances, pensions, insur-ance, travelling and other similar expenses (uniforms, etc.) of flight crews. Pay, al-lowances and other related expenses of cabin crews and passenger service per-sonnel shall not be reported here. Include the training costs of flight crew (whether amortized or not).
 Also included are expenses for flight deck crew administration, planning and scheduling.
 “Pay” as outlined above includes all; payroll, overtime, shift pay, sector pay, and any other bonus or productivity related pay connected with employment.  It also in-cludes employer social insurance costs, contributions to pension funds, and any other employment related costs, which are the responsibility of the employer.
 “Allowances” as outlined above include all expenses incurred in connection with commercial flight operations, including accommodation, subsistence, meals, per diem allowances, transport and uniform costs, etc.
 Third party work   Flight Deck Crew: where third party work provided by your airline for crew training is substantial, both the expenses and the revenues arising from such work should be excluded from the reported data. If you are unable to do this, because the cost of providing the service cannot be identified, then deduct the gross revenue from this expenses category   and indicate that you have done so in the comments on your data.</t>
        </r>
      </text>
    </comment>
    <comment ref="B9" authorId="0" shapeId="0" xr:uid="{00000000-0006-0000-0400-000002000000}">
      <text>
        <r>
          <rPr>
            <sz val="8"/>
            <color indexed="81"/>
            <rFont val="Tahoma"/>
            <family val="2"/>
          </rPr>
          <t xml:space="preserve"> Expenses for all aircraft fuel and oil consumed by the aircraft, non refundable du-ties and taxes pertaining thereto, including fuel throughput charges levied by the airports, “fuel-into-plane” costs, but excluding the cost of any “Financial Hedging” or Forward Cover transactions associated with fuel purchase. Include emissions charges and taxes here.
Profits or losses obtained from any “financial hedging” or forward cover transac-tions associated with fuel purchase should be reported under Form 1, C11: Fuel and oil hedging gain(loss).</t>
        </r>
      </text>
    </comment>
    <comment ref="B10" authorId="0" shapeId="0" xr:uid="{00000000-0006-0000-0400-000003000000}">
      <text>
        <r>
          <rPr>
            <sz val="8"/>
            <color indexed="81"/>
            <rFont val="Tahoma"/>
            <family val="2"/>
          </rPr>
          <t xml:space="preserve"> Includes insurance against accidental damage to flight equipment while in flight and on the ground; insurance against liability occurring from operation of aircraft or, in the case of non-insurance, the resulting expenses for which the air carrier is liable. Premiums for passenger liability insurance and passenger accident insur-ance paid by the air carrier are not to be reported here.
 Do not include passenger or cargo liability insurance which is included on Row 32 in Form 2.</t>
        </r>
      </text>
    </comment>
    <comment ref="B11" authorId="0" shapeId="0" xr:uid="{00000000-0006-0000-0400-000004000000}">
      <text>
        <r>
          <rPr>
            <u/>
            <sz val="8"/>
            <color indexed="81"/>
            <rFont val="Tahoma"/>
            <family val="2"/>
          </rPr>
          <t>Depreciation - Flight Equipment</t>
        </r>
        <r>
          <rPr>
            <sz val="8"/>
            <color indexed="81"/>
            <rFont val="Tahoma"/>
            <family val="2"/>
          </rPr>
          <t xml:space="preserve">
 The normal annual depreciation of assets. 
</t>
        </r>
        <r>
          <rPr>
            <u/>
            <sz val="8"/>
            <color indexed="81"/>
            <rFont val="Tahoma"/>
            <family val="2"/>
          </rPr>
          <t>Amortization of Capital Leases - Flight Equipment</t>
        </r>
        <r>
          <rPr>
            <sz val="8"/>
            <color indexed="81"/>
            <rFont val="Tahoma"/>
            <family val="2"/>
          </rPr>
          <t xml:space="preserve">
 The amortization of capital leases.
Please refer to the Instructions Manual for more details.</t>
        </r>
      </text>
    </comment>
    <comment ref="B12" authorId="0" shapeId="0" xr:uid="{00000000-0006-0000-0400-000005000000}">
      <text>
        <r>
          <rPr>
            <sz val="8"/>
            <color indexed="81"/>
            <rFont val="Tahoma"/>
            <family val="2"/>
          </rPr>
          <t xml:space="preserve">Includes expenses incurred for the rental of aircraft and crews from other carriers, such as in chartering, interchange and operating or short-term lease agreements. Rental/lease payments under finance leases are </t>
        </r>
        <r>
          <rPr>
            <b/>
            <sz val="8"/>
            <color indexed="81"/>
            <rFont val="Tahoma"/>
            <family val="2"/>
          </rPr>
          <t>not</t>
        </r>
        <r>
          <rPr>
            <sz val="8"/>
            <color indexed="81"/>
            <rFont val="Tahoma"/>
            <family val="2"/>
          </rPr>
          <t xml:space="preserve"> included.</t>
        </r>
      </text>
    </comment>
    <comment ref="B13" authorId="0" shapeId="0" xr:uid="{00000000-0006-0000-0400-000006000000}">
      <text>
        <r>
          <rPr>
            <sz val="8"/>
            <color indexed="81"/>
            <rFont val="Tahoma"/>
            <family val="2"/>
          </rPr>
          <t>Includes fees levied against the air carrier for the provision of en-route facilities and services, including approach and aerodrome control charges.</t>
        </r>
      </text>
    </comment>
    <comment ref="B16" authorId="0" shapeId="0" xr:uid="{00000000-0006-0000-0400-000007000000}">
      <text>
        <r>
          <rPr>
            <sz val="8"/>
            <color indexed="81"/>
            <rFont val="Tahoma"/>
            <family val="2"/>
          </rPr>
          <t>The costs of labour, material and outside aircraft maintenance contracts at various stations to keep the aircraft in operations while it is in service (operation), including all services performed during normal transit periods or routine turnaround or regularly scheduled layover periods, which are necessary to meet the airworthiness and related maintenance requirements of an aircraft for the next flight.</t>
        </r>
      </text>
    </comment>
    <comment ref="B17" authorId="0" shapeId="0" xr:uid="{00000000-0006-0000-0400-000008000000}">
      <text>
        <r>
          <rPr>
            <sz val="8"/>
            <color indexed="81"/>
            <rFont val="Tahoma"/>
            <family val="2"/>
          </rPr>
          <t xml:space="preserve">The costs (labour, material and outside contracts) of maintenance done in a hangar environment while the aircraft is out of service.
</t>
        </r>
      </text>
    </comment>
    <comment ref="B18" authorId="0" shapeId="0" xr:uid="{00000000-0006-0000-0400-000009000000}">
      <text>
        <r>
          <rPr>
            <sz val="8"/>
            <color indexed="81"/>
            <rFont val="Tahoma"/>
            <family val="2"/>
          </rPr>
          <t xml:space="preserve"> The costs for labour, material and outside component repair costs to keep all aircraft components in operating condition, excluding engine maintenance costs.</t>
        </r>
      </text>
    </comment>
    <comment ref="B19" authorId="0" shapeId="0" xr:uid="{00000000-0006-0000-0400-00000A000000}">
      <text>
        <r>
          <rPr>
            <sz val="8"/>
            <color indexed="81"/>
            <rFont val="Tahoma"/>
            <family val="2"/>
          </rPr>
          <t>The costs of labour, material and outside maintenance contracts for keeping the engines operational.</t>
        </r>
      </text>
    </comment>
    <comment ref="B20" authorId="1" shapeId="0" xr:uid="{00000000-0006-0000-0400-00000B000000}">
      <text>
        <r>
          <rPr>
            <sz val="9"/>
            <color indexed="81"/>
            <rFont val="Tahoma"/>
            <family val="2"/>
          </rPr>
          <t xml:space="preserve">All costs not accounted that are associated with the direct management and support of aircraft maintenance, including but not limited to accounting, personnel, management, material management and similar common services (engineering, quality, training).
 Note: Direct and related indirect maintenance of ground facilities should be reported under Station and Ground (Row 26). 
 Third party work   Maintenance and Overhaul: where third party work pro-vided by your airline for maintenance and overhaul is substantial, both the expenses and the revenues arising from such work should be excluded from the reported data. If you are unable to do this, because the cost of providing the service cannot be identified, then deduct the gross revenues from this expense category   and indicate that you have done so in the comments on your data. </t>
        </r>
      </text>
    </comment>
    <comment ref="B22" authorId="1" shapeId="0" xr:uid="{00000000-0006-0000-0400-00000C000000}">
      <text>
        <r>
          <rPr>
            <sz val="9"/>
            <color indexed="81"/>
            <rFont val="Tahoma"/>
            <family val="2"/>
          </rPr>
          <t xml:space="preserve">Includes the cost of keeping aircraft, engines, components and spares in an opera-tive condition, the cost of repair and overhaul and the certificate of airworthiness overhaul carried out under mandatory government requirements. Also includes the pay, allowances and related expenses of all staff engaged in flight equipment maintenance as well as the cost of repair, overhaul and maintenance of flight equipment by outside contractors and manufacturers. The direct and related indi-rect maintenance cost of ground facilities are not included here. 
</t>
        </r>
        <r>
          <rPr>
            <b/>
            <sz val="9"/>
            <color indexed="81"/>
            <rFont val="Tahoma"/>
            <family val="2"/>
          </rPr>
          <t>Maintenance Reserves reporting</t>
        </r>
        <r>
          <rPr>
            <sz val="9"/>
            <color indexed="81"/>
            <rFont val="Tahoma"/>
            <family val="2"/>
          </rPr>
          <t>: if lessor demands Maintenance Reserves payments for leased aircraft, the net effect of accumulated maintenance reserves less reimbursements from lessor (after major maintenance events are completed), during the reporting period, should be added to the respective maintenance and overhaul categories: Base, Engine, and/or Component Maintenance.</t>
        </r>
      </text>
    </comment>
    <comment ref="B23" authorId="0" shapeId="0" xr:uid="{00000000-0006-0000-0400-00000D000000}">
      <text>
        <r>
          <rPr>
            <sz val="8"/>
            <color indexed="81"/>
            <rFont val="Tahoma"/>
            <family val="2"/>
          </rPr>
          <t>Charges and fees paid for the use of runways, taxiways and ramp areas, in-cluding charges paid for the parking of aircraft and their housing in airport-owned hangars, noise charges and night surcharges, if imposed, and excluding fuel throughput charges. Fuel throughput charges should be reported under Fuel &amp; Oil on Row 9.</t>
        </r>
      </text>
    </comment>
    <comment ref="B24" authorId="0" shapeId="0" xr:uid="{00000000-0006-0000-0400-00000E000000}">
      <text>
        <r>
          <rPr>
            <sz val="8"/>
            <color indexed="81"/>
            <rFont val="Tahoma"/>
            <family val="2"/>
          </rPr>
          <t>Charges and fees paid for the use of air terminal and other passenger pro-cessing facilities (e.g., for passengers embarked or disembarked), including security charges where charged by the airport. Exclude charges for aircraft ramp and traffic handling, which is performed on an agency basis by an air-port authority. These should be reported under Station and Ground on Row 26. Also exclude government imposed insurance surcharges, which should be reported under Load Insurance on Row 32.</t>
        </r>
      </text>
    </comment>
    <comment ref="B28" authorId="0" shapeId="0" xr:uid="{00000000-0006-0000-0400-00000F000000}">
      <text>
        <r>
          <rPr>
            <sz val="8"/>
            <color indexed="81"/>
            <rFont val="Tahoma"/>
            <family val="2"/>
          </rPr>
          <t xml:space="preserve"> Station and Ground expenses includes items such as: pay, allowances and ex-penses of all station staff engaged in handling and servicing aircraft and load, in-cluding flight supervisors, dispatchers and ground radio operators; station accom-modation costs; maintenance and insurance of airport facilities, where separately assessed; representation and traffic handling fees charged by third parties for handling the air services of the air carrier; station store charges, including local du-ties on equipment, transportation, packing and materials, rental of stores, store-keepers' pay, allowance and expenses, etc.
 Do not include the cost of sales personnel employed at airports and associated costs, which should be included under Reservation, Ticketing, Sales and Promo-tion (Row 36).
 Do not include the cost of Flight Deck Crew administration, planning and schedul-ing which is included on Row 8.
 Third party work   Station and Ground: where third party work provided by your air-line for Station and Ground operations is substantial, both the expenses and the revenues arising from such work should be excluded from the reported data. If you are unable to do this, because the cost of providing the service cannot be identi-fied, then deduct the gross revenues from this category   and indicate that you have done so in the comments on your data.</t>
        </r>
      </text>
    </comment>
    <comment ref="B32" authorId="0" shapeId="0" xr:uid="{00000000-0006-0000-0400-000010000000}">
      <text>
        <r>
          <rPr>
            <sz val="8"/>
            <color indexed="81"/>
            <rFont val="Tahoma"/>
            <family val="2"/>
          </rPr>
          <t xml:space="preserve"> Includes pay and allowances, pensions, insurance, travelling and other similar ex-penses (uniforms, etc.) of cabin crew. Training costs of cabin crew (whether amor-tized or not) are also included here.
 Pay as outlined above, includes all; payroll, overtime, shift pay, and any other bo-nus or productivity related pay connected with employment.  It also includes em-ployer social insurance costs, contributions to pension funds, and any other em-ployment related costs, which are the responsibility of the employer.
 “Allowances” as outlined above include all indirect expenses incurred in connec-tion with cabin attendants commercial flight operations, including accommodation, subsistence, meals, per diem allowances, transport and uniform costs etc.</t>
        </r>
      </text>
    </comment>
    <comment ref="B33" authorId="2" shapeId="0" xr:uid="{00000000-0006-0000-0400-000011000000}">
      <text>
        <r>
          <rPr>
            <sz val="9"/>
            <color indexed="81"/>
            <rFont val="Tahoma"/>
            <family val="2"/>
          </rPr>
          <t>Cost of flight kitchens (cost associated with In-flight Catering operations), meals and accommodation, including the cost of supplies and personal services furnished to passengers.</t>
        </r>
      </text>
    </comment>
    <comment ref="B34" authorId="0" shapeId="0" xr:uid="{00000000-0006-0000-0400-000012000000}">
      <text>
        <r>
          <rPr>
            <sz val="8"/>
            <color indexed="81"/>
            <rFont val="Tahoma"/>
            <family val="2"/>
          </rPr>
          <t>Premiums for cargo liability insurance, premiums for passenger liability insurance and passenger accident insurance paid by the airline, and also includes government imposed insurance surcharges.</t>
        </r>
      </text>
    </comment>
    <comment ref="B35" authorId="1" shapeId="0" xr:uid="{00000000-0006-0000-0400-000013000000}">
      <text>
        <r>
          <rPr>
            <sz val="9"/>
            <color indexed="81"/>
            <rFont val="Tahoma"/>
            <family val="2"/>
          </rPr>
          <t>Expense of handling passengers incurred because of interrupted flights, including hotels, meals, taxi fares, passenger compensation and other expense items.</t>
        </r>
      </text>
    </comment>
    <comment ref="B38" authorId="0" shapeId="0" xr:uid="{00000000-0006-0000-0400-000014000000}">
      <text>
        <r>
          <rPr>
            <sz val="8"/>
            <color indexed="81"/>
            <rFont val="Tahoma"/>
            <family val="2"/>
          </rPr>
          <t>Includes the cost of other services provided to passengers (for example providing information and services at airport terminals, such as check-in counter and gate agents, baggage claim, unaccompanied minors, wheel-chair assistance, etc.), namely pay, allowances and expenses of passenger service personnel, and all other services provided for the comfort of passen-gers in transit.
“Pay” as outlined above includes all; payroll, overtime, shift pay, and any other bonus or productivity related pay connected with employment in Pas-senger Services. It also includes employer social insurance costs, contribu-tions to pension funds, and any other employment related costs, which are the responsibility of the employer.
“Allowances” as outlined above include all indirect and overhead expenses incurred in connection with Passenger Service operations, which mainly re-lates to In-flight Catering operations, including accommodation, subsist-ence, meals, per diem allowances, transport and uniform costs, etc.
Third party work   Passenger Service: where third party work provided by your airline for Passenger Services is substantial, both the expenses and the revenues arising from such work should be excluded from the reported data. If you are unable to do this, because the cost of providing the service cannot be identified, then deduct the gross revenues from this expense cat-egory   and indicate that you have done so in the comments on your data.</t>
        </r>
      </text>
    </comment>
    <comment ref="B40" authorId="0" shapeId="0" xr:uid="{00000000-0006-0000-0400-000015000000}">
      <text>
        <r>
          <rPr>
            <sz val="8"/>
            <color indexed="81"/>
            <rFont val="Tahoma"/>
            <family val="2"/>
          </rPr>
          <t xml:space="preserve"> Include the sum of the following items:
</t>
        </r>
        <r>
          <rPr>
            <u/>
            <sz val="8"/>
            <color indexed="81"/>
            <rFont val="Tahoma"/>
            <family val="2"/>
          </rPr>
          <t>Commission Expenses</t>
        </r>
        <r>
          <rPr>
            <sz val="8"/>
            <color indexed="81"/>
            <rFont val="Tahoma"/>
            <family val="2"/>
          </rPr>
          <t xml:space="preserve">
The net commission payable to others for the sale of transportation on the reporting carrier's service less the commission receivable from the reporting carrier's sale of transportation on other air carriers' services.
</t>
        </r>
        <r>
          <rPr>
            <u/>
            <sz val="8"/>
            <color indexed="81"/>
            <rFont val="Tahoma"/>
            <family val="2"/>
          </rPr>
          <t>Other Expenses</t>
        </r>
        <r>
          <rPr>
            <sz val="8"/>
            <color indexed="81"/>
            <rFont val="Tahoma"/>
            <family val="2"/>
          </rPr>
          <t xml:space="preserve">
Pay, allowances and related expenses of all staff engaged in reservations, ticketing, sales and promotion activities; accommodation costs; agency fees for outside services; advertising and publicity through various media, and expenses related thereto.
 Third party work – Reservation, Ticketing, Sales and Promotion: where third party work provided by your airline for these functions is substantial, both the expenses and the revenues arising from such work should be excluded from the reported data. If you are unable to do this, because the cost of providing the service cannot be identified, then deduct the gross revenues from this cost category   and indicate that you have done so in the comments on your data.</t>
        </r>
      </text>
    </comment>
    <comment ref="B41" authorId="0" shapeId="0" xr:uid="{00000000-0006-0000-0400-000016000000}">
      <text>
        <r>
          <rPr>
            <sz val="8"/>
            <color indexed="81"/>
            <rFont val="Tahoma"/>
            <family val="2"/>
          </rPr>
          <t>Costs of IT such as hardware, software, labour, development of new systems, outsourced services, data warehousing and web related IT, and the costs of communications such as networks (including data, telephone, voice over IP), satellite communications, datalink, and SITA.</t>
        </r>
      </text>
    </comment>
    <comment ref="B42" authorId="1" shapeId="0" xr:uid="{00000000-0006-0000-0400-000017000000}">
      <text>
        <r>
          <rPr>
            <sz val="9"/>
            <color indexed="81"/>
            <rFont val="Tahoma"/>
            <family val="2"/>
          </rPr>
          <t>Expenses incurred in all aspects of finance, such as financial analysis and planning, financial and management accounting, cost control, corporate finance, treasury etc.</t>
        </r>
      </text>
    </comment>
    <comment ref="B43" authorId="1" shapeId="0" xr:uid="{00000000-0006-0000-0400-000018000000}">
      <text>
        <r>
          <rPr>
            <sz val="9"/>
            <color indexed="81"/>
            <rFont val="Tahoma"/>
            <family val="2"/>
          </rPr>
          <t>Expenses incurred in activities relating to employees, including recruitment and hiring, orientation of new employees, retention of staff and employee relations.</t>
        </r>
      </text>
    </comment>
    <comment ref="B44" authorId="1" shapeId="0" xr:uid="{00000000-0006-0000-0400-000019000000}">
      <text>
        <r>
          <rPr>
            <sz val="9"/>
            <color indexed="81"/>
            <rFont val="Tahoma"/>
            <family val="2"/>
          </rPr>
          <t>Expenses incurred in obtaining or buying goods and services for the airline, in areas such as purchase planning, price negotiation, supply chain and material management, inventory control etc.</t>
        </r>
      </text>
    </comment>
    <comment ref="B45" authorId="1" shapeId="0" xr:uid="{00000000-0006-0000-0400-00001A000000}">
      <text>
        <r>
          <rPr>
            <sz val="9"/>
            <color indexed="81"/>
            <rFont val="Tahoma"/>
            <family val="2"/>
          </rPr>
          <t xml:space="preserve">All expenses not captured under the above general and administrative cat-egories, such as expenses incurred by the senior management team, safety and security, legal and general counsel, government affairs, facility man-agement.
All other operating expenses related to the core activities not covered under any other cost categories should be captured here. Operating expenses NOT related to the core activities should be excluded here and reported under Incidental transport-related operating expenses in cell C46.
Exclude also all non-operating expenses, such as capital interest expense, fuel and oil “hedging” gain/loss, foreign exchange gain/loss, etc. 
The only two non-operating categories which should be reported under Form 1 are:
 - Fuel and oil hedging gain(loss) in Row 11
 - Foreign exchange gain(loss) in Row 12
</t>
        </r>
      </text>
    </comment>
    <comment ref="B46" authorId="3" shapeId="0" xr:uid="{00000000-0006-0000-0400-00001B000000}">
      <text>
        <r>
          <rPr>
            <sz val="9"/>
            <color indexed="81"/>
            <rFont val="Tahoma"/>
            <family val="2"/>
          </rPr>
          <t>Includes expenses incurred in performing the general and administrative functions of the air carrier and those expenses relating to matters of a general corporate nature, whether separately assessed or apportioned in conformity with the air carrier's accounting practices. Overhead costs directly related to other functions (flight op-erations, station and ground, maintenance and overhaul, passenger services, and reservation, ticketing, sales and promotion) are not included here.
Similarly, costs that are General and Administrative by nature shall only be report-ed here and not allocated to other functions as overheads.
Third party work - General and Administrative: where third party work provided by your airline in the field of consultancy / training using head office staff is substan-tial, these expenses and revenues should be excluded from the reported data. If you are unable to do this, because the cost of providing the service cannot be identified, then deduct the gross revenues from this cost category   and indicate that you have done so in the comments on your data.</t>
        </r>
      </text>
    </comment>
    <comment ref="B49" authorId="2" shapeId="0" xr:uid="{00000000-0006-0000-0400-00001C000000}">
      <text>
        <r>
          <rPr>
            <sz val="9"/>
            <color indexed="81"/>
            <rFont val="Tahoma"/>
            <family val="2"/>
          </rPr>
          <t>This value should essentially reconcile to the Management Accounts “Operating Costs” except for those items that are to be excluded, or otherwise reported, as per the Defini-tions. e.g. the direct, indirect or overhead costs for services carried out for third parties by the reporting airline.
Incidental transport-related operating expenses are not included here, as they are associated with the non-core revenues received and reported under Other Operating Revenue.
Please note that Total Operating Expenses per aircraft type do not include System Operating Expenses as those are difficult to allocate under respective aircraft types.</t>
        </r>
      </text>
    </comment>
    <comment ref="E49" authorId="2" shapeId="0" xr:uid="{00000000-0006-0000-0400-00001D000000}">
      <text>
        <r>
          <rPr>
            <sz val="9"/>
            <color indexed="81"/>
            <rFont val="Tahoma"/>
            <family val="2"/>
          </rPr>
          <t>Please note that Total Operating Expenses per aircraft type do not include System Operating Expenses as those are difficult to allocate under respective aircraft types.</t>
        </r>
      </text>
    </comment>
    <comment ref="B50" authorId="1" shapeId="0" xr:uid="{00000000-0006-0000-0400-00001E000000}">
      <text>
        <r>
          <rPr>
            <sz val="9"/>
            <color indexed="81"/>
            <rFont val="Tahoma"/>
            <family val="2"/>
          </rPr>
          <t>Operating expenses associated with only the Incidental transport-related portion of Other Operating Revenues. Payments made for capacity equalization arising from pooled services are included here.
Exclude all non-operating expenses, such as capital interest expense, fuel and oil “hedging” gain/loss, foreign exchange gain/loss, etc. 
The only two non-operating categories which should be reported under Form 1 are:
 - Fuel and oil hedging gain(loss) in Row 11
 - Foreign exchange gain(loss) in Row 12</t>
        </r>
      </text>
    </comment>
    <comment ref="B54" authorId="1" shapeId="0" xr:uid="{00000000-0006-0000-0400-00001F000000}">
      <text>
        <r>
          <rPr>
            <sz val="9"/>
            <color indexed="81"/>
            <rFont val="Tahoma"/>
            <family val="2"/>
          </rPr>
          <t>Revenue Passenger-Kilometres equals the sum of the products obtained by multiplying the number of revenue passengers carried on each flight stage by the stage distance. Number of Revenue Passengers Carried is defined below.</t>
        </r>
      </text>
    </comment>
    <comment ref="B55" authorId="1" shapeId="0" xr:uid="{00000000-0006-0000-0400-000020000000}">
      <text>
        <r>
          <rPr>
            <sz val="9"/>
            <color indexed="81"/>
            <rFont val="Tahoma"/>
            <family val="2"/>
          </rPr>
          <t>A seat-kilometre is available when a seat is flown one kilometre. Seat-kilometres available are equal to the sum of the products obtained by multiplying the number of passenger seats available for sale on each flight stage by the stage distance.  It excludes seats not available for the carriage of passengers because of the mass of fuel or other loads.</t>
        </r>
      </text>
    </comment>
    <comment ref="B56" authorId="1" shapeId="0" xr:uid="{00000000-0006-0000-0400-000021000000}">
      <text>
        <r>
          <rPr>
            <sz val="9"/>
            <color indexed="81"/>
            <rFont val="Tahoma"/>
            <family val="2"/>
          </rPr>
          <t>Revenue Tonne-Kilometres - Passenger are obtained by applying a standard mass per passenger, including normal and excess baggage, to the revenue passenger-kilometres performed.  The airline should apply its own standard mass that is most appropriate for its average passenger profile and operational conditions.</t>
        </r>
      </text>
    </comment>
    <comment ref="B57" authorId="2" shapeId="0" xr:uid="{00000000-0006-0000-0400-000022000000}">
      <text>
        <r>
          <rPr>
            <sz val="9"/>
            <color indexed="81"/>
            <rFont val="Tahoma"/>
            <family val="2"/>
          </rPr>
          <t>Revenue Tonne-Kilometres – Cargo equal the sum of the products obtained by multiplying the number of tonnes of freight and mail carried for revenue on each flight stage by the stage distance. Excludes passenger baggage.</t>
        </r>
      </text>
    </comment>
    <comment ref="B58" authorId="1" shapeId="0" xr:uid="{00000000-0006-0000-0400-000023000000}">
      <text>
        <r>
          <rPr>
            <sz val="9"/>
            <color indexed="81"/>
            <rFont val="Tahoma"/>
            <family val="2"/>
          </rPr>
          <t>Sum of Passenger and Cargo Revenue Tonne-Kilometres.</t>
        </r>
      </text>
    </comment>
    <comment ref="B59" authorId="1" shapeId="0" xr:uid="{00000000-0006-0000-0400-000024000000}">
      <text>
        <r>
          <rPr>
            <sz val="9"/>
            <color indexed="81"/>
            <rFont val="Tahoma"/>
            <family val="2"/>
          </rPr>
          <t>Capacity in terms of available tonne-kilometres based on the average total payload (above and below deck) per aircraft available for the carriage of revenue load (passengers, baggage, freight and mail), taking into account payload restrictions where applicable, and operational restrictions on the supply of capacity.
Where operational restrictions apply for freight handling, a maximum of one tonne for cargo allowance (not including baggage) should be applied where applicable.</t>
        </r>
      </text>
    </comment>
    <comment ref="B60" authorId="1" shapeId="0" xr:uid="{00000000-0006-0000-0400-000025000000}">
      <text>
        <r>
          <rPr>
            <sz val="9"/>
            <color indexed="81"/>
            <rFont val="Tahoma"/>
            <family val="2"/>
          </rPr>
          <t>Average passenger weight is calculated by RTK - Passenger (row 52) divided by RPK (row 50). This DataCheck indicates if the above fields are reported correctly.</t>
        </r>
      </text>
    </comment>
    <comment ref="B61" authorId="1" shapeId="0" xr:uid="{00000000-0006-0000-0400-000026000000}">
      <text>
        <r>
          <rPr>
            <sz val="9"/>
            <color indexed="81"/>
            <rFont val="Tahoma"/>
            <family val="2"/>
          </rPr>
          <t>Passenger load factor is calculated by RPK (row 50) divided by ASK (row 51).
This DataCheck indicates if the above fields are reported correctly.</t>
        </r>
      </text>
    </comment>
    <comment ref="B62" authorId="1" shapeId="0" xr:uid="{00000000-0006-0000-0400-000027000000}">
      <text>
        <r>
          <rPr>
            <sz val="9"/>
            <color indexed="81"/>
            <rFont val="Tahoma"/>
            <family val="2"/>
          </rPr>
          <t>Weight load factor is calculated by RTK - Total (row 54) divided by ATK - Total (row 51).
This DataCheck indicates if the above fields are reported correctly.</t>
        </r>
      </text>
    </comment>
    <comment ref="B64" authorId="0" shapeId="0" xr:uid="{00000000-0006-0000-0400-000028000000}">
      <text>
        <r>
          <rPr>
            <sz val="9"/>
            <color indexed="81"/>
            <rFont val="Tahoma"/>
            <family val="2"/>
          </rPr>
          <t xml:space="preserve">Total fuel consumption in </t>
        </r>
        <r>
          <rPr>
            <b/>
            <u/>
            <sz val="9"/>
            <color indexed="81"/>
            <rFont val="Tahoma"/>
            <family val="2"/>
          </rPr>
          <t>kilograms</t>
        </r>
        <r>
          <rPr>
            <sz val="9"/>
            <color indexed="81"/>
            <rFont val="Tahoma"/>
            <family val="2"/>
          </rPr>
          <t xml:space="preserve">, corresponding to the Fuel and Oil expenses. 
1 US gallon of fuel weighs 3.1 kg.
1 barrel = 42 US gallons = 159 liters;
 1 US gallon = 3.786 liters  </t>
        </r>
      </text>
    </comment>
    <comment ref="B65" authorId="1" shapeId="0" xr:uid="{00000000-0006-0000-0400-000029000000}">
      <text>
        <r>
          <rPr>
            <sz val="9"/>
            <color indexed="81"/>
            <rFont val="Tahoma"/>
            <family val="2"/>
          </rPr>
          <t>Total kilometres flown by aircraft type in revenue service. This information should correspond to reported seat-kilometres and tonne-kilometres units as detailed in Rows 50 to 55.</t>
        </r>
      </text>
    </comment>
    <comment ref="B66" authorId="0" shapeId="0" xr:uid="{00000000-0006-0000-0400-00002A000000}">
      <text>
        <r>
          <rPr>
            <sz val="9"/>
            <color indexed="81"/>
            <rFont val="Tahoma"/>
            <family val="2"/>
          </rPr>
          <t>Number of aircraft landings, including operational and fuel stops in revenue services.</t>
        </r>
      </text>
    </comment>
    <comment ref="B67" authorId="0" shapeId="0" xr:uid="{00000000-0006-0000-0400-00002B000000}">
      <text>
        <r>
          <rPr>
            <sz val="9"/>
            <color indexed="81"/>
            <rFont val="Tahoma"/>
            <family val="2"/>
          </rPr>
          <t>‘Block Hour’ is defined from the moment the aircraft for a revenue flight is pushed back from the gate or starts taxiing from its parking stand for take-off to the moment it comes to a final stop at a gate or parking stand after landing (equal to the flight time for the flight plus the taxi time). This total is for aircraft and is not the same as Total Crew Block Hours per year.</t>
        </r>
      </text>
    </comment>
    <comment ref="B68" authorId="0" shapeId="0" xr:uid="{00000000-0006-0000-0400-00002C000000}">
      <text>
        <r>
          <rPr>
            <sz val="9"/>
            <color indexed="81"/>
            <rFont val="Tahoma"/>
            <family val="2"/>
          </rPr>
          <t>Number of total hours flown. An hour flown is computed from the moment the aircraft leaves the ground until it touches the ground again at the end of the flight. It may also be expressed as take-off to touchdown, or wheels-off to wheels-on time.</t>
        </r>
      </text>
    </comment>
    <comment ref="B69" authorId="0" shapeId="0" xr:uid="{00000000-0006-0000-0400-00002D000000}">
      <text>
        <r>
          <rPr>
            <sz val="9"/>
            <color indexed="81"/>
            <rFont val="Tahoma"/>
            <family val="2"/>
          </rPr>
          <t>Number of days the aircraft is available for use during the period in question, excluding the following:
• days between the date of purchase and the date actually placed in service;
• days after its last revenue flight prior to disposal;
• days out of service due to major accident or conversion;
• days when an aircraft is in the possession of others or not available due to government action such as grounding by government regulatory agencies.
All other days must be considered as "days available", including days required for maintenance or overhaul.</t>
        </r>
      </text>
    </comment>
    <comment ref="B70" authorId="0" shapeId="0" xr:uid="{00000000-0006-0000-0400-00002E000000}">
      <text>
        <r>
          <rPr>
            <sz val="9"/>
            <color indexed="81"/>
            <rFont val="Tahoma"/>
            <family val="2"/>
          </rPr>
          <t>The weighted average of flight hours (row 64) divided by available days (row 65).
This DataCheck indicates if FH and available days are reported correctly as average daily utilization should not exceed 24 hours.</t>
        </r>
      </text>
    </comment>
    <comment ref="B71" authorId="0" shapeId="0" xr:uid="{00000000-0006-0000-0400-00002F000000}">
      <text>
        <r>
          <rPr>
            <sz val="9"/>
            <color indexed="81"/>
            <rFont val="Tahoma"/>
            <family val="2"/>
          </rPr>
          <t>Number of aircraft that are in service or in maintenance.</t>
        </r>
      </text>
    </comment>
    <comment ref="B72" authorId="0" shapeId="0" xr:uid="{00000000-0006-0000-0400-000030000000}">
      <text>
        <r>
          <rPr>
            <sz val="9"/>
            <color indexed="81"/>
            <rFont val="Tahoma"/>
            <family val="2"/>
          </rPr>
          <t xml:space="preserve"> Number of aircraft that have been removed from operations, not for maintenance reasons but for economic reasons.</t>
        </r>
      </text>
    </comment>
    <comment ref="B73" authorId="1" shapeId="0" xr:uid="{00000000-0006-0000-0400-000031000000}">
      <text>
        <r>
          <rPr>
            <sz val="9"/>
            <color indexed="81"/>
            <rFont val="Tahoma"/>
            <family val="2"/>
          </rPr>
          <t>The sum of active and non-active aircraft.</t>
        </r>
      </text>
    </comment>
    <comment ref="B74" authorId="2" shapeId="0" xr:uid="{00000000-0006-0000-0400-000032000000}">
      <text>
        <r>
          <rPr>
            <sz val="9"/>
            <color indexed="81"/>
            <rFont val="Tahoma"/>
            <family val="2"/>
          </rPr>
          <t>Average age of aircraft in the same fleet as of the last day of the airline’s financial year</t>
        </r>
      </text>
    </comment>
    <comment ref="B75" authorId="1" shapeId="0" xr:uid="{00000000-0006-0000-0400-000033000000}">
      <text>
        <r>
          <rPr>
            <sz val="9"/>
            <color indexed="81"/>
            <rFont val="Tahoma"/>
            <family val="2"/>
          </rPr>
          <t>Average stage length is calculated by aircraft kilometers flown (row 61) divided by aircraft landings (row 62).
This DataCheck indicates the typical stage length; it may be possible that some aircraft fleets will have longer or shorter stage lengths than accounted for.</t>
        </r>
      </text>
    </comment>
    <comment ref="B76" authorId="1" shapeId="0" xr:uid="{00000000-0006-0000-0400-000034000000}">
      <text>
        <r>
          <rPr>
            <sz val="9"/>
            <color indexed="81"/>
            <rFont val="Tahoma"/>
            <family val="2"/>
          </rPr>
          <t>Average fuel price is calculated by dividing the Fuel and Oil cost (row 9) by the Fuel Consumption (row 60).
This DataCheck does not reflect the true price paid by the airline but it is a good indication of the validity of the data reported above.</t>
        </r>
      </text>
    </comment>
    <comment ref="B79" authorId="4" shapeId="0" xr:uid="{00000000-0006-0000-0400-000035000000}">
      <text>
        <r>
          <rPr>
            <sz val="9"/>
            <color indexed="81"/>
            <rFont val="Tahoma"/>
            <family val="2"/>
          </rPr>
          <t>Number of passengers for whose transportation an air carrier receives commercial remuneration.
 Includes, for example:
• passengers travelling under publicly available promotional offers (for example "two-for-one") or loyalty programmes (for example, redemption for frequent flyer points);
• passengers travelling as compensation for denied boarding;
• passengers travelling at corporate discounts;
• passengers travelling on preferential fares (government, seamen, military, youth, student, etc.)
Excludes for example:
• persons travelling free;
• persons travelling at a fare or discount available only to employees of air carriers or their agents or only for travel business of the carriers;
• infants who do not occupy a seat.</t>
        </r>
      </text>
    </comment>
    <comment ref="B80" authorId="4" shapeId="0" xr:uid="{00000000-0006-0000-0400-000036000000}">
      <text>
        <r>
          <rPr>
            <sz val="9"/>
            <color indexed="81"/>
            <rFont val="Tahoma"/>
            <family val="2"/>
          </rPr>
          <t>The number of one-stop passengers who missed their connections (due to delays on the first flight in their itinerary).</t>
        </r>
      </text>
    </comment>
    <comment ref="B81" authorId="4" shapeId="0" xr:uid="{00000000-0006-0000-0400-000037000000}">
      <text>
        <r>
          <rPr>
            <sz val="9"/>
            <color indexed="81"/>
            <rFont val="Tahoma"/>
            <family val="2"/>
          </rPr>
          <t>The total number of one-stop passengers. A passenger travelling on a flight with one flight number that makes a stop at an intermediate point is not a connecting passenger.</t>
        </r>
      </text>
    </comment>
    <comment ref="B82" authorId="4" shapeId="0" xr:uid="{00000000-0006-0000-0400-000038000000}">
      <text>
        <r>
          <rPr>
            <sz val="9"/>
            <color indexed="81"/>
            <rFont val="Tahoma"/>
            <family val="2"/>
          </rPr>
          <t>The ratio between the number of missed (passenger) connections and the total number of connecting passengers, expressed as a percentage.</t>
        </r>
      </text>
    </comment>
    <comment ref="B83" authorId="2" shapeId="0" xr:uid="{00000000-0006-0000-0400-000039000000}">
      <text>
        <r>
          <rPr>
            <sz val="9"/>
            <color indexed="81"/>
            <rFont val="Tahoma"/>
            <family val="2"/>
          </rPr>
          <t>Checked baggage that is delayed, damaged, pilfered, lost or stolen in a year.</t>
        </r>
      </text>
    </comment>
    <comment ref="B84" authorId="1" shapeId="0" xr:uid="{00000000-0006-0000-0400-00003A000000}">
      <text>
        <r>
          <rPr>
            <sz val="9"/>
            <color indexed="81"/>
            <rFont val="Tahoma"/>
            <family val="2"/>
          </rPr>
          <t>Total number of checked bags transported in a year.</t>
        </r>
      </text>
    </comment>
    <comment ref="B85" authorId="1" shapeId="0" xr:uid="{00000000-0006-0000-0400-00003B000000}">
      <text>
        <r>
          <rPr>
            <sz val="9"/>
            <color indexed="81"/>
            <rFont val="Tahoma"/>
            <family val="2"/>
          </rPr>
          <t>The ratio between the number of checked baggage that is delayed, damaged, pilfered, lost or stolen and the total number of checked bags transported in a year.</t>
        </r>
      </text>
    </comment>
    <comment ref="B86" authorId="2" shapeId="0" xr:uid="{00000000-0006-0000-0400-00003C000000}">
      <text>
        <r>
          <rPr>
            <sz val="9"/>
            <color indexed="81"/>
            <rFont val="Tahoma"/>
            <family val="2"/>
          </rPr>
          <t xml:space="preserve"> Total number of flights that were listed in a carrier's computer reservation system during the seven calendar days prior to scheduled departure and were cancelled </t>
        </r>
        <r>
          <rPr>
            <b/>
            <sz val="9"/>
            <color indexed="81"/>
            <rFont val="Tahoma"/>
            <family val="2"/>
          </rPr>
          <t>prior to</t>
        </r>
        <r>
          <rPr>
            <sz val="9"/>
            <color indexed="81"/>
            <rFont val="Tahoma"/>
            <family val="2"/>
          </rPr>
          <t xml:space="preserve"> scheduled departure.</t>
        </r>
      </text>
    </comment>
    <comment ref="B87" authorId="2" shapeId="0" xr:uid="{00000000-0006-0000-0400-00003D000000}">
      <text>
        <r>
          <rPr>
            <sz val="9"/>
            <color indexed="81"/>
            <rFont val="Tahoma"/>
            <family val="2"/>
          </rPr>
          <t xml:space="preserve"> Total number of flights that were listed in a carrier's computer reservation system during the seven calendar days prior to scheduled departure and were cancelled </t>
        </r>
        <r>
          <rPr>
            <b/>
            <sz val="9"/>
            <color indexed="81"/>
            <rFont val="Tahoma"/>
            <family val="2"/>
          </rPr>
          <t>after</t>
        </r>
        <r>
          <rPr>
            <sz val="9"/>
            <color indexed="81"/>
            <rFont val="Tahoma"/>
            <family val="2"/>
          </rPr>
          <t xml:space="preserve"> scheduled departure following a flight delay.</t>
        </r>
      </text>
    </comment>
    <comment ref="B88" authorId="2" shapeId="0" xr:uid="{00000000-0006-0000-0400-00003E000000}">
      <text>
        <r>
          <rPr>
            <sz val="9"/>
            <color indexed="81"/>
            <rFont val="Tahoma"/>
            <family val="2"/>
          </rPr>
          <t>Number of flights that were listed in a carrier's computer reservation system during the seven calendar days prior to scheduled departure but were not operated.</t>
        </r>
      </text>
    </comment>
    <comment ref="B90" authorId="2" shapeId="0" xr:uid="{00000000-0006-0000-0400-00003F000000}">
      <text>
        <r>
          <rPr>
            <sz val="9"/>
            <color indexed="81"/>
            <rFont val="Tahoma"/>
            <family val="2"/>
          </rPr>
          <t>Percentage of all flights that depart on time, including early departures.</t>
        </r>
      </text>
    </comment>
    <comment ref="B91" authorId="2" shapeId="0" xr:uid="{00000000-0006-0000-0400-000040000000}">
      <text>
        <r>
          <rPr>
            <sz val="9"/>
            <color indexed="81"/>
            <rFont val="Tahoma"/>
            <family val="2"/>
          </rPr>
          <t>Percentage of all flights that depart with a delay of 15 minutes and less, including early departures. D0 is included here.</t>
        </r>
      </text>
    </comment>
    <comment ref="B92" authorId="2" shapeId="0" xr:uid="{00000000-0006-0000-0400-000041000000}">
      <text>
        <r>
          <rPr>
            <sz val="9"/>
            <color indexed="81"/>
            <rFont val="Tahoma"/>
            <family val="2"/>
          </rPr>
          <t>Percentage of all flights that depart with a delay of 90 minutes and less, including early departures. D0 and D15 is included here.</t>
        </r>
      </text>
    </comment>
    <comment ref="B95" authorId="2" shapeId="0" xr:uid="{00000000-0006-0000-0400-000042000000}">
      <text>
        <r>
          <rPr>
            <sz val="9"/>
            <color indexed="81"/>
            <rFont val="Tahoma"/>
            <family val="2"/>
          </rPr>
          <t>Percentage of all flights that arrive on time, including early arrivals.</t>
        </r>
      </text>
    </comment>
    <comment ref="B96" authorId="2" shapeId="0" xr:uid="{00000000-0006-0000-0400-000043000000}">
      <text>
        <r>
          <rPr>
            <sz val="9"/>
            <color indexed="81"/>
            <rFont val="Tahoma"/>
            <family val="2"/>
          </rPr>
          <t>Percentage of all flights that arrive with a delay of 15 minutes and less, including early arrivals. A0 is included here.</t>
        </r>
      </text>
    </comment>
    <comment ref="B97" authorId="2" shapeId="0" xr:uid="{00000000-0006-0000-0400-000044000000}">
      <text>
        <r>
          <rPr>
            <sz val="9"/>
            <color indexed="81"/>
            <rFont val="Tahoma"/>
            <family val="2"/>
          </rPr>
          <t>Percentage of all flights that arrive with a delay of 90 minutes and less, including early arrivals. A0 and A15 is included here.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hi</author>
    <author>IATA</author>
  </authors>
  <commentList>
    <comment ref="B8" authorId="0" shapeId="0" xr:uid="{00000000-0006-0000-0500-000001000000}">
      <text>
        <r>
          <rPr>
            <sz val="9"/>
            <color indexed="81"/>
            <rFont val="Tahoma"/>
            <family val="2"/>
          </rPr>
          <t xml:space="preserve">Actual revenues earned from the transportation of the passenger traffic and corresponding excess baggage revenues, including normal commissions 
Do not include:
- Taxes on sales of passenger transportation;
  Capacity equalisation payments arising from pooled services and from the sales of capacity to other carriers on an aircraft operated on a scheduled service by the reporting carrier;
- Freight and mail revenues;
  No-show and cancellation fees   to be reported in Other Revenues;
- Revenues arising from persons travelling at less than 25% of the applicable fare   to be reported in Other Revenues;
- Royalties earned from franchises - excluded
</t>
        </r>
      </text>
    </comment>
    <comment ref="B9" authorId="0" shapeId="0" xr:uid="{00000000-0006-0000-0500-000002000000}">
      <text>
        <r>
          <rPr>
            <sz val="9"/>
            <color indexed="81"/>
            <rFont val="Tahoma"/>
            <family val="2"/>
          </rPr>
          <t>Actual revenues earned from the transportation of freight traffic, including normal commissions. 
Also include 'express' revenues and revenues from the carriage of diplomatic bags.
Do not include:
- Freight revenues should not include the following:
- Revenue from airline staff personnel consignments at reduced rates;
- Mail and excess baggage revenues;
- Capacity equalization payments arising from pooled services &amp; from the sales of capacity to other carriers on an aircraft operated on a scheduled service by the reporting carrier.
- Royalties earned from franchises</t>
        </r>
      </text>
    </comment>
    <comment ref="B10" authorId="0" shapeId="0" xr:uid="{00000000-0006-0000-0500-000003000000}">
      <text>
        <r>
          <rPr>
            <sz val="9"/>
            <color indexed="81"/>
            <rFont val="Tahoma"/>
            <family val="2"/>
          </rPr>
          <t>Actual mail revenue earned from the transportation of mail traffic.</t>
        </r>
      </text>
    </comment>
    <comment ref="B11" authorId="0" shapeId="0" xr:uid="{00000000-0006-0000-0500-000004000000}">
      <text>
        <r>
          <rPr>
            <sz val="9"/>
            <color indexed="81"/>
            <rFont val="Tahoma"/>
            <family val="2"/>
          </rPr>
          <t>If calculation of 'Other Revenues' results in a negative figure, a minus sign must precede the amount when inserted on the input form.
- Taxes on sales of passenger transportation;
- Airport related passenger service charges and other flow through charges;
- Government imposed insurance surcharges;
- Revenues arising from persons travelling at less than 25% of the applicable fare;
- Revenues from airline staff personal consignments at reduced rates;
- Any no-show or cancellation fees;
- Profits (net) incurred at the time of transferring funds from foreign countries;
- Payments received from the sale of capacity in joint operations, blocked space agreements, blocked space code shares (operating carrier);
- Commissions receivable from own sales for transportation on other airlines services, when the submitting carrier is the marketing carrier as under Free Flow Code Shares;
- Royalties earned from franchises, although traffic and capacity relating to franchises are not submitted to maintain consistency between RPKs and yield or ASKs and unit cost.
- Any revenues accruing from tickets which were sold but not yet redeemed or refunded;
- Other valid revenues that cannot be allocated elsewhere.
Do not include:
- Freight and mail revenues;
- 'Excess baggage' revenues that are reported in passenger revenues;
- Revenues from third party work (e.g. Ground handling) that are either excluded altogether, or are treated as a deduction from the appropriate expense category;
- Any revenues accruing from non-transportation activities;
- Any expenses submitted as a reduction in revenues;
- Adjustments relating to the costs of operation of Frequent Flier Programmes.</t>
        </r>
      </text>
    </comment>
    <comment ref="B14" authorId="1" shapeId="0" xr:uid="{00000000-0006-0000-0500-000005000000}">
      <text>
        <r>
          <rPr>
            <sz val="8"/>
            <color indexed="81"/>
            <rFont val="Tahoma"/>
            <family val="2"/>
          </rPr>
          <t xml:space="preserve">All salary and allowances, including expenses in training, administration, planning and scheduling.
</t>
        </r>
      </text>
    </comment>
    <comment ref="B15" authorId="1" shapeId="0" xr:uid="{00000000-0006-0000-0500-000006000000}">
      <text>
        <r>
          <rPr>
            <sz val="8"/>
            <color indexed="81"/>
            <rFont val="Tahoma"/>
            <family val="2"/>
          </rPr>
          <t xml:space="preserve">Include:
- Expenses of fuel and oil consumed by the aircraft. 
- Fuel throughput charges by the airports
- Cost of 'Financial Hedging' or Forward Cover transactions associated with fuel purchase
</t>
        </r>
      </text>
    </comment>
    <comment ref="B16" authorId="1" shapeId="0" xr:uid="{00000000-0006-0000-0500-000007000000}">
      <text>
        <r>
          <rPr>
            <sz val="8"/>
            <color indexed="81"/>
            <rFont val="Tahoma"/>
            <family val="2"/>
          </rPr>
          <t xml:space="preserve">All insurance premiums against damage to flight equipment, insurance against liability occuring from the operating of aircraft, and the cost to the carrier of uninsured losses.
</t>
        </r>
      </text>
    </comment>
    <comment ref="B17" authorId="1" shapeId="0" xr:uid="{00000000-0006-0000-0500-000008000000}">
      <text>
        <r>
          <rPr>
            <sz val="8"/>
            <color indexed="81"/>
            <rFont val="Tahoma"/>
            <family val="2"/>
          </rPr>
          <t xml:space="preserve">Include full allowances for depreciation of owned flight equipment such as aircraft, engines, components and spare parts.
</t>
        </r>
      </text>
    </comment>
    <comment ref="B18" authorId="1" shapeId="0" xr:uid="{00000000-0006-0000-0500-000009000000}">
      <text>
        <r>
          <rPr>
            <sz val="8"/>
            <color indexed="81"/>
            <rFont val="Tahoma"/>
            <family val="2"/>
          </rPr>
          <t xml:space="preserve">Rental/lease payments under finance leases should </t>
        </r>
        <r>
          <rPr>
            <b/>
            <u/>
            <sz val="8"/>
            <color indexed="81"/>
            <rFont val="Tahoma"/>
            <family val="2"/>
          </rPr>
          <t>NOT</t>
        </r>
        <r>
          <rPr>
            <sz val="8"/>
            <color indexed="81"/>
            <rFont val="Tahoma"/>
            <family val="2"/>
          </rPr>
          <t xml:space="preserve"> be included.
</t>
        </r>
      </text>
    </comment>
    <comment ref="B19" authorId="1" shapeId="0" xr:uid="{00000000-0006-0000-0500-00000A000000}">
      <text>
        <r>
          <rPr>
            <sz val="8"/>
            <color indexed="81"/>
            <rFont val="Tahoma"/>
            <family val="2"/>
          </rPr>
          <t xml:space="preserve">Include all charges levied for the use of en-route navigation services.
</t>
        </r>
      </text>
    </comment>
    <comment ref="B20" authorId="1" shapeId="0" xr:uid="{00000000-0006-0000-0500-00000B000000}">
      <text>
        <r>
          <rPr>
            <sz val="8"/>
            <color indexed="81"/>
            <rFont val="Tahoma"/>
            <family val="2"/>
          </rPr>
          <t xml:space="preserve">Include all charges levied for the use of air navigation services in the approach to the airport.
</t>
        </r>
      </text>
    </comment>
    <comment ref="B24" authorId="1" shapeId="0" xr:uid="{00000000-0006-0000-0500-00000C000000}">
      <text>
        <r>
          <rPr>
            <sz val="8"/>
            <color indexed="81"/>
            <rFont val="Tahoma"/>
            <family val="2"/>
          </rPr>
          <t xml:space="preserve">Cost (labour, material and outside contracts) at various stations to keep the aircraft in operations while it's in service.
</t>
        </r>
      </text>
    </comment>
    <comment ref="B25" authorId="1" shapeId="0" xr:uid="{00000000-0006-0000-0500-00000D000000}">
      <text>
        <r>
          <rPr>
            <sz val="8"/>
            <color indexed="81"/>
            <rFont val="Tahoma"/>
            <family val="2"/>
          </rPr>
          <t xml:space="preserve">Costs (labour, material and outside contracts) of maintenance done in a hangar environment while the aircraft is out of service
</t>
        </r>
      </text>
    </comment>
    <comment ref="B26" authorId="1" shapeId="0" xr:uid="{00000000-0006-0000-0500-00000E000000}">
      <text>
        <r>
          <rPr>
            <sz val="8"/>
            <color indexed="81"/>
            <rFont val="Tahoma"/>
            <family val="2"/>
          </rPr>
          <t xml:space="preserve">Costs (labour, material and outside component repair) to keep all aircraft components in operating condition. Engine maintemance costs are not included.
</t>
        </r>
      </text>
    </comment>
    <comment ref="B27" authorId="1" shapeId="0" xr:uid="{00000000-0006-0000-0500-00000F000000}">
      <text>
        <r>
          <rPr>
            <sz val="8"/>
            <color indexed="81"/>
            <rFont val="Tahoma"/>
            <family val="2"/>
          </rPr>
          <t xml:space="preserve">Costs (labour, material and outside contracts) for keeping the engines operational. Engine maintenance is done while the engines are off-wing.
</t>
        </r>
      </text>
    </comment>
    <comment ref="B28" authorId="1" shapeId="0" xr:uid="{00000000-0006-0000-0500-000010000000}">
      <text>
        <r>
          <rPr>
            <sz val="8"/>
            <color indexed="81"/>
            <rFont val="Tahoma"/>
            <family val="2"/>
          </rPr>
          <t xml:space="preserve">All costs not accounted above that are associated with the direct management and support of aircraft maintenance, including but not limited to accounting, personnel, management, material management and similar common services.
</t>
        </r>
      </text>
    </comment>
    <comment ref="B31" authorId="1" shapeId="0" xr:uid="{00000000-0006-0000-0500-000011000000}">
      <text>
        <r>
          <rPr>
            <sz val="8"/>
            <color indexed="81"/>
            <rFont val="Tahoma"/>
            <family val="2"/>
          </rPr>
          <t xml:space="preserve">Charges and fees paid for the use of runways, taxiways and ramp areas. Also include charges for the parking of aircraft and housing in airport owned hangars.
</t>
        </r>
      </text>
    </comment>
    <comment ref="B32" authorId="1" shapeId="0" xr:uid="{00000000-0006-0000-0500-000012000000}">
      <text>
        <r>
          <rPr>
            <sz val="8"/>
            <color indexed="81"/>
            <rFont val="Tahoma"/>
            <family val="2"/>
          </rPr>
          <t xml:space="preserve">Charges and fees paid for the use of air terminal and other passenger processing facilities. Exclude government imposed insurance surcharges, which should be reproted under Load Insurance.
</t>
        </r>
      </text>
    </comment>
    <comment ref="B34" authorId="1" shapeId="0" xr:uid="{00000000-0006-0000-0500-000013000000}">
      <text>
        <r>
          <rPr>
            <sz val="8"/>
            <color indexed="81"/>
            <rFont val="Tahoma"/>
            <family val="2"/>
          </rPr>
          <t xml:space="preserve">Pay, allowances and costs of all station staff engaged in traffic handling, loading and servicing aircraft.
</t>
        </r>
      </text>
    </comment>
    <comment ref="B35" authorId="1" shapeId="0" xr:uid="{00000000-0006-0000-0500-000014000000}">
      <text>
        <r>
          <rPr>
            <sz val="8"/>
            <color indexed="81"/>
            <rFont val="Tahoma"/>
            <family val="2"/>
          </rPr>
          <t xml:space="preserve">Maintenance and insurance of airport facilities.
</t>
        </r>
      </text>
    </comment>
    <comment ref="B36" authorId="0" shapeId="0" xr:uid="{00000000-0006-0000-0500-000015000000}">
      <text>
        <r>
          <rPr>
            <sz val="9"/>
            <color indexed="81"/>
            <rFont val="Tahoma"/>
            <family val="2"/>
          </rPr>
          <t>- Representation and traffic handling fees charged by third parties for handling the air services of the airline;
- Station stores charges, including local duties on equipment, transportation, packing and materials, rental of stores, store keepers' pay, allowance and scheduling;
- Meteorology and overhead expenses directly related to the above;
- Include all airport related passenger service charges not included in Form 2’s item ;
Do not include:
- Cost of sales personnel employed at airports and associated costs
- Cost of flight deck crew administration, planning and scheduling</t>
        </r>
      </text>
    </comment>
    <comment ref="B40" authorId="1" shapeId="0" xr:uid="{00000000-0006-0000-0500-000016000000}">
      <text>
        <r>
          <rPr>
            <sz val="8"/>
            <color indexed="81"/>
            <rFont val="Tahoma"/>
            <family val="2"/>
          </rPr>
          <t xml:space="preserve">Pay, allowances, pensions, uniforms, insurance, training, administraion and overheads, etc.
</t>
        </r>
      </text>
    </comment>
    <comment ref="B41" authorId="1" shapeId="0" xr:uid="{00000000-0006-0000-0500-000017000000}">
      <text>
        <r>
          <rPr>
            <sz val="8"/>
            <color indexed="81"/>
            <rFont val="Tahoma"/>
            <family val="2"/>
          </rPr>
          <t xml:space="preserve">Cost of personnel and supplies, including meals and accommodation.
</t>
        </r>
      </text>
    </comment>
    <comment ref="B42" authorId="1" shapeId="0" xr:uid="{00000000-0006-0000-0500-000018000000}">
      <text>
        <r>
          <rPr>
            <sz val="8"/>
            <color indexed="81"/>
            <rFont val="Tahoma"/>
            <family val="2"/>
          </rPr>
          <t xml:space="preserve">Insurance and premiums for passenger liability, government imposed insurance surcharges, premiums for cargo liability
</t>
        </r>
      </text>
    </comment>
    <comment ref="B43" authorId="1" shapeId="0" xr:uid="{00000000-0006-0000-0500-000019000000}">
      <text>
        <r>
          <rPr>
            <sz val="8"/>
            <color indexed="81"/>
            <rFont val="Tahoma"/>
            <family val="2"/>
          </rPr>
          <t xml:space="preserve">Cost of staff, office, commissions, agency fees, advertising and publicity cost.
</t>
        </r>
      </text>
    </comment>
    <comment ref="B44" authorId="1" shapeId="0" xr:uid="{00000000-0006-0000-0500-00001A000000}">
      <text>
        <r>
          <rPr>
            <sz val="8"/>
            <color indexed="81"/>
            <rFont val="Tahoma"/>
            <family val="2"/>
          </rPr>
          <t xml:space="preserve">-Cost of hardware, software, labour, development of new systems, outsourced services, data warehousing and web related IT; 
-Cost of communications, e.g. networks, datalink.
</t>
        </r>
      </text>
    </comment>
    <comment ref="B45" authorId="0" shapeId="0" xr:uid="{00000000-0006-0000-0500-00001B000000}">
      <text>
        <r>
          <rPr>
            <sz val="9"/>
            <color indexed="81"/>
            <rFont val="Tahoma"/>
            <family val="2"/>
          </rPr>
          <t>- Costs of an overhead or support nature incurred on air transport activities not included above or under any of the Flight or Ground expense categories.
- Administrative, accounting, planning and controlling, purchasing, materials management, legal and auditing, Information Technology, general office staff, and any other airline staff costs or overhead costs not included elsewhere.
- Cost of any General and Administrative services of an overhead nature provided on a contract, retainer or consultancy basis.
Do not include:
- Overhead costs directly related to flight crew, maintenance and overhaul, station and ground operations, cabin attendants, passenger service and ticketing, sales and promotion</t>
        </r>
      </text>
    </comment>
    <comment ref="B50" authorId="0" shapeId="0" xr:uid="{00000000-0006-0000-0500-00001C000000}">
      <text>
        <r>
          <rPr>
            <sz val="9"/>
            <color indexed="81"/>
            <rFont val="Tahoma"/>
            <family val="2"/>
          </rPr>
          <t>Amount of passenger commission paid as a percentage of total passenger revenue or total commission as a proportion of total revenue including freight, mail and other revenue.</t>
        </r>
      </text>
    </comment>
    <comment ref="B51" authorId="0" shapeId="0" xr:uid="{00000000-0006-0000-0500-00001D000000}">
      <text>
        <r>
          <rPr>
            <sz val="9"/>
            <color indexed="81"/>
            <rFont val="Tahoma"/>
            <family val="2"/>
          </rPr>
          <t>Commissions receivable from own sales for transportation on other airlines' services, when the submitting carrier is the marketing carrier as under Free Flow Code Shares.</t>
        </r>
      </text>
    </comment>
    <comment ref="B72" authorId="1" shapeId="0" xr:uid="{00000000-0006-0000-0500-00001E000000}">
      <text>
        <r>
          <rPr>
            <sz val="8"/>
            <color indexed="81"/>
            <rFont val="Tahoma"/>
            <family val="2"/>
          </rPr>
          <t xml:space="preserve">Exclude aircraft hours for non-revenue flying such as training and testing.
</t>
        </r>
      </text>
    </comment>
    <comment ref="B74" authorId="1" shapeId="0" xr:uid="{00000000-0006-0000-0500-00001F000000}">
      <text>
        <r>
          <rPr>
            <sz val="8"/>
            <color indexed="81"/>
            <rFont val="Tahoma"/>
            <family val="2"/>
          </rPr>
          <t xml:space="preserve">Total revenue flight hours divided by the related number of aircraft days available. It should be &lt;24 hours.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hi</author>
    <author>IATA</author>
  </authors>
  <commentList>
    <comment ref="B8" authorId="0" shapeId="0" xr:uid="{00000000-0006-0000-0600-000001000000}">
      <text>
        <r>
          <rPr>
            <sz val="9"/>
            <color indexed="81"/>
            <rFont val="Tahoma"/>
            <family val="2"/>
          </rPr>
          <t xml:space="preserve">Actual revenues earned from the transportation of the passenger traffic and corresponding excess baggage revenues, including normal commissions 
Do not include:
- Taxes on sales of passenger transportation;
  Capacity equalisation payments arising from pooled services and from the sales of capacity to other carriers on an aircraft operated on a scheduled service by the reporting carrier;
- Freight and mail revenues;
  No-show and cancellation fees   to be reported in Other Revenues;
- Revenues arising from persons travelling at less than 25% of the applicable fare   to be reported in Other Revenues;
- Royalties earned from franchises - excluded
</t>
        </r>
      </text>
    </comment>
    <comment ref="B9" authorId="0" shapeId="0" xr:uid="{00000000-0006-0000-0600-000002000000}">
      <text>
        <r>
          <rPr>
            <sz val="9"/>
            <color indexed="81"/>
            <rFont val="Tahoma"/>
            <family val="2"/>
          </rPr>
          <t>Actual revenues earned from the transportation of freight traffic, including normal commissions. 
Also include 'express' revenues and revenues from the carriage of diplomatic bags.
Do not include:
- Freight revenues should not include the following:
- Revenue from airline staff personnel consignments at reduced rates;
- Mail and excess baggage revenues;
- Capacity equalization payments arising from pooled services &amp; from the sales of capacity to other carriers on an aircraft operated on a scheduled service by the reporting carrier.
- Royalties earned from franchises</t>
        </r>
      </text>
    </comment>
    <comment ref="B10" authorId="0" shapeId="0" xr:uid="{00000000-0006-0000-0600-000003000000}">
      <text>
        <r>
          <rPr>
            <sz val="9"/>
            <color indexed="81"/>
            <rFont val="Tahoma"/>
            <family val="2"/>
          </rPr>
          <t>Actual mail revenue earned from the transportation of mail traffic.</t>
        </r>
      </text>
    </comment>
    <comment ref="B11" authorId="0" shapeId="0" xr:uid="{00000000-0006-0000-0600-000004000000}">
      <text>
        <r>
          <rPr>
            <sz val="9"/>
            <color indexed="81"/>
            <rFont val="Tahoma"/>
            <family val="2"/>
          </rPr>
          <t>If calculation of 'Other Revenues' results in a negative figure, a minus sign must precede the amount when inserted on the input form.
- Taxes on sales of passenger transportation;
- Airport related passenger service charges and other flow through charges;
- Government imposed insurance surcharges;
- Revenues arising from persons travelling at less than 25% of the applicable fare;
- Revenues from airline staff personal consignments at reduced rates;
- Any no-show or cancellation fees;
- Profits (net) incurred at the time of transferring funds from foreign countries;
- Payments received from the sale of capacity in joint operations, blocked space agreements, blocked space code shares (operating carrier);
- Commissions receivable from own sales for transportation on other airlines services, when the submitting carrier is the marketing carrier as under Free Flow Code Shares;
- Royalties earned from franchises, although traffic and capacity relating to franchises are not submitted to maintain consistency between RPKs and yield or ASKs and unit cost.
- Any revenues accruing from tickets which were sold but not yet redeemed or refunded;
- Other valid revenues that cannot be allocated elsewhere.
Do not include:
- Freight and mail revenues;
- 'Excess baggage' revenues that are reported in passenger revenues;
- Revenues from third party work (e.g. Ground handling) that are either excluded altogether, or are treated as a deduction from the appropriate expense category;
- Any revenues accruing from non-transportation activities;
- Any expenses submitted as a reduction in revenues;
- Adjustments relating to the costs of operation of Frequent Flier Programmes.</t>
        </r>
      </text>
    </comment>
    <comment ref="B14" authorId="1" shapeId="0" xr:uid="{00000000-0006-0000-0600-000005000000}">
      <text>
        <r>
          <rPr>
            <sz val="8"/>
            <color indexed="81"/>
            <rFont val="Tahoma"/>
            <family val="2"/>
          </rPr>
          <t xml:space="preserve">All salary and allowances, including expenses in training, administration, planning and scheduling.
</t>
        </r>
      </text>
    </comment>
    <comment ref="B15" authorId="1" shapeId="0" xr:uid="{00000000-0006-0000-0600-000006000000}">
      <text>
        <r>
          <rPr>
            <sz val="8"/>
            <color indexed="81"/>
            <rFont val="Tahoma"/>
            <family val="2"/>
          </rPr>
          <t xml:space="preserve">Include:
- Expenses of fuel and oil consumed by the aircraft. 
- Fuel throughput charges by the airports
- Cost of 'Financial Hedging' or Forward Cover transactions associated with fuel purchase
</t>
        </r>
      </text>
    </comment>
    <comment ref="B16" authorId="1" shapeId="0" xr:uid="{00000000-0006-0000-0600-000007000000}">
      <text>
        <r>
          <rPr>
            <sz val="8"/>
            <color indexed="81"/>
            <rFont val="Tahoma"/>
            <family val="2"/>
          </rPr>
          <t xml:space="preserve">All insurance premiums against damage to flight equipment, insurance against liability occuring from the operating of aircraft, and the cost to the carrier of uninsured losses.
</t>
        </r>
      </text>
    </comment>
    <comment ref="B17" authorId="1" shapeId="0" xr:uid="{00000000-0006-0000-0600-000008000000}">
      <text>
        <r>
          <rPr>
            <sz val="8"/>
            <color indexed="81"/>
            <rFont val="Tahoma"/>
            <family val="2"/>
          </rPr>
          <t xml:space="preserve">Include full allowances for depreciation of owned flight equipment such as aircraft, engines, components and spare parts.
</t>
        </r>
      </text>
    </comment>
    <comment ref="B18" authorId="1" shapeId="0" xr:uid="{00000000-0006-0000-0600-000009000000}">
      <text>
        <r>
          <rPr>
            <sz val="8"/>
            <color indexed="81"/>
            <rFont val="Tahoma"/>
            <family val="2"/>
          </rPr>
          <t xml:space="preserve">Rental/lease payments under finance leases should </t>
        </r>
        <r>
          <rPr>
            <b/>
            <u/>
            <sz val="8"/>
            <color indexed="81"/>
            <rFont val="Tahoma"/>
            <family val="2"/>
          </rPr>
          <t>NOT</t>
        </r>
        <r>
          <rPr>
            <sz val="8"/>
            <color indexed="81"/>
            <rFont val="Tahoma"/>
            <family val="2"/>
          </rPr>
          <t xml:space="preserve"> be included.
</t>
        </r>
      </text>
    </comment>
    <comment ref="B19" authorId="1" shapeId="0" xr:uid="{00000000-0006-0000-0600-00000A000000}">
      <text>
        <r>
          <rPr>
            <sz val="8"/>
            <color indexed="81"/>
            <rFont val="Tahoma"/>
            <family val="2"/>
          </rPr>
          <t xml:space="preserve">Include all charges levied for the use of en-route navigation services.
</t>
        </r>
      </text>
    </comment>
    <comment ref="B20" authorId="1" shapeId="0" xr:uid="{00000000-0006-0000-0600-00000B000000}">
      <text>
        <r>
          <rPr>
            <sz val="8"/>
            <color indexed="81"/>
            <rFont val="Tahoma"/>
            <family val="2"/>
          </rPr>
          <t xml:space="preserve">Include all charges levied for the use of air navigation services in the approach to the airport.
</t>
        </r>
      </text>
    </comment>
    <comment ref="B24" authorId="1" shapeId="0" xr:uid="{00000000-0006-0000-0600-00000C000000}">
      <text>
        <r>
          <rPr>
            <sz val="8"/>
            <color indexed="81"/>
            <rFont val="Tahoma"/>
            <family val="2"/>
          </rPr>
          <t xml:space="preserve">Cost (labour, material and outside contracts) at various stations to keep the aircraft in operations while it's in service.
</t>
        </r>
      </text>
    </comment>
    <comment ref="B25" authorId="1" shapeId="0" xr:uid="{00000000-0006-0000-0600-00000D000000}">
      <text>
        <r>
          <rPr>
            <sz val="8"/>
            <color indexed="81"/>
            <rFont val="Tahoma"/>
            <family val="2"/>
          </rPr>
          <t xml:space="preserve">Costs (labour, material and outside contracts) of maintenance done in a hangar environment while the aircraft is out of service
</t>
        </r>
      </text>
    </comment>
    <comment ref="B26" authorId="1" shapeId="0" xr:uid="{00000000-0006-0000-0600-00000E000000}">
      <text>
        <r>
          <rPr>
            <sz val="8"/>
            <color indexed="81"/>
            <rFont val="Tahoma"/>
            <family val="2"/>
          </rPr>
          <t xml:space="preserve">Costs (labour, material and outside component repair) to keep all aircraft components in operating condition. Engine maintemance costs are not included.
</t>
        </r>
      </text>
    </comment>
    <comment ref="B27" authorId="1" shapeId="0" xr:uid="{00000000-0006-0000-0600-00000F000000}">
      <text>
        <r>
          <rPr>
            <sz val="8"/>
            <color indexed="81"/>
            <rFont val="Tahoma"/>
            <family val="2"/>
          </rPr>
          <t xml:space="preserve">Costs (labour, material and outside contracts) for keeping the engines operational. Engine maintenance is done while the engines are off-wing.
</t>
        </r>
      </text>
    </comment>
    <comment ref="B28" authorId="1" shapeId="0" xr:uid="{00000000-0006-0000-0600-000010000000}">
      <text>
        <r>
          <rPr>
            <sz val="8"/>
            <color indexed="81"/>
            <rFont val="Tahoma"/>
            <family val="2"/>
          </rPr>
          <t xml:space="preserve">All costs not accounted above that are associated with the direct management and support of aircraft maintenance, including but not limited to accounting, personnel, management, material management and similar common services.
</t>
        </r>
      </text>
    </comment>
    <comment ref="B31" authorId="1" shapeId="0" xr:uid="{00000000-0006-0000-0600-000011000000}">
      <text>
        <r>
          <rPr>
            <sz val="8"/>
            <color indexed="81"/>
            <rFont val="Tahoma"/>
            <family val="2"/>
          </rPr>
          <t xml:space="preserve">Charges and fees paid for the use of runways, taxiways and ramp areas. Also include charges for the parking of aircraft and housing in airport owned hangars.
</t>
        </r>
      </text>
    </comment>
    <comment ref="B32" authorId="1" shapeId="0" xr:uid="{00000000-0006-0000-0600-000012000000}">
      <text>
        <r>
          <rPr>
            <sz val="8"/>
            <color indexed="81"/>
            <rFont val="Tahoma"/>
            <family val="2"/>
          </rPr>
          <t xml:space="preserve">Charges and fees paid for the use of air terminal and other passenger processing facilities. Exclude government imposed insurance surcharges, which should be reproted under Load Insurance.
</t>
        </r>
      </text>
    </comment>
    <comment ref="B34" authorId="1" shapeId="0" xr:uid="{00000000-0006-0000-0600-000013000000}">
      <text>
        <r>
          <rPr>
            <sz val="8"/>
            <color indexed="81"/>
            <rFont val="Tahoma"/>
            <family val="2"/>
          </rPr>
          <t xml:space="preserve">Pay, allowances and costs of all station staff engaged in traffic handling, loading and servicing aircraft.
</t>
        </r>
      </text>
    </comment>
    <comment ref="B35" authorId="1" shapeId="0" xr:uid="{00000000-0006-0000-0600-000014000000}">
      <text>
        <r>
          <rPr>
            <sz val="8"/>
            <color indexed="81"/>
            <rFont val="Tahoma"/>
            <family val="2"/>
          </rPr>
          <t xml:space="preserve">Maintenance and insurance of airport facilities.
</t>
        </r>
      </text>
    </comment>
    <comment ref="B36" authorId="0" shapeId="0" xr:uid="{00000000-0006-0000-0600-000015000000}">
      <text>
        <r>
          <rPr>
            <sz val="9"/>
            <color indexed="81"/>
            <rFont val="Tahoma"/>
            <family val="2"/>
          </rPr>
          <t>- Representation and traffic handling fees charged by third parties for handling the air services of the airline;
- Station stores charges, including local duties on equipment, transportation, packing and materials, rental of stores, store keepers' pay, allowance and scheduling;
- Meteorology and overhead expenses directly related to the above;
- Include all airport related passenger service charges not included in Form 2’s item ;
Do not include:
- Cost of sales personnel employed at airports and associated costs
- Cost of flight deck crew administration, planning and scheduling</t>
        </r>
      </text>
    </comment>
    <comment ref="B40" authorId="1" shapeId="0" xr:uid="{00000000-0006-0000-0600-000016000000}">
      <text>
        <r>
          <rPr>
            <sz val="8"/>
            <color indexed="81"/>
            <rFont val="Tahoma"/>
            <family val="2"/>
          </rPr>
          <t xml:space="preserve">Pay, allowances, pensions, uniforms, insurance, training, administraion and overheads, etc.
</t>
        </r>
      </text>
    </comment>
    <comment ref="B41" authorId="1" shapeId="0" xr:uid="{00000000-0006-0000-0600-000017000000}">
      <text>
        <r>
          <rPr>
            <sz val="8"/>
            <color indexed="81"/>
            <rFont val="Tahoma"/>
            <family val="2"/>
          </rPr>
          <t xml:space="preserve">Cost of personnel and supplies, including meals and accommodation.
</t>
        </r>
      </text>
    </comment>
    <comment ref="B42" authorId="1" shapeId="0" xr:uid="{00000000-0006-0000-0600-000018000000}">
      <text>
        <r>
          <rPr>
            <sz val="8"/>
            <color indexed="81"/>
            <rFont val="Tahoma"/>
            <family val="2"/>
          </rPr>
          <t xml:space="preserve">Insurance and premiums for passenger liability, government imposed insurance surcharges, premiums for cargo liability
</t>
        </r>
      </text>
    </comment>
    <comment ref="B43" authorId="1" shapeId="0" xr:uid="{00000000-0006-0000-0600-000019000000}">
      <text>
        <r>
          <rPr>
            <sz val="8"/>
            <color indexed="81"/>
            <rFont val="Tahoma"/>
            <family val="2"/>
          </rPr>
          <t xml:space="preserve">Cost of staff, office, commissions, agency fees, advertising and publicity cost.
</t>
        </r>
      </text>
    </comment>
    <comment ref="B44" authorId="1" shapeId="0" xr:uid="{00000000-0006-0000-0600-00001A000000}">
      <text>
        <r>
          <rPr>
            <sz val="8"/>
            <color indexed="81"/>
            <rFont val="Tahoma"/>
            <family val="2"/>
          </rPr>
          <t xml:space="preserve">-Cost of hardware, software, labour, development of new systems, outsourced services, data warehousing and web related IT; 
-Cost of communications, e.g. networks, datalink.
</t>
        </r>
      </text>
    </comment>
    <comment ref="B45" authorId="0" shapeId="0" xr:uid="{00000000-0006-0000-0600-00001B000000}">
      <text>
        <r>
          <rPr>
            <sz val="9"/>
            <color indexed="81"/>
            <rFont val="Tahoma"/>
            <family val="2"/>
          </rPr>
          <t>- Costs of an overhead or support nature incurred on air transport activities not included above or under any of the Flight or Ground expense categories.
- Administrative, accounting, planning and controlling, purchasing, materials management, legal and auditing, Information Technology, general office staff, and any other airline staff costs or overhead costs not included elsewhere.
- Cost of any General and Administrative services of an overhead nature provided on a contract, retainer or consultancy basis.
Do not include:
- Overhead costs directly related to flight crew, maintenance and overhaul, station and ground operations, cabin attendants, passenger service and ticketing, sales and promotion</t>
        </r>
      </text>
    </comment>
    <comment ref="B50" authorId="0" shapeId="0" xr:uid="{00000000-0006-0000-0600-00001C000000}">
      <text>
        <r>
          <rPr>
            <sz val="9"/>
            <color indexed="81"/>
            <rFont val="Tahoma"/>
            <family val="2"/>
          </rPr>
          <t>Amount of passenger commission paid as a percentage of total passenger revenue or total commission as a proportion of total revenue including freight, mail and other revenue.</t>
        </r>
      </text>
    </comment>
    <comment ref="B51" authorId="0" shapeId="0" xr:uid="{00000000-0006-0000-0600-00001D000000}">
      <text>
        <r>
          <rPr>
            <sz val="9"/>
            <color indexed="81"/>
            <rFont val="Tahoma"/>
            <family val="2"/>
          </rPr>
          <t>Commissions receivable from own sales for transportation on other airlines' services, when the submitting carrier is the marketing carrier as under Free Flow Code Shares.</t>
        </r>
      </text>
    </comment>
    <comment ref="B72" authorId="1" shapeId="0" xr:uid="{00000000-0006-0000-0600-00001E000000}">
      <text>
        <r>
          <rPr>
            <sz val="8"/>
            <color indexed="81"/>
            <rFont val="Tahoma"/>
            <family val="2"/>
          </rPr>
          <t xml:space="preserve">Exclude aircraft hours for non-revenue flying such as training and testing.
</t>
        </r>
      </text>
    </comment>
    <comment ref="B74" authorId="1" shapeId="0" xr:uid="{00000000-0006-0000-0600-00001F000000}">
      <text>
        <r>
          <rPr>
            <sz val="8"/>
            <color indexed="81"/>
            <rFont val="Tahoma"/>
            <family val="2"/>
          </rPr>
          <t xml:space="preserve">Total revenue flight hours divided by the related number of aircraft days available. It should be &lt;24 hours.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hi</author>
    <author>IATA</author>
  </authors>
  <commentList>
    <comment ref="B8" authorId="0" shapeId="0" xr:uid="{00000000-0006-0000-0700-000001000000}">
      <text>
        <r>
          <rPr>
            <sz val="9"/>
            <color indexed="81"/>
            <rFont val="Tahoma"/>
            <family val="2"/>
          </rPr>
          <t xml:space="preserve">Actual revenues earned from the transportation of the passenger traffic and corresponding excess baggage revenues, including normal commissions 
Do not include:
- Taxes on sales of passenger transportation;
  Capacity equalisation payments arising from pooled services and from the sales of capacity to other carriers on an aircraft operated on a scheduled service by the reporting carrier;
- Freight and mail revenues;
  No-show and cancellation fees   to be reported in Other Revenues;
- Revenues arising from persons travelling at less than 25% of the applicable fare   to be reported in Other Revenues;
- Royalties earned from franchises - excluded
</t>
        </r>
      </text>
    </comment>
    <comment ref="B9" authorId="0" shapeId="0" xr:uid="{00000000-0006-0000-0700-000002000000}">
      <text>
        <r>
          <rPr>
            <sz val="9"/>
            <color indexed="81"/>
            <rFont val="Tahoma"/>
            <family val="2"/>
          </rPr>
          <t>Actual revenues earned from the transportation of freight traffic, including normal commissions. 
Also include 'express' revenues and revenues from the carriage of diplomatic bags.
Do not include:
- Freight revenues should not include the following:
- Revenue from airline staff personnel consignments at reduced rates;
- Mail and excess baggage revenues;
- Capacity equalization payments arising from pooled services &amp; from the sales of capacity to other carriers on an aircraft operated on a scheduled service by the reporting carrier.
- Royalties earned from franchises</t>
        </r>
      </text>
    </comment>
    <comment ref="B10" authorId="0" shapeId="0" xr:uid="{00000000-0006-0000-0700-000003000000}">
      <text>
        <r>
          <rPr>
            <sz val="9"/>
            <color indexed="81"/>
            <rFont val="Tahoma"/>
            <family val="2"/>
          </rPr>
          <t>Actual mail revenue earned from the transportation of mail traffic.</t>
        </r>
      </text>
    </comment>
    <comment ref="B11" authorId="0" shapeId="0" xr:uid="{00000000-0006-0000-0700-000004000000}">
      <text>
        <r>
          <rPr>
            <sz val="9"/>
            <color indexed="81"/>
            <rFont val="Tahoma"/>
            <family val="2"/>
          </rPr>
          <t>If calculation of 'Other Revenues' results in a negative figure, a minus sign must precede the amount when inserted on the input form.
- Taxes on sales of passenger transportation;
- Airport related passenger service charges and other flow through charges;
- Government imposed insurance surcharges;
- Revenues arising from persons travelling at less than 25% of the applicable fare;
- Revenues from airline staff personal consignments at reduced rates;
- Any no-show or cancellation fees;
- Profits (net) incurred at the time of transferring funds from foreign countries;
- Payments received from the sale of capacity in joint operations, blocked space agreements, blocked space code shares (operating carrier);
- Commissions receivable from own sales for transportation on other airlines services, when the submitting carrier is the marketing carrier as under Free Flow Code Shares;
- Royalties earned from franchises, although traffic and capacity relating to franchises are not submitted to maintain consistency between RPKs and yield or ASKs and unit cost.
- Any revenues accruing from tickets which were sold but not yet redeemed or refunded;
- Other valid revenues that cannot be allocated elsewhere.
Do not include:
- Freight and mail revenues;
- 'Excess baggage' revenues that are reported in passenger revenues;
- Revenues from third party work (e.g. Ground handling) that are either excluded altogether, or are treated as a deduction from the appropriate expense category;
- Any revenues accruing from non-transportation activities;
- Any expenses submitted as a reduction in revenues;
- Adjustments relating to the costs of operation of Frequent Flier Programmes.</t>
        </r>
      </text>
    </comment>
    <comment ref="B14" authorId="1" shapeId="0" xr:uid="{00000000-0006-0000-0700-000005000000}">
      <text>
        <r>
          <rPr>
            <sz val="8"/>
            <color indexed="81"/>
            <rFont val="Tahoma"/>
            <family val="2"/>
          </rPr>
          <t xml:space="preserve">All salary and allowances, including expenses in training, administration, planning and scheduling.
</t>
        </r>
      </text>
    </comment>
    <comment ref="B15" authorId="1" shapeId="0" xr:uid="{00000000-0006-0000-0700-000006000000}">
      <text>
        <r>
          <rPr>
            <sz val="8"/>
            <color indexed="81"/>
            <rFont val="Tahoma"/>
            <family val="2"/>
          </rPr>
          <t xml:space="preserve">Include:
- Expenses of fuel and oil consumed by the aircraft. 
- Fuel throughput charges by the airports
- Cost of 'Financial Hedging' or Forward Cover transactions associated with fuel purchase
</t>
        </r>
      </text>
    </comment>
    <comment ref="B16" authorId="1" shapeId="0" xr:uid="{00000000-0006-0000-0700-000007000000}">
      <text>
        <r>
          <rPr>
            <sz val="8"/>
            <color indexed="81"/>
            <rFont val="Tahoma"/>
            <family val="2"/>
          </rPr>
          <t xml:space="preserve">All insurance premiums against damage to flight equipment, insurance against liability occuring from the operating of aircraft, and the cost to the carrier of uninsured losses.
</t>
        </r>
      </text>
    </comment>
    <comment ref="B17" authorId="1" shapeId="0" xr:uid="{00000000-0006-0000-0700-000008000000}">
      <text>
        <r>
          <rPr>
            <sz val="8"/>
            <color indexed="81"/>
            <rFont val="Tahoma"/>
            <family val="2"/>
          </rPr>
          <t xml:space="preserve">Include full allowances for depreciation of owned flight equipment such as aircraft, engines, components and spare parts.
</t>
        </r>
      </text>
    </comment>
    <comment ref="B18" authorId="1" shapeId="0" xr:uid="{00000000-0006-0000-0700-000009000000}">
      <text>
        <r>
          <rPr>
            <sz val="8"/>
            <color indexed="81"/>
            <rFont val="Tahoma"/>
            <family val="2"/>
          </rPr>
          <t xml:space="preserve">Rental/lease payments under finance leases should </t>
        </r>
        <r>
          <rPr>
            <b/>
            <u/>
            <sz val="8"/>
            <color indexed="81"/>
            <rFont val="Tahoma"/>
            <family val="2"/>
          </rPr>
          <t>NOT</t>
        </r>
        <r>
          <rPr>
            <sz val="8"/>
            <color indexed="81"/>
            <rFont val="Tahoma"/>
            <family val="2"/>
          </rPr>
          <t xml:space="preserve"> be included.
</t>
        </r>
      </text>
    </comment>
    <comment ref="B19" authorId="1" shapeId="0" xr:uid="{00000000-0006-0000-0700-00000A000000}">
      <text>
        <r>
          <rPr>
            <sz val="8"/>
            <color indexed="81"/>
            <rFont val="Tahoma"/>
            <family val="2"/>
          </rPr>
          <t xml:space="preserve">Include all charges levied for the use of en-route navigation services.
</t>
        </r>
      </text>
    </comment>
    <comment ref="B20" authorId="1" shapeId="0" xr:uid="{00000000-0006-0000-0700-00000B000000}">
      <text>
        <r>
          <rPr>
            <sz val="8"/>
            <color indexed="81"/>
            <rFont val="Tahoma"/>
            <family val="2"/>
          </rPr>
          <t xml:space="preserve">Include all charges levied for the use of air navigation services in the approach to the airport.
</t>
        </r>
      </text>
    </comment>
    <comment ref="B24" authorId="1" shapeId="0" xr:uid="{00000000-0006-0000-0700-00000C000000}">
      <text>
        <r>
          <rPr>
            <sz val="8"/>
            <color indexed="81"/>
            <rFont val="Tahoma"/>
            <family val="2"/>
          </rPr>
          <t xml:space="preserve">Cost (labour, material and outside contracts) at various stations to keep the aircraft in operations while it's in service.
</t>
        </r>
      </text>
    </comment>
    <comment ref="B25" authorId="1" shapeId="0" xr:uid="{00000000-0006-0000-0700-00000D000000}">
      <text>
        <r>
          <rPr>
            <sz val="8"/>
            <color indexed="81"/>
            <rFont val="Tahoma"/>
            <family val="2"/>
          </rPr>
          <t xml:space="preserve">Costs (labour, material and outside contracts) of maintenance done in a hangar environment while the aircraft is out of service
</t>
        </r>
      </text>
    </comment>
    <comment ref="B26" authorId="1" shapeId="0" xr:uid="{00000000-0006-0000-0700-00000E000000}">
      <text>
        <r>
          <rPr>
            <sz val="8"/>
            <color indexed="81"/>
            <rFont val="Tahoma"/>
            <family val="2"/>
          </rPr>
          <t xml:space="preserve">Costs (labour, material and outside component repair) to keep all aircraft components in operating condition. Engine maintemance costs are not included.
</t>
        </r>
      </text>
    </comment>
    <comment ref="B27" authorId="1" shapeId="0" xr:uid="{00000000-0006-0000-0700-00000F000000}">
      <text>
        <r>
          <rPr>
            <sz val="8"/>
            <color indexed="81"/>
            <rFont val="Tahoma"/>
            <family val="2"/>
          </rPr>
          <t xml:space="preserve">Costs (labour, material and outside contracts) for keeping the engines operational. Engine maintenance is done while the engines are off-wing.
</t>
        </r>
      </text>
    </comment>
    <comment ref="B28" authorId="1" shapeId="0" xr:uid="{00000000-0006-0000-0700-000010000000}">
      <text>
        <r>
          <rPr>
            <sz val="8"/>
            <color indexed="81"/>
            <rFont val="Tahoma"/>
            <family val="2"/>
          </rPr>
          <t xml:space="preserve">All costs not accounted above that are associated with the direct management and support of aircraft maintenance, including but not limited to accounting, personnel, management, material management and similar common services.
</t>
        </r>
      </text>
    </comment>
    <comment ref="B31" authorId="1" shapeId="0" xr:uid="{00000000-0006-0000-0700-000011000000}">
      <text>
        <r>
          <rPr>
            <sz val="8"/>
            <color indexed="81"/>
            <rFont val="Tahoma"/>
            <family val="2"/>
          </rPr>
          <t xml:space="preserve">Charges and fees paid for the use of runways, taxiways and ramp areas. Also include charges for the parking of aircraft and housing in airport owned hangars.
</t>
        </r>
      </text>
    </comment>
    <comment ref="B32" authorId="1" shapeId="0" xr:uid="{00000000-0006-0000-0700-000012000000}">
      <text>
        <r>
          <rPr>
            <sz val="8"/>
            <color indexed="81"/>
            <rFont val="Tahoma"/>
            <family val="2"/>
          </rPr>
          <t xml:space="preserve">Charges and fees paid for the use of air terminal and other passenger processing facilities. Exclude government imposed insurance surcharges, which should be reproted under Load Insurance.
</t>
        </r>
      </text>
    </comment>
    <comment ref="B34" authorId="1" shapeId="0" xr:uid="{00000000-0006-0000-0700-000013000000}">
      <text>
        <r>
          <rPr>
            <sz val="8"/>
            <color indexed="81"/>
            <rFont val="Tahoma"/>
            <family val="2"/>
          </rPr>
          <t xml:space="preserve">Pay, allowances and costs of all station staff engaged in traffic handling, loading and servicing aircraft.
</t>
        </r>
      </text>
    </comment>
    <comment ref="B35" authorId="1" shapeId="0" xr:uid="{00000000-0006-0000-0700-000014000000}">
      <text>
        <r>
          <rPr>
            <sz val="8"/>
            <color indexed="81"/>
            <rFont val="Tahoma"/>
            <family val="2"/>
          </rPr>
          <t xml:space="preserve">Maintenance and insurance of airport facilities.
</t>
        </r>
      </text>
    </comment>
    <comment ref="B36" authorId="0" shapeId="0" xr:uid="{00000000-0006-0000-0700-000015000000}">
      <text>
        <r>
          <rPr>
            <sz val="9"/>
            <color indexed="81"/>
            <rFont val="Tahoma"/>
            <family val="2"/>
          </rPr>
          <t>- Representation and traffic handling fees charged by third parties for handling the air services of the airline;
- Station stores charges, including local duties on equipment, transportation, packing and materials, rental of stores, store keepers' pay, allowance and scheduling;
- Meteorology and overhead expenses directly related to the above;
- Include all airport related passenger service charges not included in Form 2’s item ;
Do not include:
- Cost of sales personnel employed at airports and associated costs
- Cost of flight deck crew administration, planning and scheduling</t>
        </r>
      </text>
    </comment>
    <comment ref="B40" authorId="1" shapeId="0" xr:uid="{00000000-0006-0000-0700-000016000000}">
      <text>
        <r>
          <rPr>
            <sz val="8"/>
            <color indexed="81"/>
            <rFont val="Tahoma"/>
            <family val="2"/>
          </rPr>
          <t xml:space="preserve">Pay, allowances, pensions, uniforms, insurance, training, administraion and overheads, etc.
</t>
        </r>
      </text>
    </comment>
    <comment ref="B41" authorId="1" shapeId="0" xr:uid="{00000000-0006-0000-0700-000017000000}">
      <text>
        <r>
          <rPr>
            <sz val="8"/>
            <color indexed="81"/>
            <rFont val="Tahoma"/>
            <family val="2"/>
          </rPr>
          <t xml:space="preserve">Cost of personnel and supplies, including meals and accommodation.
</t>
        </r>
      </text>
    </comment>
    <comment ref="B42" authorId="1" shapeId="0" xr:uid="{00000000-0006-0000-0700-000018000000}">
      <text>
        <r>
          <rPr>
            <sz val="8"/>
            <color indexed="81"/>
            <rFont val="Tahoma"/>
            <family val="2"/>
          </rPr>
          <t xml:space="preserve">Insurance and premiums for passenger liability, government imposed insurance surcharges, premiums for cargo liability
</t>
        </r>
      </text>
    </comment>
    <comment ref="B43" authorId="1" shapeId="0" xr:uid="{00000000-0006-0000-0700-000019000000}">
      <text>
        <r>
          <rPr>
            <sz val="8"/>
            <color indexed="81"/>
            <rFont val="Tahoma"/>
            <family val="2"/>
          </rPr>
          <t xml:space="preserve">Cost of staff, office, commissions, agency fees, advertising and publicity cost.
</t>
        </r>
      </text>
    </comment>
    <comment ref="B44" authorId="1" shapeId="0" xr:uid="{00000000-0006-0000-0700-00001A000000}">
      <text>
        <r>
          <rPr>
            <sz val="8"/>
            <color indexed="81"/>
            <rFont val="Tahoma"/>
            <family val="2"/>
          </rPr>
          <t xml:space="preserve">-Cost of hardware, software, labour, development of new systems, outsourced services, data warehousing and web related IT; 
-Cost of communications, e.g. networks, datalink.
</t>
        </r>
      </text>
    </comment>
    <comment ref="B45" authorId="0" shapeId="0" xr:uid="{00000000-0006-0000-0700-00001B000000}">
      <text>
        <r>
          <rPr>
            <sz val="9"/>
            <color indexed="81"/>
            <rFont val="Tahoma"/>
            <family val="2"/>
          </rPr>
          <t>- Costs of an overhead or support nature incurred on air transport activities not included above or under any of the Flight or Ground expense categories.
- Administrative, accounting, planning and controlling, purchasing, materials management, legal and auditing, Information Technology, general office staff, and any other airline staff costs or overhead costs not included elsewhere.
- Cost of any General and Administrative services of an overhead nature provided on a contract, retainer or consultancy basis.
Do not include:
- Overhead costs directly related to flight crew, maintenance and overhaul, station and ground operations, cabin attendants, passenger service and ticketing, sales and promotion</t>
        </r>
      </text>
    </comment>
    <comment ref="B50" authorId="0" shapeId="0" xr:uid="{00000000-0006-0000-0700-00001C000000}">
      <text>
        <r>
          <rPr>
            <sz val="9"/>
            <color indexed="81"/>
            <rFont val="Tahoma"/>
            <family val="2"/>
          </rPr>
          <t>Amount of passenger commission paid as a percentage of total passenger revenue or total commission as a proportion of total revenue including freight, mail and other revenue.</t>
        </r>
      </text>
    </comment>
    <comment ref="B51" authorId="0" shapeId="0" xr:uid="{00000000-0006-0000-0700-00001D000000}">
      <text>
        <r>
          <rPr>
            <sz val="9"/>
            <color indexed="81"/>
            <rFont val="Tahoma"/>
            <family val="2"/>
          </rPr>
          <t>Commissions receivable from own sales for transportation on other airlines' services, when the submitting carrier is the marketing carrier as under Free Flow Code Shares.</t>
        </r>
      </text>
    </comment>
    <comment ref="B72" authorId="1" shapeId="0" xr:uid="{00000000-0006-0000-0700-00001E000000}">
      <text>
        <r>
          <rPr>
            <sz val="8"/>
            <color indexed="81"/>
            <rFont val="Tahoma"/>
            <family val="2"/>
          </rPr>
          <t xml:space="preserve">Exclude aircraft hours for non-revenue flying such as training and testing.
</t>
        </r>
      </text>
    </comment>
    <comment ref="B74" authorId="1" shapeId="0" xr:uid="{00000000-0006-0000-0700-00001F000000}">
      <text>
        <r>
          <rPr>
            <sz val="8"/>
            <color indexed="81"/>
            <rFont val="Tahoma"/>
            <family val="2"/>
          </rPr>
          <t xml:space="preserve">Total revenue flight hours divided by the related number of aircraft days available. It should be &lt;24 hours.
</t>
        </r>
      </text>
    </comment>
  </commentList>
</comments>
</file>

<file path=xl/sharedStrings.xml><?xml version="1.0" encoding="utf-8"?>
<sst xmlns="http://schemas.openxmlformats.org/spreadsheetml/2006/main" count="3516" uniqueCount="2496">
  <si>
    <t>LS - Within South America</t>
  </si>
  <si>
    <t>MA - Mid Atlantic</t>
  </si>
  <si>
    <t>MP - Middle East - Southwest Pacific</t>
  </si>
  <si>
    <t>NA - North Atlantic</t>
  </si>
  <si>
    <t>NC - North America - Central America</t>
  </si>
  <si>
    <t>NO - Europe - Northern Africa</t>
  </si>
  <si>
    <t>PI - Asia/Pacific - Indian Sub-Continent</t>
  </si>
  <si>
    <t>PN - North and Mid Pacific</t>
  </si>
  <si>
    <t>PS - South Pacific</t>
  </si>
  <si>
    <t>SA - South Atlantic</t>
  </si>
  <si>
    <t>SU - Europe - Southern Africa</t>
  </si>
  <si>
    <t>WE - Within Europe</t>
  </si>
  <si>
    <t>AircraftCodes &amp; Types</t>
  </si>
  <si>
    <t>AZ</t>
  </si>
  <si>
    <t>B2</t>
  </si>
  <si>
    <t>B3</t>
  </si>
  <si>
    <t>B4</t>
  </si>
  <si>
    <t>FlyGlobeSpan</t>
  </si>
  <si>
    <t>B6</t>
  </si>
  <si>
    <t>JetBlue</t>
  </si>
  <si>
    <t>BA</t>
  </si>
  <si>
    <t>British Airways</t>
  </si>
  <si>
    <t>BC</t>
  </si>
  <si>
    <t>Skymark Airlines</t>
  </si>
  <si>
    <t>BD</t>
  </si>
  <si>
    <t>BE</t>
  </si>
  <si>
    <t>BG</t>
  </si>
  <si>
    <t>Biman Bangladesh Airlines</t>
  </si>
  <si>
    <t>BI</t>
  </si>
  <si>
    <t>Royal Brunei Airlines</t>
  </si>
  <si>
    <t>BL</t>
  </si>
  <si>
    <t>ARCECI SILVIA</t>
  </si>
  <si>
    <t>BM</t>
  </si>
  <si>
    <t>ATI - Aero Transporti Italiani</t>
  </si>
  <si>
    <t>BO</t>
  </si>
  <si>
    <t>BOURAQ AIRLINES</t>
  </si>
  <si>
    <t>BP</t>
  </si>
  <si>
    <t>BR</t>
  </si>
  <si>
    <t>BT</t>
  </si>
  <si>
    <t>BU</t>
  </si>
  <si>
    <t>BV</t>
  </si>
  <si>
    <t>BW</t>
  </si>
  <si>
    <t>Caribbean Airlines</t>
  </si>
  <si>
    <t>BX</t>
  </si>
  <si>
    <t>COAST AIR K/S</t>
  </si>
  <si>
    <t>C2</t>
  </si>
  <si>
    <t>Chunqiu Airlines</t>
  </si>
  <si>
    <t>C4</t>
  </si>
  <si>
    <t>C9</t>
  </si>
  <si>
    <t>CA</t>
  </si>
  <si>
    <t>CB</t>
  </si>
  <si>
    <t>Scot Airways</t>
  </si>
  <si>
    <t>CG</t>
  </si>
  <si>
    <t>Changan Airlines</t>
  </si>
  <si>
    <t>CH</t>
  </si>
  <si>
    <t>China Xinhua Airlines</t>
  </si>
  <si>
    <t>CI</t>
  </si>
  <si>
    <t>China Airlines</t>
  </si>
  <si>
    <t>CK</t>
  </si>
  <si>
    <t>CL</t>
  </si>
  <si>
    <t>CM</t>
  </si>
  <si>
    <t>CO</t>
  </si>
  <si>
    <t>CP</t>
  </si>
  <si>
    <t>CU</t>
  </si>
  <si>
    <t>CV</t>
  </si>
  <si>
    <t>CW</t>
  </si>
  <si>
    <t>CX</t>
  </si>
  <si>
    <t>CY</t>
  </si>
  <si>
    <t>CZ</t>
  </si>
  <si>
    <t>China Southern Airlines</t>
  </si>
  <si>
    <t>D0</t>
  </si>
  <si>
    <t>D1</t>
  </si>
  <si>
    <t>Aerolineas del Sur</t>
  </si>
  <si>
    <t>D6</t>
  </si>
  <si>
    <t>D9</t>
  </si>
  <si>
    <t>DE</t>
  </si>
  <si>
    <t>DH</t>
  </si>
  <si>
    <t>DJ</t>
  </si>
  <si>
    <t>Virgin Blue</t>
  </si>
  <si>
    <t>DL</t>
  </si>
  <si>
    <t>DP</t>
  </si>
  <si>
    <t>First Choice Airways</t>
  </si>
  <si>
    <t>DR</t>
  </si>
  <si>
    <t>DIRGANTARA AIR SERVICES</t>
  </si>
  <si>
    <t>DS</t>
  </si>
  <si>
    <t>DT</t>
  </si>
  <si>
    <t>DU</t>
  </si>
  <si>
    <t>Hemus Air</t>
  </si>
  <si>
    <t>DY</t>
  </si>
  <si>
    <t>Norwegian Air Shuttle</t>
  </si>
  <si>
    <t>E3</t>
  </si>
  <si>
    <t>Domodedovo Airlines</t>
  </si>
  <si>
    <t>E4</t>
  </si>
  <si>
    <t>EG</t>
  </si>
  <si>
    <t>EI</t>
  </si>
  <si>
    <t>EK</t>
  </si>
  <si>
    <t>Emirates</t>
  </si>
  <si>
    <t>EL</t>
  </si>
  <si>
    <t>Air Nippon</t>
  </si>
  <si>
    <t>Iran Aseman Airlines</t>
  </si>
  <si>
    <t>EQ</t>
  </si>
  <si>
    <t>ER</t>
  </si>
  <si>
    <t>Astar Air Cargo</t>
  </si>
  <si>
    <t>ES</t>
  </si>
  <si>
    <t>ET</t>
  </si>
  <si>
    <t>EV</t>
  </si>
  <si>
    <t>Atlantic Southeast</t>
  </si>
  <si>
    <t>EW</t>
  </si>
  <si>
    <t>EY</t>
  </si>
  <si>
    <t>Etihad Airways</t>
  </si>
  <si>
    <t>EZ</t>
  </si>
  <si>
    <t>Evergreen International</t>
  </si>
  <si>
    <t>F6</t>
  </si>
  <si>
    <t>FIRST CAMBODIA AIRLINES</t>
  </si>
  <si>
    <t>F9</t>
  </si>
  <si>
    <t>Frontier Airlines</t>
  </si>
  <si>
    <t>FB</t>
  </si>
  <si>
    <t>Bulgaria Air</t>
  </si>
  <si>
    <t>FC</t>
  </si>
  <si>
    <t>FD</t>
  </si>
  <si>
    <t>Thai Air Asia</t>
  </si>
  <si>
    <t>FE</t>
  </si>
  <si>
    <t>Primaris Airlines Inc.</t>
  </si>
  <si>
    <t>FG</t>
  </si>
  <si>
    <t>FI</t>
  </si>
  <si>
    <t>Icelandair</t>
  </si>
  <si>
    <t>FJ</t>
  </si>
  <si>
    <t>FL</t>
  </si>
  <si>
    <t>AirTran Airways</t>
  </si>
  <si>
    <t>FM</t>
  </si>
  <si>
    <t>Shanghai Airlines</t>
  </si>
  <si>
    <t>FP</t>
  </si>
  <si>
    <t>TAG AVIATION</t>
  </si>
  <si>
    <t>FR</t>
  </si>
  <si>
    <t>FV</t>
  </si>
  <si>
    <t>Rossiya - Russian Airlines</t>
  </si>
  <si>
    <t>FX</t>
  </si>
  <si>
    <t>FY</t>
  </si>
  <si>
    <t>Fly Jet</t>
  </si>
  <si>
    <t>G3</t>
  </si>
  <si>
    <t>Gol Airlines</t>
  </si>
  <si>
    <t>G4</t>
  </si>
  <si>
    <t>Allegiant Air</t>
  </si>
  <si>
    <t>G6</t>
  </si>
  <si>
    <t>Angkor Airways</t>
  </si>
  <si>
    <t>GA</t>
  </si>
  <si>
    <t>Garuda Indonesia</t>
  </si>
  <si>
    <t>GB</t>
  </si>
  <si>
    <t>ABX Air</t>
  </si>
  <si>
    <t>GE</t>
  </si>
  <si>
    <t>Total assets:</t>
  </si>
  <si>
    <t>Total capital and liabilities:</t>
  </si>
  <si>
    <t>Total Employment Cost:</t>
  </si>
  <si>
    <t>Average Number of Employees:</t>
  </si>
  <si>
    <t>GF</t>
  </si>
  <si>
    <t>GH</t>
  </si>
  <si>
    <t>GR</t>
  </si>
  <si>
    <t>Aurigny</t>
  </si>
  <si>
    <t>GT</t>
  </si>
  <si>
    <t>GB Airways</t>
  </si>
  <si>
    <t>GU</t>
  </si>
  <si>
    <t>GW</t>
  </si>
  <si>
    <t>H8</t>
  </si>
  <si>
    <t>Dalavia</t>
  </si>
  <si>
    <t>H9</t>
  </si>
  <si>
    <t>Pegasus Airlines</t>
  </si>
  <si>
    <t>HA</t>
  </si>
  <si>
    <t>Hawaiian Airlines</t>
  </si>
  <si>
    <t>HD</t>
  </si>
  <si>
    <t>Hokkaido International</t>
  </si>
  <si>
    <t>HF</t>
  </si>
  <si>
    <t>HG</t>
  </si>
  <si>
    <t>HJ</t>
  </si>
  <si>
    <t>HM</t>
  </si>
  <si>
    <t>HP</t>
  </si>
  <si>
    <t>HR</t>
  </si>
  <si>
    <t>HT</t>
  </si>
  <si>
    <t>HU</t>
  </si>
  <si>
    <t>HV</t>
  </si>
  <si>
    <t>HY</t>
  </si>
  <si>
    <t>Uzbekistan Airways</t>
  </si>
  <si>
    <t>IA</t>
  </si>
  <si>
    <t>IB</t>
  </si>
  <si>
    <t>IC</t>
  </si>
  <si>
    <t>Indian Airlines</t>
  </si>
  <si>
    <t>IE</t>
  </si>
  <si>
    <t>Solomon Airlines</t>
  </si>
  <si>
    <t>IG</t>
  </si>
  <si>
    <t>IH</t>
  </si>
  <si>
    <t>IM</t>
  </si>
  <si>
    <t>IMTREC AVIATION</t>
  </si>
  <si>
    <t>IR</t>
  </si>
  <si>
    <t>Kingfisher Airlines</t>
  </si>
  <si>
    <t>IY</t>
  </si>
  <si>
    <t>IZ</t>
  </si>
  <si>
    <t>J2</t>
  </si>
  <si>
    <t>J8</t>
  </si>
  <si>
    <t>JA</t>
  </si>
  <si>
    <t>B &amp; H Airlines</t>
  </si>
  <si>
    <t>JI</t>
  </si>
  <si>
    <t>Jinlu Airlines</t>
  </si>
  <si>
    <t>JJ</t>
  </si>
  <si>
    <t>JK</t>
  </si>
  <si>
    <t>Spanair</t>
  </si>
  <si>
    <t>JL</t>
  </si>
  <si>
    <t>JM</t>
  </si>
  <si>
    <t>Air Jamaica</t>
  </si>
  <si>
    <t>JN</t>
  </si>
  <si>
    <t>JO</t>
  </si>
  <si>
    <t>JP</t>
  </si>
  <si>
    <t>Adria Airways</t>
  </si>
  <si>
    <t>JQ</t>
  </si>
  <si>
    <t>JR</t>
  </si>
  <si>
    <t>Aero California</t>
  </si>
  <si>
    <t>JS</t>
  </si>
  <si>
    <t>Air Koryo</t>
  </si>
  <si>
    <t>JT</t>
  </si>
  <si>
    <t>LION AIR</t>
  </si>
  <si>
    <t>JU</t>
  </si>
  <si>
    <t>Jat Airways</t>
  </si>
  <si>
    <t>JZ</t>
  </si>
  <si>
    <t>K4</t>
  </si>
  <si>
    <t>Kalitta Air</t>
  </si>
  <si>
    <t>KA</t>
  </si>
  <si>
    <t>KC</t>
  </si>
  <si>
    <t>Air Astana</t>
  </si>
  <si>
    <t>KE</t>
  </si>
  <si>
    <t>KF</t>
  </si>
  <si>
    <t>KJ</t>
  </si>
  <si>
    <t>British Med. Airways</t>
  </si>
  <si>
    <t>KK</t>
  </si>
  <si>
    <t>Atlasjet Airlines</t>
  </si>
  <si>
    <t>KL</t>
  </si>
  <si>
    <t>KM</t>
  </si>
  <si>
    <t>KN</t>
  </si>
  <si>
    <t>China United Airlines</t>
  </si>
  <si>
    <t>KQ</t>
  </si>
  <si>
    <t>KR</t>
  </si>
  <si>
    <t>AEROSUCRE SA</t>
  </si>
  <si>
    <t>KU</t>
  </si>
  <si>
    <t>KZ</t>
  </si>
  <si>
    <t>Nippon Cargo Airlines</t>
  </si>
  <si>
    <t>L1</t>
  </si>
  <si>
    <t>L2</t>
  </si>
  <si>
    <t>Lynden Air Cargo Airlines</t>
  </si>
  <si>
    <t>L9</t>
  </si>
  <si>
    <t>LB</t>
  </si>
  <si>
    <t>LD</t>
  </si>
  <si>
    <t>N/A</t>
  </si>
  <si>
    <t>AVAILABLE DAYS</t>
  </si>
  <si>
    <t>Step 1: Enter your company and contact information</t>
  </si>
  <si>
    <t>Please add ALL AIRCRAFT TYPE your company operates</t>
  </si>
  <si>
    <t>INSTRUCTION</t>
  </si>
  <si>
    <t>AHK AIR HONG KONG</t>
  </si>
  <si>
    <t>LG</t>
  </si>
  <si>
    <t>Luxair</t>
  </si>
  <si>
    <t>LH</t>
  </si>
  <si>
    <t>LI</t>
  </si>
  <si>
    <t>LIAT</t>
  </si>
  <si>
    <t>LJ</t>
  </si>
  <si>
    <t>Sierra National Airlines</t>
  </si>
  <si>
    <t>Livingston S.p.a.</t>
  </si>
  <si>
    <t>LO</t>
  </si>
  <si>
    <t>LQ</t>
  </si>
  <si>
    <t>LR</t>
  </si>
  <si>
    <t>LT</t>
  </si>
  <si>
    <t>LU</t>
  </si>
  <si>
    <t>SURAMERICANAS</t>
  </si>
  <si>
    <t>LV</t>
  </si>
  <si>
    <t>LX</t>
  </si>
  <si>
    <t>AIRCRAFT KILOMETERS FLOWN</t>
  </si>
  <si>
    <t>Form 1</t>
  </si>
  <si>
    <t>Form 2</t>
  </si>
  <si>
    <t>Form 3</t>
  </si>
  <si>
    <t>Total Operating Revenues</t>
  </si>
  <si>
    <t>Total Operating Expenses</t>
  </si>
  <si>
    <t>LY</t>
  </si>
  <si>
    <t>M1</t>
  </si>
  <si>
    <t>EUROATLANTIC AIRWAYS</t>
  </si>
  <si>
    <t>M3</t>
  </si>
  <si>
    <t>M6</t>
  </si>
  <si>
    <t>M7</t>
  </si>
  <si>
    <t>M9</t>
  </si>
  <si>
    <t>MD</t>
  </si>
  <si>
    <t>AED - UAE Dirham</t>
  </si>
  <si>
    <t>AFN - Afghani</t>
  </si>
  <si>
    <t>AMD - Armenian Dram</t>
  </si>
  <si>
    <t>ANG - Antilles Guilders</t>
  </si>
  <si>
    <t>ARS - Argentine Peso</t>
  </si>
  <si>
    <t>AUD - Australian Dollar</t>
  </si>
  <si>
    <t>BAM - Bosnian Marks</t>
  </si>
  <si>
    <t>BBD - Barbados Dollar</t>
  </si>
  <si>
    <t>BDT - Bengladesh Taka</t>
  </si>
  <si>
    <t>BGN - Bulgarian Lev</t>
  </si>
  <si>
    <t>BHD - Bahraini Dinar</t>
  </si>
  <si>
    <t>BIF - Burundi Franc</t>
  </si>
  <si>
    <t>BMD - Bermudian Dollar</t>
  </si>
  <si>
    <t>BND - Brunei Dollar</t>
  </si>
  <si>
    <t>BOB - Boliviano</t>
  </si>
  <si>
    <t>BSD - Bahamian Dollar</t>
  </si>
  <si>
    <t>BYR - Belarussian Ruble</t>
  </si>
  <si>
    <t>BZD - Belize Dollar</t>
  </si>
  <si>
    <t>CAD - Canadian Dollar</t>
  </si>
  <si>
    <t>CHF - Swiss Franc</t>
  </si>
  <si>
    <t>CLP - Chilean Peso</t>
  </si>
  <si>
    <t>COP - Colombian Peso</t>
  </si>
  <si>
    <t>CRC - Costa Rican Colon</t>
  </si>
  <si>
    <t>CUP - Cuban Peso</t>
  </si>
  <si>
    <t>CVE - Cape Verde Escudo</t>
  </si>
  <si>
    <t>CZK - Czech Koruna</t>
  </si>
  <si>
    <t>DJF - Djibouti Franc</t>
  </si>
  <si>
    <t>DKK - Danish Krone</t>
  </si>
  <si>
    <t>DOP - Dominican Peso</t>
  </si>
  <si>
    <t>DZD - Algerian Dinar</t>
  </si>
  <si>
    <t>EGP - Egyptian Pound</t>
  </si>
  <si>
    <t>ETB - Ethiopian Birr</t>
  </si>
  <si>
    <t>EUR - Euro</t>
  </si>
  <si>
    <t>FJD - Fiji Dollar</t>
  </si>
  <si>
    <t>FKP - Falkland Islands Pound</t>
  </si>
  <si>
    <t>GBP - UK Pound Sterling</t>
  </si>
  <si>
    <t>GIP - Gibraltar Pound</t>
  </si>
  <si>
    <t>GNF - Guinea Franc</t>
  </si>
  <si>
    <t>GYD - Guyana Dollar</t>
  </si>
  <si>
    <t>HKD - Hong Kong Dollar</t>
  </si>
  <si>
    <t>HRK - Croatian kuna</t>
  </si>
  <si>
    <t>HUF - Hungarian Forint</t>
  </si>
  <si>
    <t>INR - Indian Rupee</t>
  </si>
  <si>
    <t>IQD - Iraqi Dinar</t>
  </si>
  <si>
    <t>IRR - Iranian Rial</t>
  </si>
  <si>
    <t>ISK - Iceland Krona</t>
  </si>
  <si>
    <t>JMD - Jamaican Dollar</t>
  </si>
  <si>
    <t>JOD - Jordanian Dinar</t>
  </si>
  <si>
    <t>JPY - Japanese Yen</t>
  </si>
  <si>
    <t>KPW - North Korean Won</t>
  </si>
  <si>
    <t>KWD - Kuwaiti Dinar</t>
  </si>
  <si>
    <t>KYD - Cayman Islands Dollar</t>
  </si>
  <si>
    <t>LBP - Lebanese Pounds</t>
  </si>
  <si>
    <t>LKR - Sri Lanka Rupee</t>
  </si>
  <si>
    <t>LRD - Liberian Dollar</t>
  </si>
  <si>
    <t>LTL - Lithuanian Litas</t>
  </si>
  <si>
    <t>LVL - Latvian Lats</t>
  </si>
  <si>
    <t>LYD - Lybian Dinar</t>
  </si>
  <si>
    <t>MAD - Moroccan Dirham</t>
  </si>
  <si>
    <t>MDL - Moldovan Leu</t>
  </si>
  <si>
    <t>MUR - Mauritius Rupee</t>
  </si>
  <si>
    <t>MXN - Mexican Peso</t>
  </si>
  <si>
    <t>MYR - Malaysian Ringgit</t>
  </si>
  <si>
    <t>NAD - Namibia Dollar</t>
  </si>
  <si>
    <t>NIO - Cordoba Oro</t>
  </si>
  <si>
    <t>NOK - Norwegian Krone</t>
  </si>
  <si>
    <t>NPR - Nepalese Rupee</t>
  </si>
  <si>
    <t>NZD - New Zealand Dollar</t>
  </si>
  <si>
    <t>PHP - Philippino Peso</t>
  </si>
  <si>
    <t>PKR - Pakistan Rupee</t>
  </si>
  <si>
    <t>QAR - Qatari Rial</t>
  </si>
  <si>
    <t xml:space="preserve">RON -  Romanian New Lei </t>
  </si>
  <si>
    <t>RUB - Russian Ruble</t>
  </si>
  <si>
    <t>SAR - Saudi Riyal</t>
  </si>
  <si>
    <t>SBD - Solomon Islands Dollar</t>
  </si>
  <si>
    <t>SCR - Seychelles Rupees</t>
  </si>
  <si>
    <t>SEK - Swedish Krone</t>
  </si>
  <si>
    <t>SGD - Singapore Dollar</t>
  </si>
  <si>
    <t>SKK - Slovak Koruna</t>
  </si>
  <si>
    <t>Trinidad and Tobago</t>
  </si>
  <si>
    <t>Tunisia</t>
  </si>
  <si>
    <t>Turkey</t>
  </si>
  <si>
    <t>U.S. Virgin Islands</t>
  </si>
  <si>
    <t>Ukraine</t>
  </si>
  <si>
    <t>United Arab Emirates</t>
  </si>
  <si>
    <t>United States</t>
  </si>
  <si>
    <t>Uruguay</t>
  </si>
  <si>
    <t>Venezuela, Rep. Bol.</t>
  </si>
  <si>
    <t>Vietnam</t>
  </si>
  <si>
    <t>Yemen, Republic of</t>
  </si>
  <si>
    <t>Zambia</t>
  </si>
  <si>
    <t>Aircraft Codes</t>
  </si>
  <si>
    <t>Aircraft Types</t>
  </si>
  <si>
    <t>AB3</t>
  </si>
  <si>
    <t>AB4</t>
  </si>
  <si>
    <t>AB6</t>
  </si>
  <si>
    <t>ABF</t>
  </si>
  <si>
    <t>32S</t>
  </si>
  <si>
    <t>38F</t>
  </si>
  <si>
    <t>AN4</t>
  </si>
  <si>
    <t>AN6</t>
  </si>
  <si>
    <t>ATR</t>
  </si>
  <si>
    <t>AT4</t>
  </si>
  <si>
    <t>AT7</t>
  </si>
  <si>
    <t>AR7</t>
  </si>
  <si>
    <t>AR8</t>
  </si>
  <si>
    <t>AR1</t>
  </si>
  <si>
    <t>B11</t>
  </si>
  <si>
    <t>B72</t>
  </si>
  <si>
    <t xml:space="preserve">70M </t>
  </si>
  <si>
    <t>70F</t>
  </si>
  <si>
    <t>72A</t>
  </si>
  <si>
    <t>72M</t>
  </si>
  <si>
    <t>72F</t>
  </si>
  <si>
    <t>73S</t>
  </si>
  <si>
    <t>73G</t>
  </si>
  <si>
    <t>73M</t>
  </si>
  <si>
    <t>73F</t>
  </si>
  <si>
    <t>74S</t>
  </si>
  <si>
    <t>74R</t>
  </si>
  <si>
    <t>74M</t>
  </si>
  <si>
    <t>74C</t>
  </si>
  <si>
    <t>74D</t>
  </si>
  <si>
    <t>74E</t>
  </si>
  <si>
    <t>74F</t>
  </si>
  <si>
    <t>74X</t>
  </si>
  <si>
    <t>74Y</t>
  </si>
  <si>
    <t>75F</t>
  </si>
  <si>
    <t>76F</t>
  </si>
  <si>
    <t>HS7</t>
  </si>
  <si>
    <t>ATP</t>
  </si>
  <si>
    <t>CRJ</t>
  </si>
  <si>
    <t>CR1</t>
  </si>
  <si>
    <t>CR7</t>
  </si>
  <si>
    <t>CR9</t>
  </si>
  <si>
    <t>SSC</t>
  </si>
  <si>
    <t>DH7</t>
  </si>
  <si>
    <t>DH8</t>
  </si>
  <si>
    <t>EMB</t>
  </si>
  <si>
    <t>ER4</t>
  </si>
  <si>
    <t>E70</t>
  </si>
  <si>
    <t>E90</t>
  </si>
  <si>
    <t>F50</t>
  </si>
  <si>
    <t>F70</t>
  </si>
  <si>
    <t>IL6</t>
  </si>
  <si>
    <t>IL7</t>
  </si>
  <si>
    <t>L10</t>
  </si>
  <si>
    <t>D3F</t>
  </si>
  <si>
    <t>DC3</t>
  </si>
  <si>
    <t>DC6</t>
  </si>
  <si>
    <t>D6F</t>
  </si>
  <si>
    <t>D8F</t>
  </si>
  <si>
    <t>DC8</t>
  </si>
  <si>
    <t>D85</t>
  </si>
  <si>
    <t>D86</t>
  </si>
  <si>
    <t>D8L</t>
  </si>
  <si>
    <t>D8A</t>
  </si>
  <si>
    <t>D87</t>
  </si>
  <si>
    <t>D8Q</t>
  </si>
  <si>
    <t>D8B</t>
  </si>
  <si>
    <t>0B</t>
  </si>
  <si>
    <t>Blue Air Transport Aerian</t>
  </si>
  <si>
    <t>0C</t>
  </si>
  <si>
    <t>0D</t>
  </si>
  <si>
    <t>SWIFTAIR</t>
  </si>
  <si>
    <t>0G</t>
  </si>
  <si>
    <t>AUSTRIAN AIRLINES GROUP</t>
  </si>
  <si>
    <t>0H</t>
  </si>
  <si>
    <t>Air Atlantique</t>
  </si>
  <si>
    <t>0J</t>
  </si>
  <si>
    <t>ATSA</t>
  </si>
  <si>
    <t>0L</t>
  </si>
  <si>
    <t>AUSTRALIAN</t>
  </si>
  <si>
    <t>0M</t>
  </si>
  <si>
    <t>Champion Air</t>
  </si>
  <si>
    <t>0N</t>
  </si>
  <si>
    <t>Crimea Air</t>
  </si>
  <si>
    <t>0O</t>
  </si>
  <si>
    <t>AEROVIAS DAP</t>
  </si>
  <si>
    <t>0P</t>
  </si>
  <si>
    <t>European Air Charter</t>
  </si>
  <si>
    <t>0Q</t>
  </si>
  <si>
    <t>Executive Airlines</t>
  </si>
  <si>
    <t>0S</t>
  </si>
  <si>
    <t>SPICEJET</t>
  </si>
  <si>
    <t>0T</t>
  </si>
  <si>
    <t>Flightline</t>
  </si>
  <si>
    <t>0V</t>
  </si>
  <si>
    <t>KLM CityHopper</t>
  </si>
  <si>
    <t>0W</t>
  </si>
  <si>
    <t>ITEK Air</t>
  </si>
  <si>
    <t>0Y</t>
  </si>
  <si>
    <t>AIR LIETUVA</t>
  </si>
  <si>
    <t>Concors Aircompany</t>
  </si>
  <si>
    <t>Futura International Airways</t>
  </si>
  <si>
    <t>Inversia</t>
  </si>
  <si>
    <t>LatCharter Airlines</t>
  </si>
  <si>
    <t>Latpass Airlines</t>
  </si>
  <si>
    <t>1A</t>
  </si>
  <si>
    <t>LTE International</t>
  </si>
  <si>
    <t>1B</t>
  </si>
  <si>
    <t>MONACAIR</t>
  </si>
  <si>
    <t>1C</t>
  </si>
  <si>
    <t>Mid-West Express</t>
  </si>
  <si>
    <t>1D</t>
  </si>
  <si>
    <t>KAVMINVODYAVIA</t>
  </si>
  <si>
    <t>1E</t>
  </si>
  <si>
    <t>MyTravel Airways</t>
  </si>
  <si>
    <t>1F</t>
  </si>
  <si>
    <t>AERO CONTRACTORS</t>
  </si>
  <si>
    <t>1H</t>
  </si>
  <si>
    <t>PANAIR</t>
  </si>
  <si>
    <t>1J</t>
  </si>
  <si>
    <t>Romavia</t>
  </si>
  <si>
    <t>1L</t>
  </si>
  <si>
    <t>BAC EXPRESS</t>
  </si>
  <si>
    <t>1M</t>
  </si>
  <si>
    <t>Sky Airline</t>
  </si>
  <si>
    <t>1N</t>
  </si>
  <si>
    <t>ION TIRIAC AIR</t>
  </si>
  <si>
    <t>1P</t>
  </si>
  <si>
    <t>TWINJET AIRCRAFT</t>
  </si>
  <si>
    <t>1Q</t>
  </si>
  <si>
    <t>TAJIKISTANAL</t>
  </si>
  <si>
    <t>1R</t>
  </si>
  <si>
    <t>AERO-CHARTER</t>
  </si>
  <si>
    <t>1T</t>
  </si>
  <si>
    <t>CONSTANTA</t>
  </si>
  <si>
    <t>1V</t>
  </si>
  <si>
    <t>Isles of Scilly</t>
  </si>
  <si>
    <t>1W</t>
  </si>
  <si>
    <t>British International</t>
  </si>
  <si>
    <t>1X</t>
  </si>
  <si>
    <t>Air Southwest</t>
  </si>
  <si>
    <t>1Y</t>
  </si>
  <si>
    <t>Kullaflyg.se</t>
  </si>
  <si>
    <t>RAF Avia</t>
  </si>
  <si>
    <t>Riga Airclub</t>
  </si>
  <si>
    <t>Cygnus Air</t>
  </si>
  <si>
    <t>Freedom Airlines</t>
  </si>
  <si>
    <t>2F</t>
  </si>
  <si>
    <t>Frontier Flying</t>
  </si>
  <si>
    <t>2M</t>
  </si>
  <si>
    <t>MHS AVIATION</t>
  </si>
  <si>
    <t>2N</t>
  </si>
  <si>
    <t>SA Airlink Regional</t>
  </si>
  <si>
    <t>2Y</t>
  </si>
  <si>
    <t>Ryan Intl Airlines</t>
  </si>
  <si>
    <t>Peninsula Airways</t>
  </si>
  <si>
    <t>3D</t>
  </si>
  <si>
    <t>3S</t>
  </si>
  <si>
    <t>SAS Sweden</t>
  </si>
  <si>
    <t>3U</t>
  </si>
  <si>
    <t>Sichuan Airlines</t>
  </si>
  <si>
    <t>3V</t>
  </si>
  <si>
    <t>Florida West Airlines</t>
  </si>
  <si>
    <t>4M</t>
  </si>
  <si>
    <t>4S</t>
  </si>
  <si>
    <t>Scandinavian Airlines DANMARK</t>
  </si>
  <si>
    <t>4U</t>
  </si>
  <si>
    <t>Germanwings</t>
  </si>
  <si>
    <t>4Z</t>
  </si>
  <si>
    <t>5A</t>
  </si>
  <si>
    <t>Air Atlanta Europe</t>
  </si>
  <si>
    <t>5C</t>
  </si>
  <si>
    <t>5J</t>
  </si>
  <si>
    <t>5K</t>
  </si>
  <si>
    <t>5L</t>
  </si>
  <si>
    <t>5V</t>
  </si>
  <si>
    <t>LVOV Airlines</t>
  </si>
  <si>
    <t>5W</t>
  </si>
  <si>
    <t>5X</t>
  </si>
  <si>
    <t>5Y</t>
  </si>
  <si>
    <t>5Z</t>
  </si>
  <si>
    <t>Bismillah Airlines</t>
  </si>
  <si>
    <t>6A</t>
  </si>
  <si>
    <t>Aviacsa</t>
  </si>
  <si>
    <t>6B</t>
  </si>
  <si>
    <t>6G</t>
  </si>
  <si>
    <t>Air Wales</t>
  </si>
  <si>
    <t>6H</t>
  </si>
  <si>
    <t>Israir Airlines and Tourism Ltd.</t>
  </si>
  <si>
    <t>6J</t>
  </si>
  <si>
    <t>Skynet Asia Airlines</t>
  </si>
  <si>
    <t>7B</t>
  </si>
  <si>
    <t>Krasnojarsky Airlines</t>
  </si>
  <si>
    <t>7D</t>
  </si>
  <si>
    <t>Donbass Eastern Airlines</t>
  </si>
  <si>
    <t>7R</t>
  </si>
  <si>
    <t>Red Sea Air</t>
  </si>
  <si>
    <t>8C</t>
  </si>
  <si>
    <t>Air Transport International</t>
  </si>
  <si>
    <t>8H</t>
  </si>
  <si>
    <t>Highland Airways</t>
  </si>
  <si>
    <t>8M</t>
  </si>
  <si>
    <t>8Q</t>
  </si>
  <si>
    <t>Onur Air</t>
  </si>
  <si>
    <t>8U</t>
  </si>
  <si>
    <t>Afriqiyah Airways</t>
  </si>
  <si>
    <t>8Z</t>
  </si>
  <si>
    <t>LASER</t>
  </si>
  <si>
    <t>9E</t>
  </si>
  <si>
    <t>Pinnacle Airlines</t>
  </si>
  <si>
    <t>9R</t>
  </si>
  <si>
    <t>9S</t>
  </si>
  <si>
    <t>Southern Air Inc.</t>
  </si>
  <si>
    <t>9U</t>
  </si>
  <si>
    <t>9W</t>
  </si>
  <si>
    <t>A0</t>
  </si>
  <si>
    <t>Azov-Avia</t>
  </si>
  <si>
    <t>A2</t>
  </si>
  <si>
    <t>Cielos del Peru</t>
  </si>
  <si>
    <t>A3</t>
  </si>
  <si>
    <t>A6</t>
  </si>
  <si>
    <t>AA</t>
  </si>
  <si>
    <t>AB</t>
  </si>
  <si>
    <t>Air Berlin</t>
  </si>
  <si>
    <t>AC</t>
  </si>
  <si>
    <t>Air Canada</t>
  </si>
  <si>
    <t>AD</t>
  </si>
  <si>
    <t>Air Deccan</t>
  </si>
  <si>
    <t>AE</t>
  </si>
  <si>
    <t>Air Mandarin</t>
  </si>
  <si>
    <t>AF</t>
  </si>
  <si>
    <t>Air France</t>
  </si>
  <si>
    <t>AG</t>
  </si>
  <si>
    <t>AH</t>
  </si>
  <si>
    <t>AI</t>
  </si>
  <si>
    <t>AK</t>
  </si>
  <si>
    <t>Air Asia</t>
  </si>
  <si>
    <t>Aeromexico</t>
  </si>
  <si>
    <t>AO</t>
  </si>
  <si>
    <t>Aokai Airlines</t>
  </si>
  <si>
    <t>AP</t>
  </si>
  <si>
    <t>SOS - Somali Shilling</t>
  </si>
  <si>
    <t>SYP - Syrian Pound</t>
  </si>
  <si>
    <t>THB - Thai Baht</t>
  </si>
  <si>
    <t>TND - Tunisian Dinar</t>
  </si>
  <si>
    <t>TRY - Turkish New Lira</t>
  </si>
  <si>
    <t>TTD - Trinidad and Tobago Dollar</t>
  </si>
  <si>
    <t>TZS - Tanzanian Shilling</t>
  </si>
  <si>
    <t>UGX - Uganda Shilling</t>
  </si>
  <si>
    <t>USD - US Dollar</t>
  </si>
  <si>
    <t>UZS - Uzbekistan Sum</t>
  </si>
  <si>
    <t>XCD - East Carribbean Dollar</t>
  </si>
  <si>
    <t>XOF - CFA Franc BCEAO</t>
  </si>
  <si>
    <t>XPF - CFP Franc</t>
  </si>
  <si>
    <t>ZAR - South African Rand</t>
  </si>
  <si>
    <t>ZMK - Zambian Kwacha</t>
  </si>
  <si>
    <t>ZWD - Zimbabwe Dollar</t>
  </si>
  <si>
    <t>Air Madagascar</t>
  </si>
  <si>
    <t>ME</t>
  </si>
  <si>
    <t>Xiamen Airlines</t>
  </si>
  <si>
    <t>MH</t>
  </si>
  <si>
    <t>MI</t>
  </si>
  <si>
    <t>MK</t>
  </si>
  <si>
    <t>Air Mauritius</t>
  </si>
  <si>
    <t>MM</t>
  </si>
  <si>
    <t>SAM</t>
  </si>
  <si>
    <t>MN</t>
  </si>
  <si>
    <t>MO</t>
  </si>
  <si>
    <t>Aero Mongolia</t>
  </si>
  <si>
    <t>Martinair</t>
  </si>
  <si>
    <t>MQ</t>
  </si>
  <si>
    <t>American Eagle</t>
  </si>
  <si>
    <t>MS</t>
  </si>
  <si>
    <t>Egyptair</t>
  </si>
  <si>
    <t>MT</t>
  </si>
  <si>
    <t>Thomas Cook Airlines</t>
  </si>
  <si>
    <t>MU</t>
  </si>
  <si>
    <t>China Eastern Airlines</t>
  </si>
  <si>
    <t>MX</t>
  </si>
  <si>
    <t>N1</t>
  </si>
  <si>
    <t>North American Airlines</t>
  </si>
  <si>
    <t>N6</t>
  </si>
  <si>
    <t>AERO CONTINENTE PERU</t>
  </si>
  <si>
    <t>NB</t>
  </si>
  <si>
    <t>Sterling European</t>
  </si>
  <si>
    <t>Northern Air Cargo</t>
  </si>
  <si>
    <t>NE</t>
  </si>
  <si>
    <t>SkyEurope Airlines</t>
  </si>
  <si>
    <t>NF</t>
  </si>
  <si>
    <t>Air Vanuatu</t>
  </si>
  <si>
    <t>NG</t>
  </si>
  <si>
    <t>NH</t>
  </si>
  <si>
    <t>All Nippon Airways</t>
  </si>
  <si>
    <t>NI</t>
  </si>
  <si>
    <t>PGA - Portugália Airlines</t>
  </si>
  <si>
    <t>NK</t>
  </si>
  <si>
    <t>Spirit Airlines</t>
  </si>
  <si>
    <t>NM</t>
  </si>
  <si>
    <t>NT</t>
  </si>
  <si>
    <t>NW</t>
  </si>
  <si>
    <t>NX</t>
  </si>
  <si>
    <t>NZ</t>
  </si>
  <si>
    <t>OD</t>
  </si>
  <si>
    <t>OH</t>
  </si>
  <si>
    <t>Comair</t>
  </si>
  <si>
    <t>OK</t>
  </si>
  <si>
    <t>OM</t>
  </si>
  <si>
    <t>MIAT Mongolian Airlines</t>
  </si>
  <si>
    <t>OO</t>
  </si>
  <si>
    <t>Skywest Airlines</t>
  </si>
  <si>
    <t>OS</t>
  </si>
  <si>
    <t>Austrian</t>
  </si>
  <si>
    <t>OU</t>
  </si>
  <si>
    <t>Croatia Airlines</t>
  </si>
  <si>
    <t>OV</t>
  </si>
  <si>
    <t>Estonian Air</t>
  </si>
  <si>
    <t>OY</t>
  </si>
  <si>
    <t>Omni Air Express</t>
  </si>
  <si>
    <t>OZ</t>
  </si>
  <si>
    <t>P2</t>
  </si>
  <si>
    <t>UTAIR</t>
  </si>
  <si>
    <t>Palestinian Airlines</t>
  </si>
  <si>
    <t>PG</t>
  </si>
  <si>
    <t>PH</t>
  </si>
  <si>
    <t>PK</t>
  </si>
  <si>
    <t>PO</t>
  </si>
  <si>
    <t>PR</t>
  </si>
  <si>
    <t>Ukraine International Airlines</t>
  </si>
  <si>
    <t>PU</t>
  </si>
  <si>
    <t>PW</t>
  </si>
  <si>
    <t>PX</t>
  </si>
  <si>
    <t>PY</t>
  </si>
  <si>
    <t>Surinam Airways</t>
  </si>
  <si>
    <t>PZ</t>
  </si>
  <si>
    <t>Q3</t>
  </si>
  <si>
    <t>QF</t>
  </si>
  <si>
    <t>QH</t>
  </si>
  <si>
    <t>Altyn Air Airlines</t>
  </si>
  <si>
    <t>QI</t>
  </si>
  <si>
    <t>Cimber Air</t>
  </si>
  <si>
    <t>QK</t>
  </si>
  <si>
    <t>Air Canada Jazz</t>
  </si>
  <si>
    <t>QM</t>
  </si>
  <si>
    <t>QO</t>
  </si>
  <si>
    <t>Aeromexpress</t>
  </si>
  <si>
    <t>QP</t>
  </si>
  <si>
    <t>QR</t>
  </si>
  <si>
    <t>QS</t>
  </si>
  <si>
    <t>TRAVEL SERVIS</t>
  </si>
  <si>
    <t>QV</t>
  </si>
  <si>
    <t>Lao Airlines</t>
  </si>
  <si>
    <t>QW</t>
  </si>
  <si>
    <t>QX</t>
  </si>
  <si>
    <t>Horizon Air</t>
  </si>
  <si>
    <t>QY</t>
  </si>
  <si>
    <t>R5</t>
  </si>
  <si>
    <t>R8</t>
  </si>
  <si>
    <t>Kyrghyzstan Airlines</t>
  </si>
  <si>
    <t>RA</t>
  </si>
  <si>
    <t>Royal Nepal Airlines</t>
  </si>
  <si>
    <t>RB</t>
  </si>
  <si>
    <t>RC</t>
  </si>
  <si>
    <t>RUTACA AIRLINES</t>
  </si>
  <si>
    <t>RD</t>
  </si>
  <si>
    <t>EUROJET ROMANIA</t>
  </si>
  <si>
    <t>RE</t>
  </si>
  <si>
    <t>Aer Arann</t>
  </si>
  <si>
    <t>RG</t>
  </si>
  <si>
    <t>RJ</t>
  </si>
  <si>
    <t>Royal Jordanian</t>
  </si>
  <si>
    <t>RK</t>
  </si>
  <si>
    <t>ROYAL KHMER AIRLINES</t>
  </si>
  <si>
    <t>RL</t>
  </si>
  <si>
    <t>Royal Phnom Penh Airways</t>
  </si>
  <si>
    <t>Air Moldova</t>
  </si>
  <si>
    <t>RO</t>
  </si>
  <si>
    <t>RP</t>
  </si>
  <si>
    <t>Chautauqua Airlines</t>
  </si>
  <si>
    <t>RU</t>
  </si>
  <si>
    <t>Continental Express</t>
  </si>
  <si>
    <t>RV</t>
  </si>
  <si>
    <t>RW</t>
  </si>
  <si>
    <t>Republic Airlines</t>
  </si>
  <si>
    <t>S1</t>
  </si>
  <si>
    <t>SIEM REAP AIRWAYS</t>
  </si>
  <si>
    <t>S2</t>
  </si>
  <si>
    <t>Jet Lite (India) Ltd</t>
  </si>
  <si>
    <t>S4</t>
  </si>
  <si>
    <t>S7</t>
  </si>
  <si>
    <t>S9</t>
  </si>
  <si>
    <t>East African Safari Air Limited</t>
  </si>
  <si>
    <t>SB</t>
  </si>
  <si>
    <t>Air Caledonie International</t>
  </si>
  <si>
    <t>SC</t>
  </si>
  <si>
    <t>SD</t>
  </si>
  <si>
    <t>T</t>
  </si>
  <si>
    <t>SF</t>
  </si>
  <si>
    <t>SI</t>
  </si>
  <si>
    <t>SkyNet Airlines</t>
  </si>
  <si>
    <t>SK</t>
  </si>
  <si>
    <t>SN</t>
  </si>
  <si>
    <t>SP</t>
  </si>
  <si>
    <t>SQ</t>
  </si>
  <si>
    <t>SS</t>
  </si>
  <si>
    <t>Aeroflot Russian Airlines</t>
  </si>
  <si>
    <t>SV</t>
  </si>
  <si>
    <t>Saudi Arabian Airlines</t>
  </si>
  <si>
    <t>SW</t>
  </si>
  <si>
    <t>Air Namibia</t>
  </si>
  <si>
    <t>SX</t>
  </si>
  <si>
    <t>Shanxi Airlines</t>
  </si>
  <si>
    <t>SY</t>
  </si>
  <si>
    <t>T0</t>
  </si>
  <si>
    <t>TACA Peru</t>
  </si>
  <si>
    <t>T3</t>
  </si>
  <si>
    <t>Eastern Airlines</t>
  </si>
  <si>
    <t>T5</t>
  </si>
  <si>
    <t>Turkmenistan Airlines</t>
  </si>
  <si>
    <t>TA</t>
  </si>
  <si>
    <t>TC</t>
  </si>
  <si>
    <t>TF</t>
  </si>
  <si>
    <t>TG</t>
  </si>
  <si>
    <t>TJ</t>
  </si>
  <si>
    <t>TANS PERU</t>
  </si>
  <si>
    <t>TK</t>
  </si>
  <si>
    <t>TL</t>
  </si>
  <si>
    <t>TM</t>
  </si>
  <si>
    <t>LAM - Linhas Aéreas de Moçambique</t>
  </si>
  <si>
    <t>TN</t>
  </si>
  <si>
    <t>Air Tahiti Nui</t>
  </si>
  <si>
    <t>TO</t>
  </si>
  <si>
    <t>PRESIDENT AIRLINES</t>
  </si>
  <si>
    <t>TP</t>
  </si>
  <si>
    <t>TS</t>
  </si>
  <si>
    <t>Air Transat</t>
  </si>
  <si>
    <t>TU</t>
  </si>
  <si>
    <t>Tunis Air</t>
  </si>
  <si>
    <t>TV</t>
  </si>
  <si>
    <t>Virgin Express</t>
  </si>
  <si>
    <t>TY</t>
  </si>
  <si>
    <t>Iberworld Airlines</t>
  </si>
  <si>
    <t>TZ</t>
  </si>
  <si>
    <t>U1</t>
  </si>
  <si>
    <t>Ladeco Cargo</t>
  </si>
  <si>
    <t>U2</t>
  </si>
  <si>
    <t>U4</t>
  </si>
  <si>
    <t>PROGRESS MULTITRADE</t>
  </si>
  <si>
    <t>U5</t>
  </si>
  <si>
    <t>USA 3000 Airlines</t>
  </si>
  <si>
    <t>U6</t>
  </si>
  <si>
    <t>Ural Airlines</t>
  </si>
  <si>
    <t>U8</t>
  </si>
  <si>
    <t>UA</t>
  </si>
  <si>
    <t>United Airlines</t>
  </si>
  <si>
    <t>UC</t>
  </si>
  <si>
    <t>UF</t>
  </si>
  <si>
    <t>Ukraine Mediterranean Airlines Ltd</t>
  </si>
  <si>
    <t>UK</t>
  </si>
  <si>
    <t>Ukraine Air Enterprise</t>
  </si>
  <si>
    <t>UL</t>
  </si>
  <si>
    <t>UM</t>
  </si>
  <si>
    <t>UN</t>
  </si>
  <si>
    <t>Transaero Airlines</t>
  </si>
  <si>
    <t>UO</t>
  </si>
  <si>
    <t>Hong Kong Express</t>
  </si>
  <si>
    <t>UP</t>
  </si>
  <si>
    <t>Bahamas Air</t>
  </si>
  <si>
    <t>US</t>
  </si>
  <si>
    <t>UT</t>
  </si>
  <si>
    <t>UU</t>
  </si>
  <si>
    <t>Air Austral</t>
  </si>
  <si>
    <t>UX</t>
  </si>
  <si>
    <t>UY</t>
  </si>
  <si>
    <t>Cameroon Airlines</t>
  </si>
  <si>
    <t>V3</t>
  </si>
  <si>
    <t>VB</t>
  </si>
  <si>
    <t>Veteran Air</t>
  </si>
  <si>
    <t>VG</t>
  </si>
  <si>
    <t>VH</t>
  </si>
  <si>
    <t>VI</t>
  </si>
  <si>
    <t>VK</t>
  </si>
  <si>
    <t>VL</t>
  </si>
  <si>
    <t>VN</t>
  </si>
  <si>
    <t>Vietnam Airlines</t>
  </si>
  <si>
    <t>VR</t>
  </si>
  <si>
    <t>VS</t>
  </si>
  <si>
    <t>VT</t>
  </si>
  <si>
    <t>Air Tahiti</t>
  </si>
  <si>
    <t>VV</t>
  </si>
  <si>
    <t>Aerosvit Airlines</t>
  </si>
  <si>
    <t>VW</t>
  </si>
  <si>
    <t>Vbird</t>
  </si>
  <si>
    <t>VZ</t>
  </si>
  <si>
    <t>AEROVIS AIRLINES LTD</t>
  </si>
  <si>
    <t>W5</t>
  </si>
  <si>
    <t>W6</t>
  </si>
  <si>
    <t>Wizz Airlines</t>
  </si>
  <si>
    <t>W8</t>
  </si>
  <si>
    <t>WB</t>
  </si>
  <si>
    <t>WF</t>
  </si>
  <si>
    <t>WH</t>
  </si>
  <si>
    <t>China Northwest Airlines</t>
  </si>
  <si>
    <t>WI</t>
  </si>
  <si>
    <t>Tradewinds Airlines</t>
  </si>
  <si>
    <t>WN</t>
  </si>
  <si>
    <t>WO</t>
  </si>
  <si>
    <t>WS</t>
  </si>
  <si>
    <t>WestJet</t>
  </si>
  <si>
    <t>WW</t>
  </si>
  <si>
    <t>BMIbaby Ltd</t>
  </si>
  <si>
    <t>WX</t>
  </si>
  <si>
    <t>CityJet</t>
  </si>
  <si>
    <t>WY</t>
  </si>
  <si>
    <t>WZ</t>
  </si>
  <si>
    <t>XE</t>
  </si>
  <si>
    <t>XF</t>
  </si>
  <si>
    <t>XG</t>
  </si>
  <si>
    <t>Cambodia Authorities</t>
  </si>
  <si>
    <t>XJ</t>
  </si>
  <si>
    <t>Mesaba Aviation</t>
  </si>
  <si>
    <t>XK</t>
  </si>
  <si>
    <t>XL</t>
  </si>
  <si>
    <t>XQ</t>
  </si>
  <si>
    <t>Sun Express</t>
  </si>
  <si>
    <t>XU</t>
  </si>
  <si>
    <t>XV</t>
  </si>
  <si>
    <t>XZ</t>
  </si>
  <si>
    <t>Y2</t>
  </si>
  <si>
    <t>Yinglian Airlines</t>
  </si>
  <si>
    <t>Y4</t>
  </si>
  <si>
    <t>Y6</t>
  </si>
  <si>
    <t>mergeglobal</t>
  </si>
  <si>
    <t>Y9</t>
  </si>
  <si>
    <t>YG</t>
  </si>
  <si>
    <t>South Airlines</t>
  </si>
  <si>
    <t>YM</t>
  </si>
  <si>
    <t>Montenegro Airlines</t>
  </si>
  <si>
    <t>YO</t>
  </si>
  <si>
    <t>Heli Air Monaco</t>
  </si>
  <si>
    <t>YS</t>
  </si>
  <si>
    <t>White Airways S.A.</t>
  </si>
  <si>
    <t>YV</t>
  </si>
  <si>
    <t>Mesa Airlines</t>
  </si>
  <si>
    <t>YW</t>
  </si>
  <si>
    <t>Z4</t>
  </si>
  <si>
    <t>Zoom Airlines</t>
  </si>
  <si>
    <t>Z6</t>
  </si>
  <si>
    <t>Dnieproavia</t>
  </si>
  <si>
    <t>ZB</t>
  </si>
  <si>
    <t>Monarch Airlines</t>
  </si>
  <si>
    <t>ZH</t>
  </si>
  <si>
    <t>ZI</t>
  </si>
  <si>
    <t>Aigle Azur</t>
  </si>
  <si>
    <t>ZL</t>
  </si>
  <si>
    <t>Regional Express</t>
  </si>
  <si>
    <t>ZV</t>
  </si>
  <si>
    <t>Air Midwest Inc.</t>
  </si>
  <si>
    <t>ZW</t>
  </si>
  <si>
    <t>Air Wisconsin</t>
  </si>
  <si>
    <t>ZY</t>
  </si>
  <si>
    <t>ZZ</t>
  </si>
  <si>
    <t>Void</t>
  </si>
  <si>
    <t>D9F</t>
  </si>
  <si>
    <t>DC9</t>
  </si>
  <si>
    <t>D91</t>
  </si>
  <si>
    <t>D92</t>
  </si>
  <si>
    <t>D93</t>
  </si>
  <si>
    <t>D94</t>
  </si>
  <si>
    <t>D95</t>
  </si>
  <si>
    <t>D1F</t>
  </si>
  <si>
    <t>D1M</t>
  </si>
  <si>
    <t>D10</t>
  </si>
  <si>
    <t>D11</t>
  </si>
  <si>
    <t>D1C</t>
  </si>
  <si>
    <t>M11</t>
  </si>
  <si>
    <t>M1F</t>
  </si>
  <si>
    <t>M80</t>
  </si>
  <si>
    <t>M81</t>
  </si>
  <si>
    <t>M82</t>
  </si>
  <si>
    <t>M83</t>
  </si>
  <si>
    <t>M87</t>
  </si>
  <si>
    <t>M88</t>
  </si>
  <si>
    <t>M90</t>
  </si>
  <si>
    <t>SF3</t>
  </si>
  <si>
    <t>S20</t>
  </si>
  <si>
    <t>SH3</t>
  </si>
  <si>
    <t>TU3</t>
  </si>
  <si>
    <t>TU5</t>
  </si>
  <si>
    <t>YK2</t>
  </si>
  <si>
    <t>YK4</t>
  </si>
  <si>
    <t>ZZZ</t>
  </si>
  <si>
    <t>XXX</t>
  </si>
  <si>
    <t>XXY</t>
  </si>
  <si>
    <t>XXZ</t>
  </si>
  <si>
    <t>ATR (All Series)</t>
  </si>
  <si>
    <t>Avro RJ70</t>
  </si>
  <si>
    <t>Avro RJ85</t>
  </si>
  <si>
    <t>Avro RJ100/RJ115</t>
  </si>
  <si>
    <t>BAC 111 (All Series)</t>
  </si>
  <si>
    <t>Concorde</t>
  </si>
  <si>
    <t>Saab 340</t>
  </si>
  <si>
    <t>Saab 2000</t>
  </si>
  <si>
    <t>Joint Services/Blocked Space</t>
  </si>
  <si>
    <t>Hired Or Rentals</t>
  </si>
  <si>
    <t>Unknown</t>
  </si>
  <si>
    <t>General Commuter</t>
  </si>
  <si>
    <t>A300 Passenger (All Series)</t>
  </si>
  <si>
    <t>A310 (All Series)</t>
  </si>
  <si>
    <t>A318</t>
  </si>
  <si>
    <t>A319</t>
  </si>
  <si>
    <t xml:space="preserve">A320 </t>
  </si>
  <si>
    <t>A321</t>
  </si>
  <si>
    <t>A330 (All Series)</t>
  </si>
  <si>
    <t>A330-200</t>
  </si>
  <si>
    <t>A330-300</t>
  </si>
  <si>
    <t>A340 (All Series)</t>
  </si>
  <si>
    <t>A340-200</t>
  </si>
  <si>
    <t>A340-300</t>
  </si>
  <si>
    <t>A340-500</t>
  </si>
  <si>
    <t>A340-600</t>
  </si>
  <si>
    <t>A380 Freighter</t>
  </si>
  <si>
    <t>An 24</t>
  </si>
  <si>
    <t>An 26</t>
  </si>
  <si>
    <t>ATR 42</t>
  </si>
  <si>
    <t>ATR 72</t>
  </si>
  <si>
    <t>B707 Passenger</t>
  </si>
  <si>
    <t xml:space="preserve">B707 Mixed Configuration </t>
  </si>
  <si>
    <t>B707 Freighter (All Series)</t>
  </si>
  <si>
    <t>B717 Passenger (All Series)</t>
  </si>
  <si>
    <t>B727 Passenger (All Series)</t>
  </si>
  <si>
    <t>B727-100 Passenger</t>
  </si>
  <si>
    <t>B727-200 Passenger</t>
  </si>
  <si>
    <t>B727 Freighter</t>
  </si>
  <si>
    <t>B737 Passenger (All Series)</t>
  </si>
  <si>
    <t>B737-200 Mixed Configuration</t>
  </si>
  <si>
    <t>B737 Freighter (All Series)</t>
  </si>
  <si>
    <t>B747 Passenger (All Series)</t>
  </si>
  <si>
    <t xml:space="preserve">B747SP Passenger </t>
  </si>
  <si>
    <t xml:space="preserve">B747SR Passenger </t>
  </si>
  <si>
    <t>B747 Mixed Configuration</t>
  </si>
  <si>
    <t>B747 Freighter (All Series)</t>
  </si>
  <si>
    <t>B747-100/200/747SR Freighter</t>
  </si>
  <si>
    <t>B747-400 Freighter</t>
  </si>
  <si>
    <t>B757 Passenger (All Series)</t>
  </si>
  <si>
    <t>B757 Freighter (All Series)</t>
  </si>
  <si>
    <t>B767 Passenger (All Series)</t>
  </si>
  <si>
    <t>B767-200 Passenger</t>
  </si>
  <si>
    <t>B767-300 Passenger</t>
  </si>
  <si>
    <t>B767-400 Passenger</t>
  </si>
  <si>
    <t>B767 Freighter (All Series)</t>
  </si>
  <si>
    <t>B777 Passenger (All Series)</t>
  </si>
  <si>
    <t>B777-200 Passenger</t>
  </si>
  <si>
    <t>B777-300 Passenger</t>
  </si>
  <si>
    <t>B727-200 Advanced Passenger</t>
  </si>
  <si>
    <t>B727-100 Mixed Configuration</t>
  </si>
  <si>
    <t>B737-100 Passenger</t>
  </si>
  <si>
    <t>B737-200 Passenger</t>
  </si>
  <si>
    <t>B737-200 Advanced Passenger</t>
  </si>
  <si>
    <t>B737-300 Passenger</t>
  </si>
  <si>
    <t>B737-400 Passenger</t>
  </si>
  <si>
    <t>B737-500 Passenger</t>
  </si>
  <si>
    <t>B737-600 Passenger</t>
  </si>
  <si>
    <t>B737-700 Passenger</t>
  </si>
  <si>
    <t>B737-800 Passenger</t>
  </si>
  <si>
    <t>B737-900 Passenger</t>
  </si>
  <si>
    <t>B747-100 Passenger</t>
  </si>
  <si>
    <t>B747-200 Passenger</t>
  </si>
  <si>
    <t>B747-300 Passenger</t>
  </si>
  <si>
    <t>B747-400 Passenger</t>
  </si>
  <si>
    <t>B747-200 Mixed Configuration</t>
  </si>
  <si>
    <t>B747-300 Mixed Configuration</t>
  </si>
  <si>
    <t>B747-400 Mixed Configuration</t>
  </si>
  <si>
    <t>B757-200 Passenger</t>
  </si>
  <si>
    <t>B757-300 Passenger</t>
  </si>
  <si>
    <t>BAe Advanced Turboprop</t>
  </si>
  <si>
    <t>BAe 146 (All Series)</t>
  </si>
  <si>
    <t>BAe 748 (All Series)</t>
  </si>
  <si>
    <t>CRJ700</t>
  </si>
  <si>
    <t>CRJ900</t>
  </si>
  <si>
    <t>CRJ100</t>
  </si>
  <si>
    <t>EMB-170</t>
  </si>
  <si>
    <t>EMB-190</t>
  </si>
  <si>
    <t>EMB-110/120</t>
  </si>
  <si>
    <t>DC-6A/B Passenger</t>
  </si>
  <si>
    <t>DC-6A/B/C Freighter</t>
  </si>
  <si>
    <t>DC-3 Freighter</t>
  </si>
  <si>
    <t>DC-3 Passenger</t>
  </si>
  <si>
    <t>DC 8 50</t>
  </si>
  <si>
    <t>DC 8 61</t>
  </si>
  <si>
    <t>DC 8 62</t>
  </si>
  <si>
    <t>DC 8 63</t>
  </si>
  <si>
    <t>DC 8 71</t>
  </si>
  <si>
    <t>DC 8 72</t>
  </si>
  <si>
    <t>DC 8 73</t>
  </si>
  <si>
    <t>DC 9 Freighter (All Series)</t>
  </si>
  <si>
    <t>DC 9 Passenger (All Series)</t>
  </si>
  <si>
    <t>DC 9 10</t>
  </si>
  <si>
    <t>DC-9-20</t>
  </si>
  <si>
    <t>DC-9-30</t>
  </si>
  <si>
    <t>DC-9-40</t>
  </si>
  <si>
    <t>DC-9-50</t>
  </si>
  <si>
    <t xml:space="preserve">DC 10 Freighter (All Series) </t>
  </si>
  <si>
    <t>DC 10 Combi</t>
  </si>
  <si>
    <t>DC 10 Passenger (All Series)</t>
  </si>
  <si>
    <t>DC 10 10/15 Passenger</t>
  </si>
  <si>
    <t>DC 10 30/40 Passenger</t>
  </si>
  <si>
    <t>MD-11 Passenger (All series)</t>
  </si>
  <si>
    <t>MD-11 Freighter</t>
  </si>
  <si>
    <t>MD-80 (All Series)</t>
  </si>
  <si>
    <t>MD 81</t>
  </si>
  <si>
    <t>MD 82</t>
  </si>
  <si>
    <t>MD 83</t>
  </si>
  <si>
    <t>MD-87</t>
  </si>
  <si>
    <t>MD 88</t>
  </si>
  <si>
    <t>MD 90 Passenger (All Series)</t>
  </si>
  <si>
    <t>DC 8 Freighter (All Series)</t>
  </si>
  <si>
    <t>DC 8 Passenger (All Series)</t>
  </si>
  <si>
    <t>Tu 134</t>
  </si>
  <si>
    <t>Tu 154</t>
  </si>
  <si>
    <t>Yak 42</t>
  </si>
  <si>
    <t>Yak 40</t>
  </si>
  <si>
    <t>F100</t>
  </si>
  <si>
    <t>F27/Fh 227 (All Series)</t>
  </si>
  <si>
    <t>L 1011 (All Series)</t>
  </si>
  <si>
    <t>Il 62</t>
  </si>
  <si>
    <t>Il 76</t>
  </si>
  <si>
    <t>A380 Pax</t>
  </si>
  <si>
    <t>A300-600</t>
  </si>
  <si>
    <t>A300-B2/B4/C4 Passenger</t>
  </si>
  <si>
    <t>A300-C4/F4/A300 600 Freighter</t>
  </si>
  <si>
    <t>A310-200</t>
  </si>
  <si>
    <t>A310-300</t>
  </si>
  <si>
    <t>A320 Family (All Series)</t>
  </si>
  <si>
    <t>B720-B Passenger</t>
  </si>
  <si>
    <t>B707/720-B Passenger (All Series)</t>
  </si>
  <si>
    <t>Dash 7</t>
  </si>
  <si>
    <t>Dash 8 (All Series)</t>
  </si>
  <si>
    <t>AFN</t>
  </si>
  <si>
    <t>ALL</t>
  </si>
  <si>
    <t>DZD</t>
  </si>
  <si>
    <t>AOA</t>
  </si>
  <si>
    <t>XCD</t>
  </si>
  <si>
    <t>ARS</t>
  </si>
  <si>
    <t>AMD</t>
  </si>
  <si>
    <t>AWG</t>
  </si>
  <si>
    <t>AUD</t>
  </si>
  <si>
    <t>EUR</t>
  </si>
  <si>
    <t>BSD</t>
  </si>
  <si>
    <t>BHD</t>
  </si>
  <si>
    <t>BDT</t>
  </si>
  <si>
    <t>BBD</t>
  </si>
  <si>
    <t>BYR</t>
  </si>
  <si>
    <t>BZD</t>
  </si>
  <si>
    <t>XOF</t>
  </si>
  <si>
    <t>BMD</t>
  </si>
  <si>
    <t>BTN</t>
  </si>
  <si>
    <t>BOB</t>
  </si>
  <si>
    <t>BAM</t>
  </si>
  <si>
    <t>BWP</t>
  </si>
  <si>
    <t>BRL</t>
  </si>
  <si>
    <t>BND</t>
  </si>
  <si>
    <t>BGN</t>
  </si>
  <si>
    <t>BIF</t>
  </si>
  <si>
    <t>KHR</t>
  </si>
  <si>
    <t>XAF</t>
  </si>
  <si>
    <t>CAD</t>
  </si>
  <si>
    <t>CVE</t>
  </si>
  <si>
    <t>KYD</t>
  </si>
  <si>
    <t>CLP</t>
  </si>
  <si>
    <t>CNY</t>
  </si>
  <si>
    <t>COP</t>
  </si>
  <si>
    <t>KMF</t>
  </si>
  <si>
    <t>Congo</t>
  </si>
  <si>
    <t>CDF</t>
  </si>
  <si>
    <t>Cook Islands</t>
  </si>
  <si>
    <t>NZD</t>
  </si>
  <si>
    <t>CRC</t>
  </si>
  <si>
    <t>HRK</t>
  </si>
  <si>
    <t>Cuba</t>
  </si>
  <si>
    <t>CUP</t>
  </si>
  <si>
    <t>CZK</t>
  </si>
  <si>
    <t>DKK</t>
  </si>
  <si>
    <t>DJF</t>
  </si>
  <si>
    <t>DOP</t>
  </si>
  <si>
    <t>USD</t>
  </si>
  <si>
    <t>EGP</t>
  </si>
  <si>
    <t>EEK</t>
  </si>
  <si>
    <t>ETB</t>
  </si>
  <si>
    <t>FKP</t>
  </si>
  <si>
    <t>FJD</t>
  </si>
  <si>
    <t>XPF</t>
  </si>
  <si>
    <t>GEL</t>
  </si>
  <si>
    <t>GHS</t>
  </si>
  <si>
    <t>GIP</t>
  </si>
  <si>
    <t>GTQ</t>
  </si>
  <si>
    <t>GNF</t>
  </si>
  <si>
    <t>GYD</t>
  </si>
  <si>
    <t>HTG</t>
  </si>
  <si>
    <t>HNL</t>
  </si>
  <si>
    <t>HUF</t>
  </si>
  <si>
    <t>HKD</t>
  </si>
  <si>
    <t>ISK</t>
  </si>
  <si>
    <t>INR</t>
  </si>
  <si>
    <t>IDR</t>
  </si>
  <si>
    <t>IRR</t>
  </si>
  <si>
    <t>IQD</t>
  </si>
  <si>
    <t>ILS</t>
  </si>
  <si>
    <t>JMD</t>
  </si>
  <si>
    <t>JPY</t>
  </si>
  <si>
    <t>JOD</t>
  </si>
  <si>
    <t>KZT</t>
  </si>
  <si>
    <t>KES</t>
  </si>
  <si>
    <t>KRW</t>
  </si>
  <si>
    <t>KWD</t>
  </si>
  <si>
    <t>KGS</t>
  </si>
  <si>
    <t>LAK</t>
  </si>
  <si>
    <t>LVL</t>
  </si>
  <si>
    <t>LBP</t>
  </si>
  <si>
    <t>LSL</t>
  </si>
  <si>
    <t>LRD</t>
  </si>
  <si>
    <t>LYD</t>
  </si>
  <si>
    <t>LTL</t>
  </si>
  <si>
    <t>MOP</t>
  </si>
  <si>
    <t>MKD</t>
  </si>
  <si>
    <t>MGA</t>
  </si>
  <si>
    <t>MWK</t>
  </si>
  <si>
    <t>MYR</t>
  </si>
  <si>
    <t>MVR</t>
  </si>
  <si>
    <t>MRO</t>
  </si>
  <si>
    <t>MUR</t>
  </si>
  <si>
    <t>MXN</t>
  </si>
  <si>
    <t>MDL</t>
  </si>
  <si>
    <t>MNT</t>
  </si>
  <si>
    <t>MAD</t>
  </si>
  <si>
    <t>MZN</t>
  </si>
  <si>
    <t>MMK</t>
  </si>
  <si>
    <t>NAD</t>
  </si>
  <si>
    <t>NPR</t>
  </si>
  <si>
    <t>ANG</t>
  </si>
  <si>
    <t>NIO</t>
  </si>
  <si>
    <t>NGN</t>
  </si>
  <si>
    <t>NOK</t>
  </si>
  <si>
    <t>OMR</t>
  </si>
  <si>
    <t>PKR</t>
  </si>
  <si>
    <t>PAB</t>
  </si>
  <si>
    <t>PGK</t>
  </si>
  <si>
    <t>PYG</t>
  </si>
  <si>
    <t>PEN</t>
  </si>
  <si>
    <t>PHP</t>
  </si>
  <si>
    <t>PLN</t>
  </si>
  <si>
    <t>QAR</t>
  </si>
  <si>
    <t>RUB</t>
  </si>
  <si>
    <t>RWF</t>
  </si>
  <si>
    <t>WST</t>
  </si>
  <si>
    <t>STD</t>
  </si>
  <si>
    <t>SAR</t>
  </si>
  <si>
    <t>RSD</t>
  </si>
  <si>
    <t>SCR</t>
  </si>
  <si>
    <t>SLL</t>
  </si>
  <si>
    <t>SGD</t>
  </si>
  <si>
    <t>SKK</t>
  </si>
  <si>
    <t>SBD</t>
  </si>
  <si>
    <t>SOS</t>
  </si>
  <si>
    <t>ZAR</t>
  </si>
  <si>
    <t>LKR</t>
  </si>
  <si>
    <t>SRD</t>
  </si>
  <si>
    <t>SZL</t>
  </si>
  <si>
    <t>SEK</t>
  </si>
  <si>
    <t>CHF</t>
  </si>
  <si>
    <t>SYP</t>
  </si>
  <si>
    <t>TJS</t>
  </si>
  <si>
    <t>TZS</t>
  </si>
  <si>
    <t>THB</t>
  </si>
  <si>
    <t>TOP</t>
  </si>
  <si>
    <t>TTD</t>
  </si>
  <si>
    <t>TND</t>
  </si>
  <si>
    <t>TRY</t>
  </si>
  <si>
    <t>UGX</t>
  </si>
  <si>
    <t>UAH</t>
  </si>
  <si>
    <t>AED</t>
  </si>
  <si>
    <t>GBP</t>
  </si>
  <si>
    <t>UYU</t>
  </si>
  <si>
    <t>UZS</t>
  </si>
  <si>
    <t>VUV</t>
  </si>
  <si>
    <t>VEF</t>
  </si>
  <si>
    <t>VND</t>
  </si>
  <si>
    <t>YER</t>
  </si>
  <si>
    <t>ZMK</t>
  </si>
  <si>
    <t>RON</t>
  </si>
  <si>
    <t>SHP</t>
  </si>
  <si>
    <t>TWD</t>
  </si>
  <si>
    <t>SDG</t>
  </si>
  <si>
    <t>Routes</t>
  </si>
  <si>
    <t>Route codes</t>
  </si>
  <si>
    <t>Domestic</t>
  </si>
  <si>
    <t>Within Africa</t>
  </si>
  <si>
    <t>Within Central America</t>
  </si>
  <si>
    <t>Within Middle East</t>
  </si>
  <si>
    <t>Within North America</t>
  </si>
  <si>
    <t>Within Southwest Pacific</t>
  </si>
  <si>
    <t>Within South America</t>
  </si>
  <si>
    <t>Mid Atlantic</t>
  </si>
  <si>
    <t>North Atlantic</t>
  </si>
  <si>
    <t>North and Mid Pacific</t>
  </si>
  <si>
    <t>South Pacific</t>
  </si>
  <si>
    <t>South Atlantic</t>
  </si>
  <si>
    <t>Within Europe</t>
  </si>
  <si>
    <t>AM</t>
  </si>
  <si>
    <t>AS</t>
  </si>
  <si>
    <t>CS</t>
  </si>
  <si>
    <t>DO</t>
  </si>
  <si>
    <t>EF</t>
  </si>
  <si>
    <t>EM</t>
  </si>
  <si>
    <t>EP</t>
  </si>
  <si>
    <t>FA</t>
  </si>
  <si>
    <t>LA</t>
  </si>
  <si>
    <t>LC</t>
  </si>
  <si>
    <t>LF</t>
  </si>
  <si>
    <t>LM</t>
  </si>
  <si>
    <t>LN</t>
  </si>
  <si>
    <t>LP</t>
  </si>
  <si>
    <t>LS</t>
  </si>
  <si>
    <t>MA</t>
  </si>
  <si>
    <t>MF</t>
  </si>
  <si>
    <t>MP</t>
  </si>
  <si>
    <t>NA</t>
  </si>
  <si>
    <t>NC</t>
  </si>
  <si>
    <t>NO</t>
  </si>
  <si>
    <t>NS</t>
  </si>
  <si>
    <t>PF</t>
  </si>
  <si>
    <t>PI</t>
  </si>
  <si>
    <t>PN</t>
  </si>
  <si>
    <t>PS</t>
  </si>
  <si>
    <t>SA</t>
  </si>
  <si>
    <t>SU</t>
  </si>
  <si>
    <t>WE</t>
  </si>
  <si>
    <t>Currency Codes</t>
  </si>
  <si>
    <t>Countries</t>
  </si>
  <si>
    <t>Closing Month</t>
  </si>
  <si>
    <t>January</t>
  </si>
  <si>
    <t>February</t>
  </si>
  <si>
    <t>March</t>
  </si>
  <si>
    <t>April</t>
  </si>
  <si>
    <t>May</t>
  </si>
  <si>
    <t>June</t>
  </si>
  <si>
    <t>July</t>
  </si>
  <si>
    <t>August</t>
  </si>
  <si>
    <t>September</t>
  </si>
  <si>
    <t>October</t>
  </si>
  <si>
    <t>November</t>
  </si>
  <si>
    <t>December</t>
  </si>
  <si>
    <t>Country/Area:</t>
  </si>
  <si>
    <t>Financial Year End:</t>
  </si>
  <si>
    <t>Data Collection Year:</t>
  </si>
  <si>
    <t>Salutation:</t>
  </si>
  <si>
    <t>First Name:</t>
  </si>
  <si>
    <t>Last Name:</t>
  </si>
  <si>
    <t>Title:</t>
  </si>
  <si>
    <t>Email:</t>
  </si>
  <si>
    <t>Telephone:</t>
  </si>
  <si>
    <t>FORM</t>
  </si>
  <si>
    <t>DATA YEAR</t>
  </si>
  <si>
    <t>F11</t>
  </si>
  <si>
    <t>F12</t>
  </si>
  <si>
    <t>F13</t>
  </si>
  <si>
    <t>F14</t>
  </si>
  <si>
    <t>TOTAL CURRENT ASSETS</t>
  </si>
  <si>
    <t>F15</t>
  </si>
  <si>
    <t>F16</t>
  </si>
  <si>
    <t>F17</t>
  </si>
  <si>
    <t>F18</t>
  </si>
  <si>
    <t>TOTAL ASSETS</t>
  </si>
  <si>
    <t>F19</t>
  </si>
  <si>
    <t>F110</t>
  </si>
  <si>
    <t>F111</t>
  </si>
  <si>
    <t>F112</t>
  </si>
  <si>
    <t>Problem or OK?</t>
  </si>
  <si>
    <t>F113</t>
  </si>
  <si>
    <t>TOTAL CAPITAL AND LIABILITIES</t>
  </si>
  <si>
    <t>F114</t>
  </si>
  <si>
    <t>INTEREST PAYABLE</t>
  </si>
  <si>
    <t>F115</t>
  </si>
  <si>
    <t>INTEREST RECEIVABLE</t>
  </si>
  <si>
    <t>F116</t>
  </si>
  <si>
    <t>TOTAL OPERATING REVENUES</t>
  </si>
  <si>
    <t>F117</t>
  </si>
  <si>
    <t>TOTAL OPERATING EXPENSES</t>
  </si>
  <si>
    <t>F118</t>
  </si>
  <si>
    <t>F119</t>
  </si>
  <si>
    <t>F120</t>
  </si>
  <si>
    <t>Difference:</t>
  </si>
  <si>
    <t>Remuneration per employee (USD):</t>
  </si>
  <si>
    <t>Amaszonas</t>
  </si>
  <si>
    <t>Expressjet Airlines</t>
  </si>
  <si>
    <t>LADE</t>
  </si>
  <si>
    <t>MAS Air</t>
  </si>
  <si>
    <t>Titan Airways</t>
  </si>
  <si>
    <t>2D</t>
  </si>
  <si>
    <t>Dubrovnik Airlines</t>
  </si>
  <si>
    <t>Denim Air</t>
  </si>
  <si>
    <t>3L</t>
  </si>
  <si>
    <t>Intersky</t>
  </si>
  <si>
    <t>TNT Airways</t>
  </si>
  <si>
    <t>LAN Argentina</t>
  </si>
  <si>
    <t>SA Airlink</t>
  </si>
  <si>
    <t>C.A.L. Cargo Airlines</t>
  </si>
  <si>
    <t xml:space="preserve">Cebu Pacific </t>
  </si>
  <si>
    <t xml:space="preserve">Odessa Airlines </t>
  </si>
  <si>
    <t>AeroSur</t>
  </si>
  <si>
    <t>Astraeus</t>
  </si>
  <si>
    <t>UPS Airlines</t>
  </si>
  <si>
    <t>Atlas Air</t>
  </si>
  <si>
    <t>Thomsonfly</t>
  </si>
  <si>
    <t>Myanmar Airways</t>
  </si>
  <si>
    <t>Phuket Air</t>
  </si>
  <si>
    <t>Jet Airways</t>
  </si>
  <si>
    <t>Aegean Airlines</t>
  </si>
  <si>
    <t xml:space="preserve">Air Alps </t>
  </si>
  <si>
    <t>American Airlines</t>
  </si>
  <si>
    <t>Air Contractors</t>
  </si>
  <si>
    <t>Air Algerie</t>
  </si>
  <si>
    <t>Air India</t>
  </si>
  <si>
    <t>Air One</t>
  </si>
  <si>
    <t>Aerolineas Argentinas</t>
  </si>
  <si>
    <t>Alaska Airlines</t>
  </si>
  <si>
    <t>Austral</t>
  </si>
  <si>
    <t>AVIANCA</t>
  </si>
  <si>
    <t>Finnair</t>
  </si>
  <si>
    <t>Alitalia</t>
  </si>
  <si>
    <t>Belavia</t>
  </si>
  <si>
    <t>Bellview Airlines</t>
  </si>
  <si>
    <t>B9</t>
  </si>
  <si>
    <t>Iran Air Tours</t>
  </si>
  <si>
    <t>BMI</t>
  </si>
  <si>
    <t>Flybe</t>
  </si>
  <si>
    <t>Air Botswana</t>
  </si>
  <si>
    <t>EVA Air</t>
  </si>
  <si>
    <t>Air Baltic</t>
  </si>
  <si>
    <t>SAS Norge</t>
  </si>
  <si>
    <t>Blue Panorama</t>
  </si>
  <si>
    <t>BY</t>
  </si>
  <si>
    <t>Thomson Airways</t>
  </si>
  <si>
    <t>Alma de Mexico</t>
  </si>
  <si>
    <t>C6</t>
  </si>
  <si>
    <t>CanJet</t>
  </si>
  <si>
    <t>C8</t>
  </si>
  <si>
    <t>Cargolux Italia</t>
  </si>
  <si>
    <t>Cirrus Airlines</t>
  </si>
  <si>
    <t>Air China</t>
  </si>
  <si>
    <t>China Cargo Airlines</t>
  </si>
  <si>
    <t>Lufthansa Cityline</t>
  </si>
  <si>
    <t>COPA Airlines</t>
  </si>
  <si>
    <t>Continental Airlines</t>
  </si>
  <si>
    <t>Compass Airlines</t>
  </si>
  <si>
    <t>Continental Micronesia</t>
  </si>
  <si>
    <t>Cubana</t>
  </si>
  <si>
    <t>Cargolux</t>
  </si>
  <si>
    <t>Air Marshall  Islands</t>
  </si>
  <si>
    <t>Cathay Pacific Airways</t>
  </si>
  <si>
    <t>Cyprus Airways</t>
  </si>
  <si>
    <t>DHL Air</t>
  </si>
  <si>
    <t>Interair</t>
  </si>
  <si>
    <t>JSC Donavia</t>
  </si>
  <si>
    <t>Condor</t>
  </si>
  <si>
    <t>Independence Airlines</t>
  </si>
  <si>
    <t>Delta Air Lines</t>
  </si>
  <si>
    <t>easyJet Switzerland</t>
  </si>
  <si>
    <t>TAAG Angola Airlines</t>
  </si>
  <si>
    <t>Aero Asia</t>
  </si>
  <si>
    <t>Japan Asia Airways</t>
  </si>
  <si>
    <t>Aer Lingus</t>
  </si>
  <si>
    <t>TAME</t>
  </si>
  <si>
    <t>DHL International</t>
  </si>
  <si>
    <t>Ethiopian Airlines</t>
  </si>
  <si>
    <t>Eurowings</t>
  </si>
  <si>
    <t>Safair</t>
  </si>
  <si>
    <t>Afghanistan, I.R. of</t>
  </si>
  <si>
    <t>Albania</t>
  </si>
  <si>
    <t>Argentina</t>
  </si>
  <si>
    <t>Armenia</t>
  </si>
  <si>
    <t>Aruba</t>
  </si>
  <si>
    <t>Austria</t>
  </si>
  <si>
    <t>Azerbaijan, Rep. of</t>
  </si>
  <si>
    <t>Bahrain, Kingdom of</t>
  </si>
  <si>
    <t>Belarus</t>
  </si>
  <si>
    <t>Belgium</t>
  </si>
  <si>
    <t>Bosnia &amp; Herzegovina</t>
  </si>
  <si>
    <t>Brazil</t>
  </si>
  <si>
    <t>Central African Rep.</t>
  </si>
  <si>
    <t>Chile</t>
  </si>
  <si>
    <t>China,P.R.: Mainland</t>
  </si>
  <si>
    <t>China,P.R.:Hong Kong</t>
  </si>
  <si>
    <t>Colombia</t>
  </si>
  <si>
    <t>Congo, Dem. Rep. of</t>
  </si>
  <si>
    <t>Croatia</t>
  </si>
  <si>
    <t>Czech Republic</t>
  </si>
  <si>
    <t>Dominican Republic</t>
  </si>
  <si>
    <t>Ecuador</t>
  </si>
  <si>
    <t>Faroe Islands</t>
  </si>
  <si>
    <t>Finland</t>
  </si>
  <si>
    <t>France</t>
  </si>
  <si>
    <t>French Polynesia</t>
  </si>
  <si>
    <t>Germany</t>
  </si>
  <si>
    <t>Greece</t>
  </si>
  <si>
    <t>Greenland</t>
  </si>
  <si>
    <t>Guadeloupe</t>
  </si>
  <si>
    <t>Guernsey</t>
  </si>
  <si>
    <t>India</t>
  </si>
  <si>
    <t>Iran, I.R. of</t>
  </si>
  <si>
    <t>Ireland</t>
  </si>
  <si>
    <t>Isle of Man</t>
  </si>
  <si>
    <t>Italy</t>
  </si>
  <si>
    <t>Jersey</t>
  </si>
  <si>
    <t>Jordan</t>
  </si>
  <si>
    <t>Kuwait</t>
  </si>
  <si>
    <t>Lao People's Dem.Rep</t>
  </si>
  <si>
    <t>Luxembourg</t>
  </si>
  <si>
    <t>Macedonia, FYR</t>
  </si>
  <si>
    <t>Madagascar</t>
  </si>
  <si>
    <t>Marshall Islands,Rep</t>
  </si>
  <si>
    <t>Martinique</t>
  </si>
  <si>
    <t>Mauritius</t>
  </si>
  <si>
    <t>Mexico</t>
  </si>
  <si>
    <t>Micronesia, Fed.Sts.</t>
  </si>
  <si>
    <t>Montenegro, Rep. of</t>
  </si>
  <si>
    <t>Nepal</t>
  </si>
  <si>
    <t>Netherlands</t>
  </si>
  <si>
    <t>Netherlands Antilles</t>
  </si>
  <si>
    <t>New Caledonia</t>
  </si>
  <si>
    <t>Norway</t>
  </si>
  <si>
    <t>Pakistan</t>
  </si>
  <si>
    <t>Peru</t>
  </si>
  <si>
    <t>Philippines</t>
  </si>
  <si>
    <t>Portugal</t>
  </si>
  <si>
    <t>Qatar</t>
  </si>
  <si>
    <t>Réunion</t>
  </si>
  <si>
    <t>Romania</t>
  </si>
  <si>
    <t>Russia</t>
  </si>
  <si>
    <t>Samoa</t>
  </si>
  <si>
    <t>San Marino</t>
  </si>
  <si>
    <t>São Tomé &amp; Príncipe</t>
  </si>
  <si>
    <t>Saudi Arabia</t>
  </si>
  <si>
    <t>Senegal</t>
  </si>
  <si>
    <t>Serbia, Republic of</t>
  </si>
  <si>
    <t>Seychelles</t>
  </si>
  <si>
    <t>Slovenia</t>
  </si>
  <si>
    <t>Spain</t>
  </si>
  <si>
    <t>Sri Lanka</t>
  </si>
  <si>
    <t>St. Pierre-Miquelon</t>
  </si>
  <si>
    <t>St. Vincent &amp; Grens.</t>
  </si>
  <si>
    <t>Sudan</t>
  </si>
  <si>
    <t>Suriname</t>
  </si>
  <si>
    <t>Sweden</t>
  </si>
  <si>
    <t>Syrian Arab Republic</t>
  </si>
  <si>
    <t>Taiwan Prov.of China</t>
  </si>
  <si>
    <t>Tajikistan</t>
  </si>
  <si>
    <t>Thailand</t>
  </si>
  <si>
    <t>Timor-Leste</t>
  </si>
  <si>
    <t xml:space="preserve">Finnish Commuter AIrlines </t>
  </si>
  <si>
    <t>Ariana Afghan Airlines</t>
  </si>
  <si>
    <t>FH</t>
  </si>
  <si>
    <t>Freebird Airlines</t>
  </si>
  <si>
    <t>Air Pacific</t>
  </si>
  <si>
    <t>Ryanair</t>
  </si>
  <si>
    <t>Federal Express</t>
  </si>
  <si>
    <t>TransAsia</t>
  </si>
  <si>
    <t>Gulf Air</t>
  </si>
  <si>
    <t>Globus</t>
  </si>
  <si>
    <t>GJ</t>
  </si>
  <si>
    <t>Eurofly</t>
  </si>
  <si>
    <t>Aviateca</t>
  </si>
  <si>
    <t>GO Airlines</t>
  </si>
  <si>
    <t>Hapag Lloyd</t>
  </si>
  <si>
    <t>Fly Niki</t>
  </si>
  <si>
    <t>Hellas Jet</t>
  </si>
  <si>
    <t>Air Seychelles</t>
  </si>
  <si>
    <t>America West Airlines</t>
  </si>
  <si>
    <t>Hahn Air</t>
  </si>
  <si>
    <t>AEROMIST-KHARKIV</t>
  </si>
  <si>
    <t>Hainan Airlines</t>
  </si>
  <si>
    <t>Transavia</t>
  </si>
  <si>
    <t>Iraqi  Airways</t>
  </si>
  <si>
    <t>IBERIA</t>
  </si>
  <si>
    <t>Meridiana</t>
  </si>
  <si>
    <t>Falcon Air</t>
  </si>
  <si>
    <t>Iran Air</t>
  </si>
  <si>
    <t>IX</t>
  </si>
  <si>
    <t>Air India Express</t>
  </si>
  <si>
    <t>Yemenia Yemen Airways</t>
  </si>
  <si>
    <t>Arkia Israeli Airlines</t>
  </si>
  <si>
    <t>Azerbaijan Airlines</t>
  </si>
  <si>
    <t xml:space="preserve">BERJAYA AIR </t>
  </si>
  <si>
    <t>TAM Airlines</t>
  </si>
  <si>
    <t>Japan Airlines</t>
  </si>
  <si>
    <t>XL Airways UK</t>
  </si>
  <si>
    <t>JALways</t>
  </si>
  <si>
    <t>Jetstar Airways</t>
  </si>
  <si>
    <t>Skyways Express</t>
  </si>
  <si>
    <t>Dragonair</t>
  </si>
  <si>
    <t>Korean Air</t>
  </si>
  <si>
    <t xml:space="preserve">Blue1 </t>
  </si>
  <si>
    <t>KLM</t>
  </si>
  <si>
    <t>Air Malta</t>
  </si>
  <si>
    <t>Kenya Airways</t>
  </si>
  <si>
    <t>Kitty Hawk Aircargo</t>
  </si>
  <si>
    <t>Kuwait Airways</t>
  </si>
  <si>
    <t>KW</t>
  </si>
  <si>
    <t>Kuwait National Airways</t>
  </si>
  <si>
    <t>Loganair</t>
  </si>
  <si>
    <t>L7</t>
  </si>
  <si>
    <t>LANCO</t>
  </si>
  <si>
    <t>Fairline</t>
  </si>
  <si>
    <t>LAN Airlines</t>
  </si>
  <si>
    <t>Lloyd Aereo Boliviano</t>
  </si>
  <si>
    <t>Varig Logistica</t>
  </si>
  <si>
    <t>Lufthansa</t>
  </si>
  <si>
    <t>Libyan Airlines</t>
  </si>
  <si>
    <t>LOT Polish Airlines</t>
  </si>
  <si>
    <t>LAN Peru</t>
  </si>
  <si>
    <t xml:space="preserve">Air Guinea </t>
  </si>
  <si>
    <t>LACSA</t>
  </si>
  <si>
    <t>JET2.COM</t>
  </si>
  <si>
    <t>LTU</t>
  </si>
  <si>
    <t>Albanian Airlines</t>
  </si>
  <si>
    <t>SWISS</t>
  </si>
  <si>
    <t>El Al Israel Airlines</t>
  </si>
  <si>
    <t>ABSA</t>
  </si>
  <si>
    <t>Amerijet International</t>
  </si>
  <si>
    <t>Mas Air</t>
  </si>
  <si>
    <t>Motor-Sich</t>
  </si>
  <si>
    <t>MALEV</t>
  </si>
  <si>
    <t>Middle East Airlines</t>
  </si>
  <si>
    <t>Malaysia Airlines</t>
  </si>
  <si>
    <t>Silkair</t>
  </si>
  <si>
    <t>Comair Limited</t>
  </si>
  <si>
    <t>Mexicana</t>
  </si>
  <si>
    <t>Lauda Air</t>
  </si>
  <si>
    <t>Mount Cook</t>
  </si>
  <si>
    <t>Binter Canarias</t>
  </si>
  <si>
    <t>Northwest Airlines</t>
  </si>
  <si>
    <t>Air Macau</t>
  </si>
  <si>
    <t>Air New Zealand</t>
  </si>
  <si>
    <t>Aero Condor</t>
  </si>
  <si>
    <t>Czech Airlines</t>
  </si>
  <si>
    <t>Asiana Airlines</t>
  </si>
  <si>
    <t>P5</t>
  </si>
  <si>
    <t>Aero Republica</t>
  </si>
  <si>
    <t>Bangkok Airways</t>
  </si>
  <si>
    <t>Polynesian Airlines</t>
  </si>
  <si>
    <t>PIA</t>
  </si>
  <si>
    <t>Polar Air Cargo</t>
  </si>
  <si>
    <t>Philippine Airlines</t>
  </si>
  <si>
    <t>PLUNA</t>
  </si>
  <si>
    <t>Precision Air</t>
  </si>
  <si>
    <t>Air Niugini</t>
  </si>
  <si>
    <t>TAM Mercosur</t>
  </si>
  <si>
    <t>Zambian Airways</t>
  </si>
  <si>
    <t>Qantas Airways</t>
  </si>
  <si>
    <t>Air Malawi</t>
  </si>
  <si>
    <t>Regional Air</t>
  </si>
  <si>
    <t>Qatar Airways</t>
  </si>
  <si>
    <t>Blue Wings</t>
  </si>
  <si>
    <t>EAT - European Air Transport</t>
  </si>
  <si>
    <t>Jordan Aviation</t>
  </si>
  <si>
    <t>Syrianair</t>
  </si>
  <si>
    <t>Varig</t>
  </si>
  <si>
    <t>TAROM</t>
  </si>
  <si>
    <t>Caspian Airlines</t>
  </si>
  <si>
    <t>SATA International</t>
  </si>
  <si>
    <t>Siberia Airlines</t>
  </si>
  <si>
    <t>South African Airways</t>
  </si>
  <si>
    <t>Shandong Airlines</t>
  </si>
  <si>
    <t>Sudan Airways</t>
  </si>
  <si>
    <t>Tassili Airlines</t>
  </si>
  <si>
    <t>SAS Scandinavian Airlines</t>
  </si>
  <si>
    <t>Brussels Airlines</t>
  </si>
  <si>
    <t>SATA Air Açores</t>
  </si>
  <si>
    <t>Singapore Airlines</t>
  </si>
  <si>
    <t>Corsair</t>
  </si>
  <si>
    <t>Sun Country Airlines</t>
  </si>
  <si>
    <t>TACA</t>
  </si>
  <si>
    <t>Air Tanzania</t>
  </si>
  <si>
    <t>Malmö Aviation</t>
  </si>
  <si>
    <t>Thai Airways</t>
  </si>
  <si>
    <t>Turkish Airlines</t>
  </si>
  <si>
    <t>T.M.A.</t>
  </si>
  <si>
    <t>TAP Portugal</t>
  </si>
  <si>
    <t>ATA Airlines</t>
  </si>
  <si>
    <t>easyJet</t>
  </si>
  <si>
    <t>Armavia</t>
  </si>
  <si>
    <t>LAN Cargo</t>
  </si>
  <si>
    <t>SriLankan Airlines</t>
  </si>
  <si>
    <t>Air Zimbabwe</t>
  </si>
  <si>
    <t>US Airways</t>
  </si>
  <si>
    <t>UT Air</t>
  </si>
  <si>
    <t>Air Europa</t>
  </si>
  <si>
    <t>Carpatair</t>
  </si>
  <si>
    <t>VLM Airlines</t>
  </si>
  <si>
    <t>Aeropostal</t>
  </si>
  <si>
    <t>Volga-Dnepr Airlines</t>
  </si>
  <si>
    <t>Nigerian Eagle Airlines</t>
  </si>
  <si>
    <t>DFS UK LTD</t>
  </si>
  <si>
    <t>TACV Cabo Verde Airlines</t>
  </si>
  <si>
    <t>Virgin Atlantic</t>
  </si>
  <si>
    <t>VY</t>
  </si>
  <si>
    <t>VUELING</t>
  </si>
  <si>
    <t>Mahan Air</t>
  </si>
  <si>
    <t>Cargojet Airways</t>
  </si>
  <si>
    <t>Rwandair Express</t>
  </si>
  <si>
    <t>Wideroe</t>
  </si>
  <si>
    <t>Southwest Airlines</t>
  </si>
  <si>
    <t>World Airways</t>
  </si>
  <si>
    <t>Oman Air</t>
  </si>
  <si>
    <t>ExpressJet Airlines</t>
  </si>
  <si>
    <t>Vladivostok Air</t>
  </si>
  <si>
    <t>Compagnie Aérienne Corse</t>
  </si>
  <si>
    <t>LAN Ecuador</t>
  </si>
  <si>
    <t>African Express</t>
  </si>
  <si>
    <t>Southern Cross Airlines</t>
  </si>
  <si>
    <t>South African Express Airways</t>
  </si>
  <si>
    <t>Volaris</t>
  </si>
  <si>
    <t>Kish Air</t>
  </si>
  <si>
    <t>Air Nostrum</t>
  </si>
  <si>
    <t>Shenzhen Airlines</t>
  </si>
  <si>
    <t>Ada  Air</t>
  </si>
  <si>
    <t>Airlines Codes</t>
  </si>
  <si>
    <t>Airline Name</t>
  </si>
  <si>
    <t>Acvila Air</t>
  </si>
  <si>
    <t>ZWD</t>
  </si>
  <si>
    <t>GMD</t>
  </si>
  <si>
    <t>KPW</t>
  </si>
  <si>
    <t>North Korea</t>
  </si>
  <si>
    <t>South Korea</t>
  </si>
  <si>
    <t>AZN</t>
  </si>
  <si>
    <t>TMT</t>
  </si>
  <si>
    <t>ALL - Albanian Leck</t>
  </si>
  <si>
    <t>AOA - Angolan Kwanza</t>
  </si>
  <si>
    <t>AWG - Aruban Forin</t>
  </si>
  <si>
    <t>AZN - Azerbaijanian New Manat</t>
  </si>
  <si>
    <t>BRL - Brazilian Real</t>
  </si>
  <si>
    <t>BTN - Bhutan Ngultrum</t>
  </si>
  <si>
    <t>BWP - Botswana Pula</t>
  </si>
  <si>
    <t>CDF - Congolese Franc</t>
  </si>
  <si>
    <t>CNY - Chinese Yuan Renminbi</t>
  </si>
  <si>
    <t>EEK - Estonian Kroon</t>
  </si>
  <si>
    <t>GEL - Georgian Lari</t>
  </si>
  <si>
    <t>GMD - Gambian Dalasi</t>
  </si>
  <si>
    <t>GTQ - Guatemalan Quetzal</t>
  </si>
  <si>
    <t>HNL - Honduran Lempira</t>
  </si>
  <si>
    <t>HTG - Haitian Gourde</t>
  </si>
  <si>
    <t>IDR - Indonesian Rupiah</t>
  </si>
  <si>
    <t>ILS - Israeli New Shekel</t>
  </si>
  <si>
    <t>KES - Keynan Shilling</t>
  </si>
  <si>
    <t>KGS - Kyrgyzstanian Som</t>
  </si>
  <si>
    <t>KHR - Cambodian Riel</t>
  </si>
  <si>
    <t>KMF - Comoros Franc</t>
  </si>
  <si>
    <t>KRW - South Korean Won</t>
  </si>
  <si>
    <t>KZT - Kazakhstan Tenge</t>
  </si>
  <si>
    <t>LAK - Lao Kip</t>
  </si>
  <si>
    <t>LSL - Lesotho Loti</t>
  </si>
  <si>
    <t>MGA - Malagasy Ariary</t>
  </si>
  <si>
    <t>MKD - Macedonian Denar</t>
  </si>
  <si>
    <t>MMK - Myanmar Kyat</t>
  </si>
  <si>
    <t>MNT - Mongolian Tugrik</t>
  </si>
  <si>
    <t>MOP - Macau Pataca</t>
  </si>
  <si>
    <t>MRO - Mauritanian Ouguiya</t>
  </si>
  <si>
    <t>MVR - Maldive Rufiyaa</t>
  </si>
  <si>
    <t>MWK - Malawi Kwacha</t>
  </si>
  <si>
    <t>NGN - Migerian Naira</t>
  </si>
  <si>
    <t>OMR - Omani Rial</t>
  </si>
  <si>
    <t>PAB - Panamanian Balboa</t>
  </si>
  <si>
    <t>PEN - Peruvian Nuevo Sol</t>
  </si>
  <si>
    <t>PGK - Papua New Guinea Kina</t>
  </si>
  <si>
    <t>PLN - Polish Zloty</t>
  </si>
  <si>
    <t>PYG - Paraguay Guarani</t>
  </si>
  <si>
    <t>RWF - Rwandan Franc</t>
  </si>
  <si>
    <t>SHP - St. Helena Pound</t>
  </si>
  <si>
    <t>SLL - Sierra Leone Leone</t>
  </si>
  <si>
    <t>STD - Sao Tome/Principe Dobra</t>
  </si>
  <si>
    <t>SZL - Swaziland Lilangeni</t>
  </si>
  <si>
    <t>TJS - Tajikistani Somoni</t>
  </si>
  <si>
    <t>TMT - Turkmenistan New Manat</t>
  </si>
  <si>
    <t>TOP - Tonga Pa´anga</t>
  </si>
  <si>
    <t>TWD - Taïwan Dollar</t>
  </si>
  <si>
    <t>UAH - Ukraine Hryvnia</t>
  </si>
  <si>
    <t>UYU - Uruguayo Peso</t>
  </si>
  <si>
    <t>VND - Vietnamese Dong</t>
  </si>
  <si>
    <t>VUV - Vanuatu Vatu</t>
  </si>
  <si>
    <t>WST - Samoan Tala</t>
  </si>
  <si>
    <t>XAF - CFA Franc BEAC</t>
  </si>
  <si>
    <t>YER - Yemeni Rial</t>
  </si>
  <si>
    <t>MZN - Mozambique New Metical</t>
  </si>
  <si>
    <t>GHS - Ghanaian New Cedi</t>
  </si>
  <si>
    <t>RSD - Serbian Dinar</t>
  </si>
  <si>
    <t>SDG - Sudanese Pound</t>
  </si>
  <si>
    <t>SRD - Suriname Dollar</t>
  </si>
  <si>
    <t>VEF - Venezuelan Bolivar Fuerte</t>
  </si>
  <si>
    <t>Africa - Middle East</t>
  </si>
  <si>
    <t>Africa - Southwest Pacific</t>
  </si>
  <si>
    <t>Central America - South America</t>
  </si>
  <si>
    <t>FA - Africa - Asia</t>
  </si>
  <si>
    <t>LF - Within Asia</t>
  </si>
  <si>
    <t>MF - Middle East - Asia</t>
  </si>
  <si>
    <t>PF - Asia - Southwest Pacific</t>
  </si>
  <si>
    <t>Within Asia</t>
  </si>
  <si>
    <t>Europe - Asia</t>
  </si>
  <si>
    <t>EF - Europe - Asia</t>
  </si>
  <si>
    <t>Europe - Middle East</t>
  </si>
  <si>
    <t>Europe - Southwest Pacific</t>
  </si>
  <si>
    <t>Africa - Asia</t>
  </si>
  <si>
    <t>Middle East - Asia</t>
  </si>
  <si>
    <t>Middle East - Southwest Pacific</t>
  </si>
  <si>
    <t>North America - Central America</t>
  </si>
  <si>
    <t>Europe - Northern Africa</t>
  </si>
  <si>
    <t>North America - South America</t>
  </si>
  <si>
    <t>NS - North America - South America</t>
  </si>
  <si>
    <t>Asia - Southwest Pacific</t>
  </si>
  <si>
    <t>Asia/Pacific - Indian Sub-Continent</t>
  </si>
  <si>
    <t>Europe - Southern Africa</t>
  </si>
  <si>
    <t>FLIGHT EQUIPMENT INSURANCE</t>
  </si>
  <si>
    <t>FLIGHT EQUIPMENT DEPRECIATION</t>
  </si>
  <si>
    <t>F33A</t>
  </si>
  <si>
    <t>F34</t>
  </si>
  <si>
    <t>FREIGHT REVENUES</t>
  </si>
  <si>
    <t>F35</t>
  </si>
  <si>
    <t>MAIL REVENUES</t>
  </si>
  <si>
    <t>F36</t>
  </si>
  <si>
    <t>OTHER REVENUES</t>
  </si>
  <si>
    <t>F37</t>
  </si>
  <si>
    <t>F38</t>
  </si>
  <si>
    <t>FLIGHT DECK CREW</t>
  </si>
  <si>
    <t>F39</t>
  </si>
  <si>
    <t>FUEL AND OIL</t>
  </si>
  <si>
    <t>F310</t>
  </si>
  <si>
    <t>F311</t>
  </si>
  <si>
    <t>F312</t>
  </si>
  <si>
    <t>F313</t>
  </si>
  <si>
    <t>F314</t>
  </si>
  <si>
    <t>F314A</t>
  </si>
  <si>
    <t>F314B</t>
  </si>
  <si>
    <t>F315</t>
  </si>
  <si>
    <t>F315A</t>
  </si>
  <si>
    <t>F315B</t>
  </si>
  <si>
    <t>F317</t>
  </si>
  <si>
    <t>F318</t>
  </si>
  <si>
    <t>CABIN ATTENDANTS</t>
  </si>
  <si>
    <t>F319</t>
  </si>
  <si>
    <t>PASSENGER SERVICE</t>
  </si>
  <si>
    <t>F319A</t>
  </si>
  <si>
    <t>LOAD INSURANCE</t>
  </si>
  <si>
    <t>F320</t>
  </si>
  <si>
    <t>Currency - Country</t>
  </si>
  <si>
    <t>TICKETING, SALES AND PROMOTION</t>
  </si>
  <si>
    <t>F321</t>
  </si>
  <si>
    <t>GENERAL AND ADMINISTRATIVE</t>
  </si>
  <si>
    <t>F323</t>
  </si>
  <si>
    <t>F323A</t>
  </si>
  <si>
    <t>TOTAL COMMISSIONS PAYABLE</t>
  </si>
  <si>
    <t>F323B</t>
  </si>
  <si>
    <t>TOTAL COMMISSIONS RECEIVABLE</t>
  </si>
  <si>
    <t>F323C</t>
  </si>
  <si>
    <t>F327</t>
  </si>
  <si>
    <t>F331</t>
  </si>
  <si>
    <t>F332</t>
  </si>
  <si>
    <t>F333</t>
  </si>
  <si>
    <t>F334</t>
  </si>
  <si>
    <t>F335</t>
  </si>
  <si>
    <t>F336</t>
  </si>
  <si>
    <t>F337</t>
  </si>
  <si>
    <t>F338</t>
  </si>
  <si>
    <t>F341</t>
  </si>
  <si>
    <t>CHECK TOTAL: OPERATING RESULT BEFORE INTEREST</t>
  </si>
  <si>
    <t>Total</t>
  </si>
  <si>
    <t>F342</t>
  </si>
  <si>
    <t>F343</t>
  </si>
  <si>
    <t>F344</t>
  </si>
  <si>
    <t>Contact Information</t>
  </si>
  <si>
    <t>GROUNG OPERATING EXPENSES</t>
  </si>
  <si>
    <t>SYSTEM OPERATING EXPENSES</t>
  </si>
  <si>
    <t>F125</t>
  </si>
  <si>
    <t>F126</t>
  </si>
  <si>
    <t>F127</t>
  </si>
  <si>
    <t>F128</t>
  </si>
  <si>
    <t>F129</t>
  </si>
  <si>
    <t>F130</t>
  </si>
  <si>
    <t>F131</t>
  </si>
  <si>
    <t>F311A</t>
  </si>
  <si>
    <t>F311B</t>
  </si>
  <si>
    <t>F311C</t>
  </si>
  <si>
    <t>F311D</t>
  </si>
  <si>
    <t>F311E</t>
  </si>
  <si>
    <t>F317A</t>
  </si>
  <si>
    <t>F317B</t>
  </si>
  <si>
    <t>F317C</t>
  </si>
  <si>
    <t>F345</t>
  </si>
  <si>
    <t>F346</t>
  </si>
  <si>
    <t>F347</t>
  </si>
  <si>
    <t>F348</t>
  </si>
  <si>
    <t xml:space="preserve">     AIRCRAFT RELATED CHARGES</t>
  </si>
  <si>
    <t xml:space="preserve">     AIRPORT RELATED PASSENGER CHARGES</t>
  </si>
  <si>
    <t>AIRCRAFT RENTALS</t>
  </si>
  <si>
    <t xml:space="preserve">     GROUND CREW</t>
  </si>
  <si>
    <t xml:space="preserve">     FACILITIES</t>
  </si>
  <si>
    <t xml:space="preserve">     OTHER</t>
  </si>
  <si>
    <t xml:space="preserve">      EN-ROUTE CHARGES</t>
  </si>
  <si>
    <t xml:space="preserve">     APPROACH CHARGES</t>
  </si>
  <si>
    <t xml:space="preserve">     BASE MAINTENANCE (HANGAR)</t>
  </si>
  <si>
    <t xml:space="preserve">     ENGINE MAINTENANCE</t>
  </si>
  <si>
    <t xml:space="preserve">     MAINTENANCE ADMINISTRATION (OVERHEAD)</t>
  </si>
  <si>
    <t xml:space="preserve">     LINE MAINTENANCE</t>
  </si>
  <si>
    <t xml:space="preserve">     COMPONENT MAINTENANCE</t>
  </si>
  <si>
    <t>TOTAL EMPLOYMENT COST</t>
  </si>
  <si>
    <t>IT</t>
  </si>
  <si>
    <t>F28</t>
  </si>
  <si>
    <t>F27</t>
  </si>
  <si>
    <t>Class Code</t>
  </si>
  <si>
    <t>Class Name</t>
  </si>
  <si>
    <t>Different classes reported</t>
  </si>
  <si>
    <t>Different classes not reported</t>
  </si>
  <si>
    <t>Only one class</t>
  </si>
  <si>
    <t>NET COMMISSIONS (Payable-Receivable)</t>
  </si>
  <si>
    <t>IT AND COMMUNICATIONS</t>
  </si>
  <si>
    <t>Total assets (row 15) should equal total capital and liabilities (row 20)</t>
  </si>
  <si>
    <t>AR</t>
  </si>
  <si>
    <t>AT</t>
  </si>
  <si>
    <t>Royal Air Maroc</t>
  </si>
  <si>
    <t>AU</t>
  </si>
  <si>
    <t>AV</t>
  </si>
  <si>
    <t>AW</t>
  </si>
  <si>
    <t>ENIMEX</t>
  </si>
  <si>
    <t>AX</t>
  </si>
  <si>
    <t>Trans States Airlines</t>
  </si>
  <si>
    <t>AY</t>
  </si>
  <si>
    <t>Route list</t>
  </si>
  <si>
    <t>AM - Africa - Middle East</t>
  </si>
  <si>
    <t>AS - Africa  - Southwest Pacific</t>
  </si>
  <si>
    <t>CS - Central America - South America</t>
  </si>
  <si>
    <t>DO - Domestic</t>
  </si>
  <si>
    <t>EM - Europe - Middle East</t>
  </si>
  <si>
    <t>EP - Europe - Southwest Pacific</t>
  </si>
  <si>
    <t>LA - Within Africa</t>
  </si>
  <si>
    <t>LC - Within Central America</t>
  </si>
  <si>
    <t>LM - Within Middle East</t>
  </si>
  <si>
    <t>LN - Within North America</t>
  </si>
  <si>
    <t>LP - Within Southwest Pacific</t>
  </si>
  <si>
    <t>Should you have any questions regarding this form, please contact us at:</t>
  </si>
  <si>
    <t>Average remuneration per employee is normally between 5,000 and 120,000 US Dollars</t>
  </si>
  <si>
    <t>MAINTENANCE AND OVERHAUL (Sum of the 5 items above)</t>
  </si>
  <si>
    <t>AIRLINE OPERATIONAL COST TASK FORCE INPUT - FORM 3</t>
  </si>
  <si>
    <t>Reporting Unit</t>
  </si>
  <si>
    <t>M</t>
  </si>
  <si>
    <t>Step 0: Please Enable Macros</t>
  </si>
  <si>
    <t>Data Collection Year</t>
  </si>
  <si>
    <t>AIR NAVIGATION CHARGES (Sum of the 2 items above)</t>
  </si>
  <si>
    <t>AIRPORT CHARGES (Sum of the 2 items above)</t>
  </si>
  <si>
    <t>STATION AND GROUND (Sum of the 3 items above)</t>
  </si>
  <si>
    <t xml:space="preserve">TOTAL NUMBER OF AIRCRAFT (Sum of the 2 items above) </t>
  </si>
  <si>
    <t>TOTAL NUMBER OF EMPLOYEES (Sum of the 7 items above)</t>
  </si>
  <si>
    <t xml:space="preserve">     CASH AND BANK DEPOSITS</t>
  </si>
  <si>
    <t xml:space="preserve">     INVENTORY</t>
  </si>
  <si>
    <t xml:space="preserve">     OTHER CURRENT ASSETS</t>
  </si>
  <si>
    <t xml:space="preserve">     LONG TERM ASSETS</t>
  </si>
  <si>
    <t xml:space="preserve">     NET FIXED ASSETS</t>
  </si>
  <si>
    <t xml:space="preserve">     OTHER ASSETS</t>
  </si>
  <si>
    <t xml:space="preserve">     CURRENT LIABILITIES</t>
  </si>
  <si>
    <t xml:space="preserve">     LONG TERM LIABILITIES</t>
  </si>
  <si>
    <t xml:space="preserve">     OTHER LIABILITIES</t>
  </si>
  <si>
    <t xml:space="preserve">     STOCKHOLDERS EQUITY</t>
  </si>
  <si>
    <t>AIRLINE OPERATIONAL COST TASK FORCE - INPUT FORM 1</t>
  </si>
  <si>
    <t>Exchange Rate Input</t>
  </si>
  <si>
    <t>IATA</t>
  </si>
  <si>
    <t>USER</t>
  </si>
  <si>
    <t>Item</t>
  </si>
  <si>
    <t>Value</t>
  </si>
  <si>
    <t>Description</t>
  </si>
  <si>
    <t>Form</t>
  </si>
  <si>
    <t>&gt;=</t>
  </si>
  <si>
    <t>&lt;=</t>
  </si>
  <si>
    <t>Criteria</t>
  </si>
  <si>
    <t>Pax. Load Factor [%]</t>
  </si>
  <si>
    <t>Weight Load Factor [%]</t>
  </si>
  <si>
    <t>&gt;</t>
  </si>
  <si>
    <t>&lt;</t>
  </si>
  <si>
    <t>Data Check Dashboard</t>
  </si>
  <si>
    <t>Reporting Currency:</t>
  </si>
  <si>
    <t>FLIGHT OPERATING EXPENSES (Sum of 6 items above)</t>
  </si>
  <si>
    <t>TOTAL OPERATING EXPENSES (Sum of Flight, Ground, System Ops. $)</t>
  </si>
  <si>
    <t>TOTAL OPERATING REVENUES (Sum of 4 items above)</t>
  </si>
  <si>
    <t>Algeria</t>
  </si>
  <si>
    <t>Angola</t>
  </si>
  <si>
    <t>Anguilla</t>
  </si>
  <si>
    <t>Antigua and Barbuda</t>
  </si>
  <si>
    <t>Australia</t>
  </si>
  <si>
    <t>Bahamas, The</t>
  </si>
  <si>
    <t>Bangladesh</t>
  </si>
  <si>
    <t>Barbados</t>
  </si>
  <si>
    <t>Belize</t>
  </si>
  <si>
    <t>Benin</t>
  </si>
  <si>
    <t>Bermuda</t>
  </si>
  <si>
    <t>Bhutan</t>
  </si>
  <si>
    <t>Bolivia</t>
  </si>
  <si>
    <t>Botswana</t>
  </si>
  <si>
    <t>Brunei Darussalam</t>
  </si>
  <si>
    <t>Bulgaria</t>
  </si>
  <si>
    <t>Burkina Faso</t>
  </si>
  <si>
    <t>Burundi</t>
  </si>
  <si>
    <t>Cambodia</t>
  </si>
  <si>
    <t>Cameroon</t>
  </si>
  <si>
    <t>Canada</t>
  </si>
  <si>
    <t>Cape Verde</t>
  </si>
  <si>
    <t>Cayman Islands</t>
  </si>
  <si>
    <t>Chad</t>
  </si>
  <si>
    <t>China,P.R.:Macao</t>
  </si>
  <si>
    <t>Comoros</t>
  </si>
  <si>
    <t>Costa Rica</t>
  </si>
  <si>
    <t>Côte d'Ivoire</t>
  </si>
  <si>
    <t>Cyprus</t>
  </si>
  <si>
    <t>Denmark</t>
  </si>
  <si>
    <t>Djibouti</t>
  </si>
  <si>
    <t>Dominica</t>
  </si>
  <si>
    <t>Egypt</t>
  </si>
  <si>
    <t>El Salvador</t>
  </si>
  <si>
    <t>Equatorial Guinea</t>
  </si>
  <si>
    <t>Estonia</t>
  </si>
  <si>
    <t>Ethiopia</t>
  </si>
  <si>
    <t>Falkland Islands</t>
  </si>
  <si>
    <t>Fiji</t>
  </si>
  <si>
    <t>Gabon</t>
  </si>
  <si>
    <t>Gambia, The</t>
  </si>
  <si>
    <t>Georgia</t>
  </si>
  <si>
    <t>Ghana</t>
  </si>
  <si>
    <t>Gibraltar</t>
  </si>
  <si>
    <t>Grenada</t>
  </si>
  <si>
    <t>Guatemala</t>
  </si>
  <si>
    <t>Guiana, French</t>
  </si>
  <si>
    <t>Guinea</t>
  </si>
  <si>
    <t>Guinea-Bissau</t>
  </si>
  <si>
    <t>Guyana</t>
  </si>
  <si>
    <t>Haiti</t>
  </si>
  <si>
    <t>Honduras</t>
  </si>
  <si>
    <t>Hungary</t>
  </si>
  <si>
    <t>Iceland</t>
  </si>
  <si>
    <t>Indonesia</t>
  </si>
  <si>
    <t>Iraq</t>
  </si>
  <si>
    <t>Israel</t>
  </si>
  <si>
    <t>Jamaica</t>
  </si>
  <si>
    <t>Japan</t>
  </si>
  <si>
    <t>Kazakhstan</t>
  </si>
  <si>
    <t>Kenya</t>
  </si>
  <si>
    <t>Kiribati</t>
  </si>
  <si>
    <t>Kyrgyz Republic</t>
  </si>
  <si>
    <t>Latvia</t>
  </si>
  <si>
    <t>Lebanon</t>
  </si>
  <si>
    <t>Lesotho</t>
  </si>
  <si>
    <t>Liberia</t>
  </si>
  <si>
    <t>Libya</t>
  </si>
  <si>
    <t>Lithuania</t>
  </si>
  <si>
    <t>Malawi</t>
  </si>
  <si>
    <t>Malaysia</t>
  </si>
  <si>
    <t>Maldives</t>
  </si>
  <si>
    <t>Mali</t>
  </si>
  <si>
    <t>Malta</t>
  </si>
  <si>
    <t>Mauritania</t>
  </si>
  <si>
    <t>Moldova</t>
  </si>
  <si>
    <t>Mongolia</t>
  </si>
  <si>
    <t>Montserrat</t>
  </si>
  <si>
    <t>Morocco</t>
  </si>
  <si>
    <t>Mozambique</t>
  </si>
  <si>
    <t>Myanmar</t>
  </si>
  <si>
    <t>Namibia</t>
  </si>
  <si>
    <t>Nauru</t>
  </si>
  <si>
    <t>New Zealand</t>
  </si>
  <si>
    <t>Nicaragua</t>
  </si>
  <si>
    <t>Niger</t>
  </si>
  <si>
    <t>Nigeria</t>
  </si>
  <si>
    <t>Oman</t>
  </si>
  <si>
    <t>Panama</t>
  </si>
  <si>
    <t>Papua New Guinea</t>
  </si>
  <si>
    <t>Paraguay</t>
  </si>
  <si>
    <t>Poland</t>
  </si>
  <si>
    <t>Rwanda</t>
  </si>
  <si>
    <t>Sierra Leone</t>
  </si>
  <si>
    <t>Singapore</t>
  </si>
  <si>
    <t>Slovak Republic</t>
  </si>
  <si>
    <t>Solomon Islands</t>
  </si>
  <si>
    <t>Somalia</t>
  </si>
  <si>
    <t>South Africa</t>
  </si>
  <si>
    <t>St. Helena</t>
  </si>
  <si>
    <t>St. Kitts and Nevis</t>
  </si>
  <si>
    <t>St. Lucia</t>
  </si>
  <si>
    <t>Swaziland</t>
  </si>
  <si>
    <t>Switzerland</t>
  </si>
  <si>
    <t>Tanzania</t>
  </si>
  <si>
    <t>Timor</t>
  </si>
  <si>
    <t>Togo</t>
  </si>
  <si>
    <t>Tonga</t>
  </si>
  <si>
    <t>Turkmenistan</t>
  </si>
  <si>
    <t>Uganda</t>
  </si>
  <si>
    <t>United Kingdom</t>
  </si>
  <si>
    <t>Uzbekistan</t>
  </si>
  <si>
    <t>Vanuatu</t>
  </si>
  <si>
    <t>Zimbabwe</t>
  </si>
  <si>
    <t>Inequality Symbol GT</t>
  </si>
  <si>
    <t>Inequality Symbol LT</t>
  </si>
  <si>
    <t>CHECKS: PLEASE CHECK AND AMEND IF NECESSARY</t>
  </si>
  <si>
    <t>Total Operating Revenues/Expenses matches in Forms 1, 2 and 3</t>
  </si>
  <si>
    <t>Simplified Aircraft Types</t>
  </si>
  <si>
    <r>
      <t xml:space="preserve">REVENUE PASSENGER-KMS - TOTAL </t>
    </r>
    <r>
      <rPr>
        <b/>
        <sz val="8"/>
        <color indexed="10"/>
        <rFont val="Arial"/>
        <family val="2"/>
      </rPr>
      <t>(THOUSANDS)</t>
    </r>
  </si>
  <si>
    <t>PASSENGER REVENUES</t>
  </si>
  <si>
    <t>Airline</t>
  </si>
  <si>
    <t>Airline - Airline</t>
  </si>
  <si>
    <t>A300</t>
  </si>
  <si>
    <t>A300-B2/B4/C4</t>
  </si>
  <si>
    <t>A310</t>
  </si>
  <si>
    <t>A320 Family</t>
  </si>
  <si>
    <t>A330</t>
  </si>
  <si>
    <t>A340</t>
  </si>
  <si>
    <t>BAC 111</t>
  </si>
  <si>
    <t>B707/720-B</t>
  </si>
  <si>
    <t>B707</t>
  </si>
  <si>
    <t>A300-C4/F4/600F</t>
  </si>
  <si>
    <t>A380</t>
  </si>
  <si>
    <t>A380F</t>
  </si>
  <si>
    <t>B720-B</t>
  </si>
  <si>
    <t>B707 Mixed</t>
  </si>
  <si>
    <t>B707F</t>
  </si>
  <si>
    <t>B717</t>
  </si>
  <si>
    <t>B727</t>
  </si>
  <si>
    <t>B727-100</t>
  </si>
  <si>
    <t>B727-200</t>
  </si>
  <si>
    <t>B727-100 Mixed</t>
  </si>
  <si>
    <t>B727F</t>
  </si>
  <si>
    <t>B737</t>
  </si>
  <si>
    <t>B737-100</t>
  </si>
  <si>
    <t>B737-200</t>
  </si>
  <si>
    <t>B737-200 Adv. Pax.</t>
  </si>
  <si>
    <t>B727-200 Adv. Pax.</t>
  </si>
  <si>
    <t>B737-300</t>
  </si>
  <si>
    <t>B737-400</t>
  </si>
  <si>
    <t>B737-500</t>
  </si>
  <si>
    <t>B737-600</t>
  </si>
  <si>
    <t>B737-700</t>
  </si>
  <si>
    <t>B737-800</t>
  </si>
  <si>
    <t>B737-900</t>
  </si>
  <si>
    <t>B737-200 Mixed</t>
  </si>
  <si>
    <t>B737F</t>
  </si>
  <si>
    <t>B747</t>
  </si>
  <si>
    <t>B747-100</t>
  </si>
  <si>
    <t>B747-200</t>
  </si>
  <si>
    <t>B747-300</t>
  </si>
  <si>
    <t>B747-400</t>
  </si>
  <si>
    <t>B747SP</t>
  </si>
  <si>
    <t>B747SR</t>
  </si>
  <si>
    <t>B747 Mixed</t>
  </si>
  <si>
    <t>B747-200 Mixed</t>
  </si>
  <si>
    <t>B747-300 Mixed</t>
  </si>
  <si>
    <t>B747-400 Mixed</t>
  </si>
  <si>
    <t>B747F</t>
  </si>
  <si>
    <t>B747-100/200/747SR F</t>
  </si>
  <si>
    <t>B747-400F</t>
  </si>
  <si>
    <t>B757</t>
  </si>
  <si>
    <t>B757-200</t>
  </si>
  <si>
    <t>B757-300</t>
  </si>
  <si>
    <t>B757F</t>
  </si>
  <si>
    <t>B767</t>
  </si>
  <si>
    <t>B767-200</t>
  </si>
  <si>
    <t>B767-300</t>
  </si>
  <si>
    <t>B767-400</t>
  </si>
  <si>
    <t>B767F</t>
  </si>
  <si>
    <t>B777</t>
  </si>
  <si>
    <t>B777-200</t>
  </si>
  <si>
    <t>B777-300</t>
  </si>
  <si>
    <t>BAe 146</t>
  </si>
  <si>
    <t>BAe 748</t>
  </si>
  <si>
    <t>BAe Adv. TP</t>
  </si>
  <si>
    <t>Dash 8</t>
  </si>
  <si>
    <t>F27/Fh 227</t>
  </si>
  <si>
    <t>L 1011</t>
  </si>
  <si>
    <t>DC-3F</t>
  </si>
  <si>
    <t>DC-3</t>
  </si>
  <si>
    <t>DC-6A/B</t>
  </si>
  <si>
    <t>DC-6A/B/C F</t>
  </si>
  <si>
    <t>DC 8F</t>
  </si>
  <si>
    <t>DC 8</t>
  </si>
  <si>
    <t>DC 9F</t>
  </si>
  <si>
    <t>DC 9</t>
  </si>
  <si>
    <t>DC 10F</t>
  </si>
  <si>
    <t>DC 10</t>
  </si>
  <si>
    <t>DC 10 10/15</t>
  </si>
  <si>
    <t>DC 10 30/40</t>
  </si>
  <si>
    <t>MD-11</t>
  </si>
  <si>
    <t>MD-11F</t>
  </si>
  <si>
    <t>MD-80</t>
  </si>
  <si>
    <t>MD 90</t>
  </si>
  <si>
    <t>To add an aircraft type: select from the drop-down list on row 7.</t>
  </si>
  <si>
    <t xml:space="preserve">     FLIGHT DECK CREW</t>
  </si>
  <si>
    <t xml:space="preserve">     MAINTENANCE AND OVERHAUL</t>
  </si>
  <si>
    <t xml:space="preserve">     STATION AND GROUND CREW</t>
  </si>
  <si>
    <t xml:space="preserve">     CABIN ATTENDANTS</t>
  </si>
  <si>
    <t xml:space="preserve">     PASSENGER SERVICES</t>
  </si>
  <si>
    <t xml:space="preserve">     TICKETING, SALES AND PROMOTION</t>
  </si>
  <si>
    <t xml:space="preserve">     GENERAL AND ADMINISTRATIVE</t>
  </si>
  <si>
    <t>REVENUE PASSENGERS CARRIED</t>
  </si>
  <si>
    <r>
      <t xml:space="preserve">AVAILABLE SEAT-KMS - TOTAL </t>
    </r>
    <r>
      <rPr>
        <b/>
        <sz val="8"/>
        <color indexed="10"/>
        <rFont val="Arial"/>
        <family val="2"/>
      </rPr>
      <t>(THOUSANDS)</t>
    </r>
  </si>
  <si>
    <r>
      <t xml:space="preserve">REVENUE TONNE-KMS - PASSENGER - incl. Baggage </t>
    </r>
    <r>
      <rPr>
        <b/>
        <sz val="8"/>
        <color indexed="10"/>
        <rFont val="Arial"/>
        <family val="2"/>
      </rPr>
      <t>(THOUSANDS)</t>
    </r>
  </si>
  <si>
    <r>
      <t xml:space="preserve">REVENUE TONNE-KMS - FREIGHT </t>
    </r>
    <r>
      <rPr>
        <b/>
        <sz val="8"/>
        <color indexed="10"/>
        <rFont val="Arial"/>
        <family val="2"/>
      </rPr>
      <t>(THOUSANDS)</t>
    </r>
  </si>
  <si>
    <r>
      <t xml:space="preserve">REVENUE TONNE-KMS - MAIL </t>
    </r>
    <r>
      <rPr>
        <b/>
        <sz val="8"/>
        <color indexed="10"/>
        <rFont val="Arial"/>
        <family val="2"/>
      </rPr>
      <t>(THOUSANDS)</t>
    </r>
  </si>
  <si>
    <r>
      <t xml:space="preserve">REVENUE TONNE-KMS - TOTAL </t>
    </r>
    <r>
      <rPr>
        <b/>
        <sz val="8"/>
        <color indexed="10"/>
        <rFont val="Arial"/>
        <family val="2"/>
      </rPr>
      <t>(THOUSANDS)</t>
    </r>
  </si>
  <si>
    <r>
      <t xml:space="preserve">AVAILABLE TONNE-KMS - CARGO </t>
    </r>
    <r>
      <rPr>
        <b/>
        <sz val="8"/>
        <color indexed="10"/>
        <rFont val="Arial"/>
        <family val="2"/>
      </rPr>
      <t>(THOUSANDS)</t>
    </r>
  </si>
  <si>
    <r>
      <t xml:space="preserve">AVAILABLE TONNE-KMS - TOTAL </t>
    </r>
    <r>
      <rPr>
        <b/>
        <sz val="8"/>
        <color indexed="10"/>
        <rFont val="Arial"/>
        <family val="2"/>
      </rPr>
      <t>(THOUSANDS)</t>
    </r>
  </si>
  <si>
    <r>
      <t>AIRCRAFT LANDINGS</t>
    </r>
    <r>
      <rPr>
        <b/>
        <sz val="8"/>
        <rFont val="Arial"/>
        <family val="2"/>
      </rPr>
      <t/>
    </r>
  </si>
  <si>
    <t xml:space="preserve">AIRCRAFT BLOCK HOURS </t>
  </si>
  <si>
    <t xml:space="preserve">AIRCRAFT FLIGHT HOURS </t>
  </si>
  <si>
    <r>
      <t>AVERAGE AIRCRAFT DAILY UTILIZATION (Hours per day</t>
    </r>
    <r>
      <rPr>
        <b/>
        <sz val="8"/>
        <rFont val="Arial"/>
        <family val="2"/>
      </rPr>
      <t>)</t>
    </r>
  </si>
  <si>
    <t>AVERAGE FLEET AGE  (Years)</t>
  </si>
  <si>
    <t>AIRCRAFT LANDINGS</t>
  </si>
  <si>
    <t>AIRCRAFT BLOCK HOURS</t>
  </si>
  <si>
    <t>AIRCRAFT FLIGHT HOURS</t>
  </si>
  <si>
    <t>FUEL CONSUMPTION (Kg)</t>
  </si>
  <si>
    <r>
      <t>FUEL PRICE (</t>
    </r>
    <r>
      <rPr>
        <b/>
        <sz val="8"/>
        <color indexed="10"/>
        <rFont val="Arial"/>
        <family val="2"/>
      </rPr>
      <t>US Dollars per kg)</t>
    </r>
  </si>
  <si>
    <t>EXAMPLE</t>
  </si>
  <si>
    <t>Average Fuel Price [US Cents/Kg]</t>
  </si>
  <si>
    <t>* Prepare the input form for another year.</t>
  </si>
  <si>
    <t>When the new year is selected in C10, the form is set up for the year.</t>
  </si>
  <si>
    <t>Select Data Collection Year:</t>
  </si>
  <si>
    <t>Check Data Quality - Individual Form</t>
  </si>
  <si>
    <t>EMB-145</t>
  </si>
  <si>
    <r>
      <t xml:space="preserve">EMB-145 </t>
    </r>
    <r>
      <rPr>
        <sz val="10"/>
        <color indexed="10"/>
        <rFont val="Arial"/>
        <family val="2"/>
      </rPr>
      <t>Amazon</t>
    </r>
  </si>
  <si>
    <t>Short 330/360</t>
  </si>
  <si>
    <r>
      <t>Short</t>
    </r>
    <r>
      <rPr>
        <sz val="10"/>
        <color indexed="10"/>
        <rFont val="Arial"/>
        <family val="2"/>
      </rPr>
      <t>s</t>
    </r>
    <r>
      <rPr>
        <sz val="10"/>
        <rFont val="Arial"/>
        <family val="2"/>
      </rPr>
      <t xml:space="preserve"> 330/360</t>
    </r>
  </si>
  <si>
    <t>Use dropdown list to select Route in yellow cells</t>
  </si>
  <si>
    <t>Use dropdown list to select Aircraft Type in yellow cells</t>
  </si>
  <si>
    <t>B747-100/200/SRF</t>
  </si>
  <si>
    <r>
      <t>- Please complete in '</t>
    </r>
    <r>
      <rPr>
        <sz val="10"/>
        <color indexed="10"/>
        <rFont val="Arial"/>
        <family val="2"/>
      </rPr>
      <t>NUMBERS</t>
    </r>
    <r>
      <rPr>
        <sz val="10"/>
        <rFont val="Arial"/>
        <family val="2"/>
      </rPr>
      <t>' unit, unless specified in '</t>
    </r>
    <r>
      <rPr>
        <sz val="10"/>
        <color indexed="10"/>
        <rFont val="Arial"/>
        <family val="2"/>
      </rPr>
      <t>THOUSANDS</t>
    </r>
    <r>
      <rPr>
        <sz val="10"/>
        <rFont val="Arial"/>
        <family val="2"/>
      </rPr>
      <t>'.</t>
    </r>
  </si>
  <si>
    <t>To obtain more information or assistance, do not hesitate to contact us:</t>
  </si>
  <si>
    <r>
      <t xml:space="preserve">1. </t>
    </r>
    <r>
      <rPr>
        <b/>
        <sz val="10"/>
        <color indexed="30"/>
        <rFont val="Arial"/>
        <family val="2"/>
      </rPr>
      <t>[Front Sheet]</t>
    </r>
    <r>
      <rPr>
        <sz val="10"/>
        <rFont val="Arial"/>
        <family val="2"/>
      </rPr>
      <t xml:space="preserve">: </t>
    </r>
  </si>
  <si>
    <r>
      <t>How to fill out the form</t>
    </r>
    <r>
      <rPr>
        <b/>
        <sz val="12"/>
        <color indexed="17"/>
        <rFont val="Arial"/>
        <family val="2"/>
      </rPr>
      <t>:</t>
    </r>
  </si>
  <si>
    <r>
      <t>How to check accuracy of the data</t>
    </r>
    <r>
      <rPr>
        <b/>
        <sz val="12"/>
        <color indexed="17"/>
        <rFont val="Arial"/>
        <family val="2"/>
      </rPr>
      <t>:</t>
    </r>
  </si>
  <si>
    <r>
      <t>Contact</t>
    </r>
    <r>
      <rPr>
        <b/>
        <sz val="12"/>
        <color indexed="17"/>
        <rFont val="Arial"/>
        <family val="2"/>
      </rPr>
      <t>:</t>
    </r>
  </si>
  <si>
    <t xml:space="preserve">INTRODUCTION </t>
  </si>
  <si>
    <r>
      <t xml:space="preserve">- Please report cost data in </t>
    </r>
    <r>
      <rPr>
        <b/>
        <sz val="10"/>
        <color indexed="10"/>
        <rFont val="Arial"/>
        <family val="2"/>
      </rPr>
      <t>USD</t>
    </r>
    <r>
      <rPr>
        <sz val="10"/>
        <rFont val="Arial"/>
        <family val="2"/>
      </rPr>
      <t>.</t>
    </r>
  </si>
  <si>
    <t xml:space="preserve">Between 40% and 90%. </t>
  </si>
  <si>
    <t>NUMBER of REVENUE PASSENGERS CARRIED</t>
  </si>
  <si>
    <t>Add Aircraft Type ZZZ - Joint Services/Blocked Space</t>
  </si>
  <si>
    <t>NUMBER OF EMPLOYEES</t>
  </si>
  <si>
    <t>DIVISION</t>
  </si>
  <si>
    <t>- Hover over red triangles on the right corner of the cells (Comments marker) to see definitions of terms.</t>
  </si>
  <si>
    <t>TOTAL SALARIES AND COMPENSATIONS</t>
  </si>
  <si>
    <r>
      <t xml:space="preserve">3. </t>
    </r>
    <r>
      <rPr>
        <b/>
        <sz val="10"/>
        <color indexed="30"/>
        <rFont val="Arial"/>
        <family val="2"/>
      </rPr>
      <t>[Form 2]</t>
    </r>
    <r>
      <rPr>
        <sz val="10"/>
        <rFont val="Arial"/>
        <family val="2"/>
      </rPr>
      <t>:</t>
    </r>
  </si>
  <si>
    <r>
      <t xml:space="preserve">2. </t>
    </r>
    <r>
      <rPr>
        <sz val="10"/>
        <color indexed="30"/>
        <rFont val="Arial"/>
        <family val="2"/>
      </rPr>
      <t>[</t>
    </r>
    <r>
      <rPr>
        <b/>
        <sz val="10"/>
        <color indexed="30"/>
        <rFont val="Arial"/>
        <family val="2"/>
      </rPr>
      <t>Form 1]:</t>
    </r>
  </si>
  <si>
    <t xml:space="preserve">AIR NAVIGATION CHARGES </t>
  </si>
  <si>
    <t>FORM 1</t>
  </si>
  <si>
    <t xml:space="preserve">     RESERVATIONS, TICKETING, SALES AND PROMOTION</t>
  </si>
  <si>
    <t>RESERVATION, TICKETING, SALES AND PROMOTION</t>
  </si>
  <si>
    <t xml:space="preserve">Between 30 and 120. </t>
  </si>
  <si>
    <t>NON-OPERATING REVENUE AND EXPENSES</t>
  </si>
  <si>
    <t>TOTAL AIRLINE STAFF</t>
  </si>
  <si>
    <t>TOTAL DUTY HOURS PER YEAR</t>
  </si>
  <si>
    <t>B787</t>
  </si>
  <si>
    <t>Beechcraft 1900</t>
  </si>
  <si>
    <t>B19</t>
  </si>
  <si>
    <t>B777F</t>
  </si>
  <si>
    <t>B777 Freighter (All Series)</t>
  </si>
  <si>
    <t>77F</t>
  </si>
  <si>
    <t>E95</t>
  </si>
  <si>
    <t>EMB-195</t>
  </si>
  <si>
    <t>B747-8 Passenger</t>
  </si>
  <si>
    <t>B747-8</t>
  </si>
  <si>
    <t>AIRLINE COST MANAGEMENT GROUP</t>
  </si>
  <si>
    <t>acmg@iata.org</t>
  </si>
  <si>
    <t>AIRLINE COST MANAGEMENT GROUP
AIRLINE REVENUE &amp;  EMPLOYMENT COST</t>
  </si>
  <si>
    <t>AIRLINE COST MANAGEMENT GROUP INPUT - FORM 2</t>
  </si>
  <si>
    <t>Email1:</t>
  </si>
  <si>
    <t>Email2:</t>
  </si>
  <si>
    <t>Email3:</t>
  </si>
  <si>
    <t>Email4:</t>
  </si>
  <si>
    <t>Total Operating Expenses/FH (USD)</t>
  </si>
  <si>
    <t>Fuel Share of Total Ops. Expenses</t>
  </si>
  <si>
    <t>Total Ops Expenses without Fuel/ASK (US Cents)</t>
  </si>
  <si>
    <t>Passenger Load Factor (PLF)</t>
  </si>
  <si>
    <t>Weight Load Factor (WLF)</t>
  </si>
  <si>
    <t>Daily Utilization (Hours)</t>
  </si>
  <si>
    <t>Average Fleet Age (Years)</t>
  </si>
  <si>
    <t>Difference</t>
  </si>
  <si>
    <t>Airline Name:</t>
  </si>
  <si>
    <t>Your Airline</t>
  </si>
  <si>
    <t>Fuel and Oil</t>
  </si>
  <si>
    <t>Maintenance and Overhaul</t>
  </si>
  <si>
    <t>General and Administrative</t>
  </si>
  <si>
    <t>Flight Deck Crew</t>
  </si>
  <si>
    <t>Reservation, Ticketing, Sales and Promotion</t>
  </si>
  <si>
    <t>Station and Ground</t>
  </si>
  <si>
    <t>Aircraft Ownership</t>
  </si>
  <si>
    <t>Airport Charges</t>
  </si>
  <si>
    <t>Cabin Attendants</t>
  </si>
  <si>
    <t>Air Navigation Charges</t>
  </si>
  <si>
    <t>Cost Structure</t>
  </si>
  <si>
    <t>Flight Operating Expenses</t>
  </si>
  <si>
    <t xml:space="preserve">Ground Operating Expenses </t>
  </si>
  <si>
    <t>System Operating Expenses</t>
  </si>
  <si>
    <t>Traffic/Capacity</t>
  </si>
  <si>
    <t>Operational Data</t>
  </si>
  <si>
    <t>Operational Performance</t>
  </si>
  <si>
    <t>of Total Airline Operating Revenue</t>
  </si>
  <si>
    <t>represents</t>
  </si>
  <si>
    <t>Your colleagues will also benefit from the results of this study and will appreciate your efforts!</t>
  </si>
  <si>
    <t>The more airlines involved, the more elaborated benchmarking for everyone! Thanks</t>
  </si>
  <si>
    <t>MISCONNECTION RATE</t>
  </si>
  <si>
    <t>D15 reported flights should include D0 flights, and D180 should include D15.</t>
  </si>
  <si>
    <r>
      <rPr>
        <b/>
        <i/>
        <sz val="10"/>
        <rFont val="Arial"/>
        <family val="2"/>
      </rPr>
      <t>Disclosure:</t>
    </r>
    <r>
      <rPr>
        <i/>
        <sz val="10"/>
        <rFont val="Arial"/>
        <family val="2"/>
      </rPr>
      <t xml:space="preserve"> Please note this comparison is to inspire discussions around the cost drivers and cost elements related to airline/aircraft operations. It is meant for airlines to see where they are relatively to their peers and explain potential differences in cost structures. 
It is not meant to derive direct cost comparisons. Every airline operates in a unique environment not only in terms of geographic location, network schedule, and fleet types. Elements such as aircraft age, fleet size, proximity to major OEMs, currency exchange rates, and many other parameters play a very significant role, making direct comparisons unreal.</t>
    </r>
  </si>
  <si>
    <t>On-time Arrival Validity</t>
  </si>
  <si>
    <t>On-time Departure Validity</t>
  </si>
  <si>
    <t>A15 reported flights should include A0 flights, and A180 should include A15.</t>
  </si>
  <si>
    <t>* Please fill in Airline Information and provide as many relevant contacts as possible</t>
  </si>
  <si>
    <t>* Please provide detailed (per aircraft type) information in all categories. Use dropdown list to select 'Aircraft Type' as column title (yellow cells in row 7). If only airline level data are available, please select 'Airline' as the aircraft type. As you will see there is some data to be reported on an airline level only, namely System Operating Expenses and Operational Performance data.</t>
  </si>
  <si>
    <r>
      <t xml:space="preserve">- </t>
    </r>
    <r>
      <rPr>
        <b/>
        <sz val="10"/>
        <color indexed="10"/>
        <rFont val="Arial"/>
        <family val="2"/>
      </rPr>
      <t>RED</t>
    </r>
    <r>
      <rPr>
        <sz val="10"/>
        <rFont val="Arial"/>
        <family val="2"/>
      </rPr>
      <t xml:space="preserve"> means data is out of the range and may be inaccurate; therefore you should double-check and revise your entries</t>
    </r>
  </si>
  <si>
    <t xml:space="preserve">If only airline level data are available, please select 'Airline' as the aircraft type. </t>
  </si>
  <si>
    <t>As you will see there is some data to be reported on an airline level only, namely System Operating Expenses and Operational Performance data.</t>
  </si>
  <si>
    <t>We thank you for participating in this year's collection!</t>
  </si>
  <si>
    <t>Airline information: complete the cells in white.</t>
  </si>
  <si>
    <t>Strategic KPIs Comparison</t>
  </si>
  <si>
    <t>US Cents/ATK</t>
  </si>
  <si>
    <t>Total $</t>
  </si>
  <si>
    <t>US Cents/ATK Difference</t>
  </si>
  <si>
    <t>All cost categories need to be provided.</t>
  </si>
  <si>
    <t>Cost Structure Validity</t>
  </si>
  <si>
    <t>FLIGHT EQUIPMENT DEPRECIATION AND AMORTIZATION</t>
  </si>
  <si>
    <t xml:space="preserve">   </t>
  </si>
  <si>
    <t xml:space="preserve">       PASSENGER REVENUES - TICKET SALES</t>
  </si>
  <si>
    <t xml:space="preserve">       PASSENGER REVENUES - ANCILLARY REVENUE</t>
  </si>
  <si>
    <t xml:space="preserve">       CARGO REVENUES</t>
  </si>
  <si>
    <t>TOTAL AIRLINE OPERATING REVENUE (core transport activities)</t>
  </si>
  <si>
    <t>TOTAL CREW BLOCK HOURS PER YEAR</t>
  </si>
  <si>
    <t>3-letter ICAO Code:</t>
  </si>
  <si>
    <t xml:space="preserve">       OTHER OPERATING REVENUES (incidental and miscellaneous)</t>
  </si>
  <si>
    <t xml:space="preserve">          FINANCE</t>
  </si>
  <si>
    <t xml:space="preserve">          HUMAN RESOURCES</t>
  </si>
  <si>
    <t xml:space="preserve">     IT AND COMMUNICATIONS</t>
  </si>
  <si>
    <t>MISHANDLED BAGS RATE</t>
  </si>
  <si>
    <t>A350</t>
  </si>
  <si>
    <t>A350 (All Series)</t>
  </si>
  <si>
    <t xml:space="preserve">          PROCUREMENT</t>
  </si>
  <si>
    <t xml:space="preserve">          OTHER</t>
  </si>
  <si>
    <t>INCIDENTAL TRANSPORT-RELATED OPERATING EXPENSES (associated with OTHER OPERATING REVENUES reported in Form 1)</t>
  </si>
  <si>
    <t>TOTAL FLIGHT CANCELLATIONS</t>
  </si>
  <si>
    <t>ON-TIME PERFORMANCE (Departure)</t>
  </si>
  <si>
    <t>ON-TIME PERFORMANCE (Arrival)</t>
  </si>
  <si>
    <r>
      <rPr>
        <b/>
        <sz val="10"/>
        <rFont val="Arial"/>
        <family val="2"/>
      </rPr>
      <t>Reporting currency</t>
    </r>
    <r>
      <rPr>
        <sz val="10"/>
        <rFont val="Arial"/>
        <family val="2"/>
      </rPr>
      <t>: Please report all financial data in USD.</t>
    </r>
  </si>
  <si>
    <t>AirlineBusinessModel</t>
  </si>
  <si>
    <t>Full-Service Carrier</t>
  </si>
  <si>
    <t>Low-Cost Carrier</t>
  </si>
  <si>
    <t>Cargo Carrier</t>
  </si>
  <si>
    <t>Other</t>
  </si>
  <si>
    <t>Charter Carrier</t>
  </si>
  <si>
    <t>Enter business model here if 'Other' is selected</t>
  </si>
  <si>
    <t>Business Model:</t>
  </si>
  <si>
    <t>GENERAL AND ADMINISTRATIVE (Sum of the 4 items above)</t>
  </si>
  <si>
    <t>*Please report the total values for the airline's core air transport services</t>
  </si>
  <si>
    <t>TOTAL OPERATING EXPENSES
(Sum of Flight, Ground and System totals)</t>
  </si>
  <si>
    <t>AIRLINE OPERATING MARGIN (core transport activities)</t>
  </si>
  <si>
    <t>GROUND OPERATING EXPENSES (including MAINTENANCE AND OVERHAUL)</t>
  </si>
  <si>
    <t xml:space="preserve">          CATERING COST</t>
  </si>
  <si>
    <t xml:space="preserve">          LOAD INSURANCE (Passenger + Cargo)</t>
  </si>
  <si>
    <t xml:space="preserve">          OTHER PASSENGER SERVICES</t>
  </si>
  <si>
    <t xml:space="preserve">          LINE MAINTENANCE</t>
  </si>
  <si>
    <t xml:space="preserve">          BASE MAINTENANCE (HANGAR)</t>
  </si>
  <si>
    <t xml:space="preserve">          COMPONENT MAINTENANCE</t>
  </si>
  <si>
    <t xml:space="preserve">          ENGINE MAINTENANCE</t>
  </si>
  <si>
    <t xml:space="preserve">          MAINTENANCE ADMINISTRATION (OVERHEAD)</t>
  </si>
  <si>
    <t xml:space="preserve">          AIRCRAFT RELATED CHARGES</t>
  </si>
  <si>
    <t xml:space="preserve">          AIRPORT RELATED PASSENGER CHARGES</t>
  </si>
  <si>
    <r>
      <t xml:space="preserve">          REVENUE TONNE-KMS - PASSENGER - incl. Baggage </t>
    </r>
    <r>
      <rPr>
        <b/>
        <sz val="8"/>
        <color indexed="10"/>
        <rFont val="Arial"/>
        <family val="2"/>
      </rPr>
      <t>(THOUSANDS)</t>
    </r>
  </si>
  <si>
    <r>
      <t xml:space="preserve">          REVENUE TONNE-KMS - CARGO - incl. Mail </t>
    </r>
    <r>
      <rPr>
        <b/>
        <sz val="8"/>
        <color indexed="10"/>
        <rFont val="Arial"/>
        <family val="2"/>
      </rPr>
      <t>(THOUSANDS)</t>
    </r>
  </si>
  <si>
    <t xml:space="preserve">          ACTIVE AIRCRAFT</t>
  </si>
  <si>
    <t xml:space="preserve">          NON-ACTIVE AIRCRAFT</t>
  </si>
  <si>
    <t xml:space="preserve">          MISSED (PASSENGER) CONNECTIONS</t>
  </si>
  <si>
    <t xml:space="preserve">          TOTAL NUMBER OF CONNECTING PASSENGERS</t>
  </si>
  <si>
    <t xml:space="preserve">          MISHANDLED BAGS</t>
  </si>
  <si>
    <t xml:space="preserve">          TOTAL NUMBER OF BAGS</t>
  </si>
  <si>
    <r>
      <t xml:space="preserve">          CANCELLATIONS </t>
    </r>
    <r>
      <rPr>
        <b/>
        <i/>
        <sz val="8"/>
        <rFont val="Arial"/>
        <family val="2"/>
      </rPr>
      <t>PRIOR</t>
    </r>
    <r>
      <rPr>
        <i/>
        <sz val="8"/>
        <rFont val="Arial"/>
        <family val="2"/>
      </rPr>
      <t xml:space="preserve"> </t>
    </r>
    <r>
      <rPr>
        <b/>
        <i/>
        <sz val="8"/>
        <rFont val="Arial"/>
        <family val="2"/>
      </rPr>
      <t>TO</t>
    </r>
    <r>
      <rPr>
        <i/>
        <sz val="8"/>
        <rFont val="Arial"/>
        <family val="2"/>
      </rPr>
      <t xml:space="preserve"> SCHEDULED DEPARTURE</t>
    </r>
  </si>
  <si>
    <r>
      <t xml:space="preserve">          CANCELLATIONS </t>
    </r>
    <r>
      <rPr>
        <b/>
        <i/>
        <sz val="8"/>
        <rFont val="Arial"/>
        <family val="2"/>
      </rPr>
      <t>AFTER</t>
    </r>
    <r>
      <rPr>
        <i/>
        <sz val="8"/>
        <rFont val="Arial"/>
        <family val="2"/>
      </rPr>
      <t xml:space="preserve"> SCHEDULED DEPARTURE (following a delay)</t>
    </r>
  </si>
  <si>
    <t xml:space="preserve">          D0 (On-time Departure)</t>
  </si>
  <si>
    <t xml:space="preserve">          D15 (Departure with a delay of 15 minutes and less)</t>
  </si>
  <si>
    <t xml:space="preserve">          D90 (Departure with a delay of 90 minutes and less)</t>
  </si>
  <si>
    <t xml:space="preserve">          A0 (On-time Arrival)</t>
  </si>
  <si>
    <t xml:space="preserve">          A15 (Arrival with a delay of 15 minutes and less)</t>
  </si>
  <si>
    <t xml:space="preserve">          A90 (Arrival with a delay of 90 minutes and less)</t>
  </si>
  <si>
    <t>FLIGHT OPERATING EXPENSES</t>
  </si>
  <si>
    <t>TOTAL EXPENSES</t>
  </si>
  <si>
    <t>Are all cost categories provided (rows 8 to 40)?</t>
  </si>
  <si>
    <t>D90 &gt; D15 &gt; D0</t>
  </si>
  <si>
    <t>A90 &gt; A15 &gt; A0</t>
  </si>
  <si>
    <t>MAINTENANCE AND OVERHAUL (Sum of Maintenance segments and overhead)</t>
  </si>
  <si>
    <t>Between 700 and 7000 km.</t>
  </si>
  <si>
    <t>Between 80-110 kg.</t>
  </si>
  <si>
    <t>Average Pax. Weight [Kg/Passenger]</t>
  </si>
  <si>
    <t>Average Stage Length [Km/Cycle]</t>
  </si>
  <si>
    <t>TOTAL OPERATING MARGIN (including incidental revenue &amp; expenses)</t>
  </si>
  <si>
    <t>MtceCost</t>
  </si>
  <si>
    <t>DETAILED cost breakdown</t>
  </si>
  <si>
    <t>If maintenance cost cannot be broken down, select 'TOTAL' in cell C21</t>
  </si>
  <si>
    <t>TOTAL (enter data in Row 22)</t>
  </si>
  <si>
    <t>Principal contact</t>
  </si>
  <si>
    <t>Contact for data queries (if different from Principal)</t>
  </si>
  <si>
    <t>Additional ACMG Report recipients in your Airline (RECOMMENDED)</t>
  </si>
  <si>
    <t>Would you like to recommend the ACMG to any other Airlines? Please provide contacts below</t>
  </si>
  <si>
    <t xml:space="preserve">     GENERAL AND ADMINISTRATIVE (Sum of the 4 items above)</t>
  </si>
  <si>
    <t>ARE ALL COST CATEGORIES PROVIDED (Rows 8 to 41)?</t>
  </si>
  <si>
    <t>ON-TIME DEPARTURE VALIDITY (D90 &gt; D15 &gt; D0)</t>
  </si>
  <si>
    <t>ON-TIME ARRIVAL VALIDITY (A90 &gt; A15 &gt; A0)</t>
  </si>
  <si>
    <t>PAX. LOAD FACTOR [%] (&lt;100%)</t>
  </si>
  <si>
    <t>WEIGHT LOAD FACTOR [%] (&lt;100%)</t>
  </si>
  <si>
    <r>
      <rPr>
        <b/>
        <sz val="9"/>
        <rFont val="Arial"/>
        <family val="2"/>
      </rPr>
      <t>Contact information</t>
    </r>
    <r>
      <rPr>
        <sz val="9"/>
        <rFont val="Arial"/>
        <family val="2"/>
      </rPr>
      <t>: Fill out the contact information. Try to provide as many relevant contacts as possible to raise the awareness of numerous ACMG benefits to the airline(s).</t>
    </r>
  </si>
  <si>
    <t>Gray: Automatically calculated field</t>
  </si>
  <si>
    <r>
      <t xml:space="preserve">- </t>
    </r>
    <r>
      <rPr>
        <b/>
        <sz val="10"/>
        <color indexed="17"/>
        <rFont val="Arial"/>
        <family val="2"/>
      </rPr>
      <t>GREEN</t>
    </r>
    <r>
      <rPr>
        <sz val="10"/>
        <rFont val="Arial"/>
        <family val="2"/>
      </rPr>
      <t xml:space="preserve"> means data is within our specified range (criteria next to each DataCheck item)</t>
    </r>
  </si>
  <si>
    <t>COLOUR LEGEND</t>
  </si>
  <si>
    <t>Orange: DataCheck item</t>
  </si>
  <si>
    <t>Quality data from member airlines will help the ACMG reduce the time before producing the benchmark report and improve its accuracy.</t>
  </si>
  <si>
    <t>Refer to the colour coding:</t>
  </si>
  <si>
    <t>Additionally, there are message boxes that will prompt users to correct or complete data in Form 1 and Form 2.</t>
  </si>
  <si>
    <t>DataCheck items have been incorporated into Form 2 (orange cells). These fields are generated automatically and allow the user to quickly validate their data.</t>
  </si>
  <si>
    <t>AVERAGE AIRCRAFT DAILY UTILIZATION [Hours per day] (&lt;24)</t>
  </si>
  <si>
    <t>Airline information</t>
  </si>
  <si>
    <t>AIRLINE COST MANAGEMENT GROUP
Data Collection</t>
  </si>
  <si>
    <t>White: User enters data manually</t>
  </si>
  <si>
    <t>Yellow: User selects from the dropdown list</t>
  </si>
  <si>
    <t>B737 NG</t>
  </si>
  <si>
    <t>A320</t>
  </si>
  <si>
    <t>B747 Pax</t>
  </si>
  <si>
    <t>B737 Classic</t>
  </si>
  <si>
    <t>Flight Equipment Insurance</t>
  </si>
  <si>
    <t>RTK (in 000s)</t>
  </si>
  <si>
    <t>ATK (in 000s)</t>
  </si>
  <si>
    <t>RPK (in 000s)</t>
  </si>
  <si>
    <t>ASK (in 000s)</t>
  </si>
  <si>
    <t>Fuel Consumption (kgs)</t>
  </si>
  <si>
    <t>Flight Cycle</t>
  </si>
  <si>
    <t>Flight Hour</t>
  </si>
  <si>
    <t>Av. Daily Utiliz.</t>
  </si>
  <si>
    <t>Average Fleet Age</t>
  </si>
  <si>
    <t>#Active Aircraft</t>
  </si>
  <si>
    <t>#Reporting Airlines</t>
  </si>
  <si>
    <t>per</t>
  </si>
  <si>
    <t>RTK</t>
  </si>
  <si>
    <t>ASK</t>
  </si>
  <si>
    <t>kg</t>
  </si>
  <si>
    <t>Cost Comparison by Aircraft Type</t>
  </si>
  <si>
    <t>3</t>
  </si>
  <si>
    <t>5</t>
  </si>
  <si>
    <t>7</t>
  </si>
  <si>
    <t>Form 2 row</t>
  </si>
  <si>
    <t>4</t>
  </si>
  <si>
    <t>8</t>
  </si>
  <si>
    <t>17</t>
  </si>
  <si>
    <t>20</t>
  </si>
  <si>
    <t>21</t>
  </si>
  <si>
    <t>45</t>
  </si>
  <si>
    <t>46</t>
  </si>
  <si>
    <t>49</t>
  </si>
  <si>
    <t>50</t>
  </si>
  <si>
    <t>55</t>
  </si>
  <si>
    <t>57</t>
  </si>
  <si>
    <t>59</t>
  </si>
  <si>
    <t>65</t>
  </si>
  <si>
    <t>62</t>
  </si>
  <si>
    <t>Aircraft Type(s) included</t>
  </si>
  <si>
    <t>60</t>
  </si>
  <si>
    <t>AVERAGE FUEL PRICE [US Cents/Kg] (20 and 80 US Cents/Kg)</t>
  </si>
  <si>
    <t>AVERAGE PAX. WEIGHT [Kg/Passenger] (80-110 Kg)</t>
  </si>
  <si>
    <r>
      <t xml:space="preserve">- Please </t>
    </r>
    <r>
      <rPr>
        <b/>
        <sz val="10"/>
        <color indexed="10"/>
        <rFont val="Arial"/>
        <family val="2"/>
      </rPr>
      <t>Enable Macros / Enable Content</t>
    </r>
    <r>
      <rPr>
        <sz val="10"/>
        <rFont val="Arial"/>
        <family val="2"/>
      </rPr>
      <t xml:space="preserve"> when you open the form and before entering data.</t>
    </r>
  </si>
  <si>
    <t>ACMG Airlines</t>
  </si>
  <si>
    <r>
      <t xml:space="preserve">       FUEL AND OIL "HEDGING" GAIN(</t>
    </r>
    <r>
      <rPr>
        <i/>
        <sz val="8"/>
        <color indexed="10"/>
        <rFont val="Arial"/>
        <family val="2"/>
      </rPr>
      <t>LOSS - indicate with negative sign</t>
    </r>
    <r>
      <rPr>
        <i/>
        <sz val="8"/>
        <rFont val="Arial"/>
        <family val="2"/>
      </rPr>
      <t>)</t>
    </r>
  </si>
  <si>
    <r>
      <t xml:space="preserve">       FOREIGN EXCHANGE GAIN(</t>
    </r>
    <r>
      <rPr>
        <i/>
        <sz val="8"/>
        <color indexed="10"/>
        <rFont val="Arial"/>
        <family val="2"/>
      </rPr>
      <t>LOSS - indicate with negative sign</t>
    </r>
    <r>
      <rPr>
        <i/>
        <sz val="8"/>
        <rFont val="Arial"/>
        <family val="2"/>
      </rPr>
      <t>)</t>
    </r>
  </si>
  <si>
    <t>AVERAGE STAGE LENGTH [Km/Cycle] (Typically between 500 and 10,000 km)</t>
  </si>
  <si>
    <t>Fuel Burned (grams)</t>
  </si>
  <si>
    <t>Average Fuel Cost ($)</t>
  </si>
  <si>
    <t>Average Daily Utilization</t>
  </si>
  <si>
    <t>Cost &amp; Operational Data</t>
  </si>
  <si>
    <t>Step 2: Complete Form 2 and validate with the DataCheck items within the toolset</t>
  </si>
  <si>
    <t>*Please make sure that the reported Total Airline Operating Revenue and Employment Cost relate directly to the core air transport operations only (passengers and cargo). If the air carrier is part of a group of companies encompassing other related activities, such as aircraft maintenance (“MRO”), catering, and reservation systems, etc., only the activities pertaining to the air carrier should be reported here (the reported data scope should match the data scope of reported Total Operating Expenses in Form 2).</t>
  </si>
  <si>
    <t>Hour-to-Cycle Ratio</t>
  </si>
  <si>
    <r>
      <t xml:space="preserve">Click 'Update Sheet' button to populate table and to refresh upon adding new data in Form 2.
</t>
    </r>
    <r>
      <rPr>
        <b/>
        <sz val="11"/>
        <rFont val="Arial"/>
        <family val="2"/>
      </rPr>
      <t>All cost and operational data categories on Form 2 should be filled and active aircraft should be more than 0 for full functionality of this tool.</t>
    </r>
  </si>
  <si>
    <t>B787 (All Series)</t>
  </si>
  <si>
    <t>B787-8</t>
  </si>
  <si>
    <t>B787-9</t>
  </si>
  <si>
    <t>B777 Pax</t>
  </si>
  <si>
    <t>Total Operating Expenses/ASK (US Cents)</t>
  </si>
  <si>
    <t>Total Operating Expenses/ATK (US Cents)</t>
  </si>
  <si>
    <t>Overall Yield (Op. Revenue/RTK in US Cents)</t>
  </si>
  <si>
    <t>Airline Operating Margin (core transport activities)</t>
  </si>
  <si>
    <t>IT and Communications</t>
  </si>
  <si>
    <t>Passenger Service</t>
  </si>
  <si>
    <t>FY2017</t>
  </si>
  <si>
    <t>Instantly find out how your Airline compares with the market:</t>
  </si>
  <si>
    <t>Address:</t>
  </si>
  <si>
    <t>Terms &amp; Conditions</t>
  </si>
  <si>
    <r>
      <t>These terms and conditions (</t>
    </r>
    <r>
      <rPr>
        <b/>
        <sz val="9"/>
        <rFont val="Arial"/>
        <family val="2"/>
      </rPr>
      <t>Terms and Conditions</t>
    </r>
    <r>
      <rPr>
        <sz val="9"/>
        <rFont val="Arial"/>
        <family val="2"/>
      </rPr>
      <t>) set forth the terms and conditions for the collection and use of operational cost data (</t>
    </r>
    <r>
      <rPr>
        <b/>
        <sz val="9"/>
        <rFont val="Arial"/>
        <family val="2"/>
      </rPr>
      <t>Data</t>
    </r>
    <r>
      <rPr>
        <sz val="9"/>
        <rFont val="Arial"/>
        <family val="2"/>
      </rPr>
      <t>) provided by airlines (Airlines and each an Airline), participating in the Airline Cost Management Group (</t>
    </r>
    <r>
      <rPr>
        <b/>
        <sz val="9"/>
        <rFont val="Arial"/>
        <family val="2"/>
      </rPr>
      <t>ACMG</t>
    </r>
    <r>
      <rPr>
        <sz val="9"/>
        <rFont val="Arial"/>
        <family val="2"/>
      </rPr>
      <t>) via the ACMG Data toolset (</t>
    </r>
    <r>
      <rPr>
        <b/>
        <sz val="9"/>
        <rFont val="Arial"/>
        <family val="2"/>
      </rPr>
      <t>Toolset</t>
    </r>
    <r>
      <rPr>
        <sz val="9"/>
        <rFont val="Arial"/>
        <family val="2"/>
      </rPr>
      <t>), for use in the preparation of annual airline operational cost reports (</t>
    </r>
    <r>
      <rPr>
        <b/>
        <sz val="9"/>
        <rFont val="Arial"/>
        <family val="2"/>
      </rPr>
      <t>Reports</t>
    </r>
    <r>
      <rPr>
        <sz val="9"/>
        <rFont val="Arial"/>
        <family val="2"/>
      </rPr>
      <t xml:space="preserve"> and each a</t>
    </r>
    <r>
      <rPr>
        <b/>
        <sz val="9"/>
        <rFont val="Arial"/>
        <family val="2"/>
      </rPr>
      <t xml:space="preserve"> Report</t>
    </r>
    <r>
      <rPr>
        <sz val="9"/>
        <rFont val="Arial"/>
        <family val="2"/>
      </rPr>
      <t>) issued by the International Air Transport Association (</t>
    </r>
    <r>
      <rPr>
        <b/>
        <sz val="9"/>
        <rFont val="Arial"/>
        <family val="2"/>
      </rPr>
      <t>IATA</t>
    </r>
    <r>
      <rPr>
        <sz val="9"/>
        <rFont val="Arial"/>
        <family val="2"/>
      </rPr>
      <t xml:space="preserve">).
</t>
    </r>
    <r>
      <rPr>
        <u/>
        <sz val="9"/>
        <rFont val="Arial"/>
        <family val="2"/>
      </rPr>
      <t xml:space="preserve">
</t>
    </r>
    <r>
      <rPr>
        <b/>
        <u/>
        <sz val="9"/>
        <rFont val="Arial"/>
        <family val="2"/>
      </rPr>
      <t>License and Use</t>
    </r>
    <r>
      <rPr>
        <sz val="9"/>
        <rFont val="Arial"/>
        <family val="2"/>
      </rPr>
      <t xml:space="preserve">
The Airline grants to IATA a non-exclusive, worldwide, perpetual, royalty-free right to use the Data (i) for preparation of, and inclusion in, the Reports; and (ii) in de-identified and/or consolidated formats in other IATA reports or publications aiming to improve industry cost structure. 
All right, title and interest in and to the Reports shall be owned by IATA.  IATA shall grant to each participating Airline a non-exclusive, non-transferable, worldwide, perpetual right to use the Reports for its internal activities, subject to the confidentiality restrictions set out below.
IATA agrees to preserve the confidentiality of the Data, subject, however, to the license and use rights granted to IATA by the Airline under these Terms and Conditions.  The Reports shall be made available only to Airlines that participated in the Data collection process.  Airlines may not disclose all or part of a Report to a third party without IATA’s prior written consent.  Nothing in the foregoing shall be interpreted as prohibiting an Airline from disclosing its own Data to a third party.
</t>
    </r>
    <r>
      <rPr>
        <b/>
        <u/>
        <sz val="9"/>
        <rFont val="Arial"/>
        <family val="2"/>
      </rPr>
      <t>Disclaimer &amp; Liability</t>
    </r>
    <r>
      <rPr>
        <sz val="9"/>
        <rFont val="Arial"/>
        <family val="2"/>
      </rPr>
      <t xml:space="preserve">
THE REPORTS SHALL BE FURNISHED BY IATA TO PARTICPANT AIRLINES ON AN “AS IS” AND “AS AVAILABLE” BASIS.  IATA DISCLAIMS ALL WARRANTIES OF ANY KIND, EITHER EXPRESSED OR IMPLIED, INCLUDING, BUT NOT LIMITED TO, IMPLIED WARRANTIES OF QUALITY, FITNESS FOR A PARTICULAR PURPOSE, OR NON-INFRINGEMENT, IN RELATION TO A REPORT OR ANY OF ITS CONTENT. IATA SHALL NOT BE LIABLE FOR ANY LOSS WHICH MAY ARISE FROM THE USE OF A REPORT OR THE INFORMATION CONTAINED THEREIN.
ALTHOUGH EVERY EFFORT HAS BEEN MADE TO ENSURE ACCURACY, IATA SHALL NOT BE HELD RESPONSIBLE FOR ANY LOSS OR DAMAGE CAUSED BY ERRORS, OMISSIONS, MISPRINTS OR MISINTERPRETATIONS OF THE CONTENT OF A REPORT.  TO THE MAXIMUM EXTENT PERMITTED BY LAW, IN NO EVENT SHALL IATA BE LIABLE FOR ANY SPECIAL, INCIDENTAL, CONSEQUENTIAL OR PUNITIVE DAMAGES WHATSOEVER, INCLUDING ANY CLAIMS FOR LOST PROFITS, BUSINESS INTERRUPTION, INABILITY TO STUDY, TEACH OR LEARN, LOST INFORMATION OR OTHER DAMAGES ARISING OUT OF THE USE OR INABILITY TO USE A REPORT.  IN ALL EVENTS, IATA’S SOLE OBLIGATION OR LIABILITY UNDER THESE TERMS AND CONDITIONS SHALL NOT EXCEED THE FEES PAID FOR ONE (1) ANNUAL MEMBERSHIP IN ACMG.
These Terms and Conditions shall be construed in accordance with, and governed by the laws of, the Province of Quebec (Canada) and the applicable laws of Canada, notwithstanding any conflict of law provisions.  The Airline hereby agrees to the exclusive jurisdiction and venue of the courts of the Province of Quebec (Canada) to resolve any disputes arising under these Terms and Conditions. 
</t>
    </r>
  </si>
  <si>
    <t>Strategic KPIs 
(based on 51 ACMG airlines)</t>
  </si>
  <si>
    <t>FY2018</t>
  </si>
  <si>
    <t>*   Based on 51 reporting airlines</t>
  </si>
  <si>
    <t>FY2017 ACMG Airlines*</t>
  </si>
  <si>
    <t>FY2018 Your Airline</t>
  </si>
  <si>
    <t>Annual (2019) ACMG Participation Fee:</t>
  </si>
  <si>
    <t xml:space="preserve">The 2019 annual participation fee for ACMG membership is USD2,500. Payment of the annual participation fee shall be made via the IATA Clearing House within thirty (30) days of receipt of this completed Toolset. Please indicate your acceptance of these payment terms and the additional terms and conditions further down on this page by 'CHECKING' the box below. </t>
  </si>
  <si>
    <t>* Please enter your airline operating revenue as well as non-operating revenue/expenses for FY2018. In addition specify the number of employees in each division, the total salary for the employees of that division, the total block hours per year, and the total duty hours per year.</t>
  </si>
  <si>
    <r>
      <rPr>
        <b/>
        <sz val="10"/>
        <color indexed="30"/>
        <rFont val="Arial"/>
        <family val="2"/>
      </rPr>
      <t xml:space="preserve">[Strategic KPIs Comparison] </t>
    </r>
    <r>
      <rPr>
        <sz val="10"/>
        <rFont val="Arial"/>
        <family val="2"/>
      </rPr>
      <t>compares your FY2018 Strategic KPIs with FY2017 average ACMG (based on over 50 airlines) KPIs. Moreover we also provide Cost Structure comparison!</t>
    </r>
  </si>
  <si>
    <r>
      <rPr>
        <b/>
        <i/>
        <sz val="10"/>
        <color indexed="10"/>
        <rFont val="Arial"/>
        <family val="2"/>
      </rPr>
      <t>NEW!</t>
    </r>
    <r>
      <rPr>
        <b/>
        <sz val="10"/>
        <color indexed="10"/>
        <rFont val="Arial"/>
        <family val="2"/>
      </rPr>
      <t xml:space="preserve"> </t>
    </r>
    <r>
      <rPr>
        <b/>
        <sz val="10"/>
        <color indexed="30"/>
        <rFont val="Arial"/>
        <family val="2"/>
      </rPr>
      <t xml:space="preserve">[AC Unit Cost Comparison] </t>
    </r>
    <r>
      <rPr>
        <sz val="10"/>
        <rFont val="Arial"/>
        <family val="2"/>
      </rPr>
      <t>compares your FY2018 unit costs on a fleet basis with FY2017 average ACMG unit costs for 17 different aircraft types!</t>
    </r>
  </si>
  <si>
    <t>PLEASE SUBMIT BY MAY 31, 2019</t>
  </si>
  <si>
    <t>2017 ACMG Consolidated Aircraft Data (for all airlines)</t>
  </si>
  <si>
    <t>FY2017 your airline B737 NG</t>
  </si>
  <si>
    <t>FY2017 your airline A320</t>
  </si>
  <si>
    <t>&lt;5</t>
  </si>
  <si>
    <t xml:space="preserve">          PASSENGER INCONVENIENCE COST (sum of the two sub-items below)</t>
  </si>
  <si>
    <t xml:space="preserve">                   LEGAL PENALTIES/REGULATORY COMPENSATION (FOR EXAMPLE: EU261)</t>
  </si>
  <si>
    <t xml:space="preserve">                  EXPENSES FOR MEALS/HOTELS/TAXI FARES</t>
  </si>
  <si>
    <t xml:space="preserve">         PASSENGER RELATED CHARGES (INCLUDES EXPENSES ASSOCIATED WITH BAGGAGE HANDLING)</t>
  </si>
  <si>
    <t xml:space="preserve">         CARGO HANDLING CHARGES</t>
  </si>
  <si>
    <t>STATION AND GROUND (sum of the two items above)</t>
  </si>
  <si>
    <t>PASSENGER SERVICE (Sum of the items B33,B34,B35 and B38)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</si>
</sst>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4">
    <numFmt numFmtId="43" formatCode="_-* #,##0.00\ _€_-;\-* #,##0.00\ _€_-;_-* &quot;-&quot;??\ _€_-;_-@_-"/>
    <numFmt numFmtId="164" formatCode="&quot;$&quot;#,##0_);[Red]\(&quot;$&quot;#,##0\)"/>
    <numFmt numFmtId="165" formatCode="&quot;$&quot;#,##0.00_);[Red]\(&quot;$&quot;#,##0.00\)"/>
    <numFmt numFmtId="166" formatCode="_(* #,##0_);_(* \(#,##0\);_(* &quot;-&quot;_);_(@_)"/>
    <numFmt numFmtId="167" formatCode="_(&quot;$&quot;* #,##0.00_);_(&quot;$&quot;* \(#,##0.00\);_(&quot;$&quot;* &quot;-&quot;??_);_(@_)"/>
    <numFmt numFmtId="168" formatCode="_(* #,##0.00_);_(* \(#,##0.00\);_(* &quot;-&quot;??_);_(@_)"/>
    <numFmt numFmtId="169" formatCode="&quot;$&quot;#,##0;[Red]\-&quot;$&quot;#,##0"/>
    <numFmt numFmtId="170" formatCode="_-&quot;$&quot;* #,##0.00_-;\-&quot;$&quot;* #,##0.00_-;_-&quot;$&quot;* &quot;-&quot;??_-;_-@_-"/>
    <numFmt numFmtId="171" formatCode="_-* #,##0.00_-;\-* #,##0.00_-;_-* &quot;-&quot;??_-;_-@_-"/>
    <numFmt numFmtId="172" formatCode="General_)"/>
    <numFmt numFmtId="173" formatCode="0.0"/>
    <numFmt numFmtId="174" formatCode="0.000"/>
    <numFmt numFmtId="175" formatCode="#,##0_ "/>
    <numFmt numFmtId="176" formatCode="[$$-409]#,##0.000"/>
    <numFmt numFmtId="177" formatCode="[$€-2]\ #,##0"/>
    <numFmt numFmtId="178" formatCode="_ * #,##0_)_F_ ;_ * \(#,##0\)_F_ ;_ * &quot;-&quot;_)_F_ ;_ @_ "/>
    <numFmt numFmtId="179" formatCode="_ * #,##0.00_)_F_ ;_ * \(#,##0.00\)_F_ ;_ * &quot;-&quot;??_)_F_ ;_ @_ "/>
    <numFmt numFmtId="180" formatCode="_ * #,##0_)&quot;F&quot;_ ;_ * \(#,##0\)&quot;F&quot;_ ;_ * &quot;-&quot;_)&quot;F&quot;_ ;_ @_ "/>
    <numFmt numFmtId="181" formatCode="_ * #,##0.00_)&quot;F&quot;_ ;_ * \(#,##0.00\)&quot;F&quot;_ ;_ * &quot;-&quot;??_)&quot;F&quot;_ ;_ @_ "/>
    <numFmt numFmtId="182" formatCode="0.00_)"/>
    <numFmt numFmtId="183" formatCode="###,###,###,###"/>
    <numFmt numFmtId="184" formatCode="_-&quot;€&quot;* #,##0.00_-;\-&quot;€&quot;* #,##0.00_-;_-&quot;€&quot;* &quot;-&quot;??_-;_-@_-"/>
    <numFmt numFmtId="185" formatCode="0.0%"/>
    <numFmt numFmtId="186" formatCode="#,##0.0"/>
    <numFmt numFmtId="187" formatCode="&quot;$&quot;#,##0"/>
    <numFmt numFmtId="188" formatCode="#,##0_ ;\-#,##0\ "/>
    <numFmt numFmtId="189" formatCode="[&gt;=1000000000]\ &quot;$&quot;#,##0.0,,,\ &quot;Bil&quot;;[&gt;=1000000]&quot;$&quot;#0.0,,\ &quot;Mil&quot;;\ &quot;$&quot;#0.0,\ &quot;K&quot;"/>
    <numFmt numFmtId="190" formatCode="#.0#############E+###"/>
    <numFmt numFmtId="191" formatCode="_-[$$-409]* #,##0_ ;_-[$$-409]* \-#,##0\ ;_-[$$-409]* &quot;-&quot;??_ ;_-@_ "/>
    <numFmt numFmtId="192" formatCode="_ * #,##0.00_ ;_ * \-#,##0.00_ ;_ * &quot;-&quot;??_ ;_ @_ "/>
    <numFmt numFmtId="193" formatCode="#,##0.0_ ;\-#,##0.0\ "/>
    <numFmt numFmtId="194" formatCode="_([$$-409]* #,##0.00_);_([$$-409]* \(#,##0.00\);_([$$-409]* &quot;-&quot;??_);_(@_)"/>
    <numFmt numFmtId="195" formatCode="#,##0.00_ ;\-#,##0.00\ "/>
    <numFmt numFmtId="196" formatCode="#,##0.000_ ;\-#,##0.000\ "/>
    <numFmt numFmtId="197" formatCode="_([$$-409]* #,##0.0000_);_([$$-409]* \(#,##0.0000\);_([$$-409]* &quot;-&quot;??_);_(@_)"/>
    <numFmt numFmtId="198" formatCode="#,##0.00;[Red]\(#,##0.00\)"/>
    <numFmt numFmtId="199" formatCode="_-* #,##0.00\ _F_-;\-* #,##0.00\ _F_-;_-* &quot;-&quot;??\ _F_-;_-@_-"/>
    <numFmt numFmtId="200" formatCode="_-* #,##0.00\ [$€]_-;\-* #,##0.00\ [$€]_-;_-* &quot;-&quot;??\ [$€]_-;_-@_-"/>
    <numFmt numFmtId="201" formatCode="_-* #,##0.00\ _D_A_-;\-* #,##0.00\ _D_A_-;_-* &quot;-&quot;??\ _D_A_-;_-@_-"/>
    <numFmt numFmtId="202" formatCode="&quot;R&quot;\ #,##0;[Red]&quot;R&quot;\ \-#,##0"/>
    <numFmt numFmtId="203" formatCode="_ * #,##0_ ;_ * \-#,##0_ ;_ * &quot;-&quot;_ ;_ @_ "/>
    <numFmt numFmtId="204" formatCode="_ &quot;R&quot;\ * #,##0.00_ ;_ &quot;R&quot;\ * \-#,##0.00_ ;_ &quot;R&quot;\ * &quot;-&quot;??_ ;_ @_ "/>
    <numFmt numFmtId="205" formatCode="[$-409]mmm\-yy;@"/>
    <numFmt numFmtId="206" formatCode="[$-1C09]dd\ mmmm\ yyyy;@"/>
  </numFmts>
  <fonts count="147">
    <font>
      <sz val="10"/>
      <name val="Arial"/>
    </font>
    <font>
      <sz val="11"/>
      <color indexed="8"/>
      <name val="Calibri"/>
      <family val="2"/>
    </font>
    <font>
      <sz val="10"/>
      <name val="Arial"/>
      <family val="2"/>
    </font>
    <font>
      <b/>
      <sz val="10"/>
      <name val="Arial"/>
      <family val="2"/>
    </font>
    <font>
      <sz val="10"/>
      <name val="Arial"/>
      <family val="2"/>
    </font>
    <font>
      <sz val="8"/>
      <name val="Arial"/>
      <family val="2"/>
    </font>
    <font>
      <b/>
      <sz val="8"/>
      <name val="Arial"/>
      <family val="2"/>
    </font>
    <font>
      <i/>
      <sz val="8"/>
      <name val="Arial"/>
      <family val="2"/>
    </font>
    <font>
      <u/>
      <sz val="10"/>
      <color indexed="12"/>
      <name val="Arial"/>
      <family val="2"/>
    </font>
    <font>
      <sz val="10"/>
      <color indexed="8"/>
      <name val="Arial"/>
      <family val="2"/>
    </font>
    <font>
      <b/>
      <u/>
      <sz val="10"/>
      <name val="Arial"/>
      <family val="2"/>
    </font>
    <font>
      <sz val="10"/>
      <color indexed="10"/>
      <name val="Arial"/>
      <family val="2"/>
    </font>
    <font>
      <sz val="9"/>
      <name val="Arial"/>
      <family val="2"/>
    </font>
    <font>
      <b/>
      <sz val="9"/>
      <name val="Arial"/>
      <family val="2"/>
    </font>
    <font>
      <b/>
      <sz val="10"/>
      <color indexed="10"/>
      <name val="Arial"/>
      <family val="2"/>
    </font>
    <font>
      <b/>
      <sz val="8"/>
      <color indexed="10"/>
      <name val="Arial"/>
      <family val="2"/>
    </font>
    <font>
      <b/>
      <sz val="12"/>
      <name val="Arial"/>
      <family val="2"/>
    </font>
    <font>
      <i/>
      <sz val="10"/>
      <name val="Arial"/>
      <family val="2"/>
    </font>
    <font>
      <sz val="10"/>
      <name val="Times New Roman"/>
      <family val="1"/>
    </font>
    <font>
      <b/>
      <sz val="10"/>
      <name val="Tahoma"/>
      <family val="2"/>
    </font>
    <font>
      <sz val="7.5"/>
      <name val="Arial"/>
      <family val="2"/>
    </font>
    <font>
      <b/>
      <sz val="10"/>
      <color indexed="12"/>
      <name val="arial"/>
      <family val="2"/>
    </font>
    <font>
      <sz val="8"/>
      <color indexed="81"/>
      <name val="Tahoma"/>
      <family val="2"/>
    </font>
    <font>
      <b/>
      <sz val="8"/>
      <color indexed="81"/>
      <name val="Tahoma"/>
      <family val="2"/>
    </font>
    <font>
      <b/>
      <u/>
      <sz val="8"/>
      <color indexed="81"/>
      <name val="Tahoma"/>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b/>
      <sz val="11"/>
      <color indexed="63"/>
      <name val="Calibri"/>
      <family val="2"/>
    </font>
    <font>
      <b/>
      <sz val="11"/>
      <color indexed="8"/>
      <name val="Calibri"/>
      <family val="2"/>
    </font>
    <font>
      <sz val="11"/>
      <color indexed="10"/>
      <name val="Calibri"/>
      <family val="2"/>
    </font>
    <font>
      <b/>
      <sz val="18"/>
      <name val="Airbus Special"/>
    </font>
    <font>
      <b/>
      <u/>
      <sz val="12"/>
      <color indexed="17"/>
      <name val="Arial"/>
      <family val="2"/>
    </font>
    <font>
      <sz val="10"/>
      <name val="Century Gothic"/>
      <family val="2"/>
    </font>
    <font>
      <sz val="10"/>
      <name val="Verdana"/>
      <family val="2"/>
    </font>
    <font>
      <u/>
      <sz val="10"/>
      <color indexed="12"/>
      <name val="Verdana"/>
      <family val="2"/>
    </font>
    <font>
      <sz val="12"/>
      <name val="Times New Roman"/>
      <family val="1"/>
    </font>
    <font>
      <b/>
      <i/>
      <sz val="16"/>
      <name val="Helv"/>
      <family val="2"/>
    </font>
    <font>
      <b/>
      <sz val="9"/>
      <color indexed="8"/>
      <name val="Arial"/>
      <family val="2"/>
    </font>
    <font>
      <sz val="9"/>
      <color indexed="8"/>
      <name val="Arial"/>
      <family val="2"/>
    </font>
    <font>
      <sz val="10"/>
      <name val="MS Sans Serif"/>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2"/>
      <color indexed="8"/>
      <name val="굴림"/>
      <family val="3"/>
      <charset val="129"/>
    </font>
    <font>
      <sz val="10"/>
      <name val="宋体"/>
      <charset val="134"/>
    </font>
    <font>
      <b/>
      <sz val="24"/>
      <color indexed="18"/>
      <name val="Arial"/>
      <family val="2"/>
    </font>
    <font>
      <sz val="10"/>
      <color indexed="9"/>
      <name val="Arial"/>
      <family val="2"/>
    </font>
    <font>
      <sz val="9"/>
      <color indexed="81"/>
      <name val="Tahoma"/>
      <family val="2"/>
    </font>
    <font>
      <b/>
      <sz val="10"/>
      <color indexed="30"/>
      <name val="Arial"/>
      <family val="2"/>
    </font>
    <font>
      <b/>
      <sz val="12"/>
      <color indexed="17"/>
      <name val="Arial"/>
      <family val="2"/>
    </font>
    <font>
      <b/>
      <sz val="10"/>
      <color indexed="17"/>
      <name val="Arial"/>
      <family val="2"/>
    </font>
    <font>
      <b/>
      <sz val="9"/>
      <color indexed="81"/>
      <name val="Tahoma"/>
      <family val="2"/>
    </font>
    <font>
      <sz val="10"/>
      <name val="Arial"/>
      <family val="2"/>
    </font>
    <font>
      <sz val="11"/>
      <name val="Calibri"/>
      <family val="2"/>
    </font>
    <font>
      <sz val="10"/>
      <color indexed="30"/>
      <name val="Arial"/>
      <family val="2"/>
    </font>
    <font>
      <b/>
      <u/>
      <sz val="9"/>
      <color indexed="81"/>
      <name val="Tahoma"/>
      <family val="2"/>
    </font>
    <font>
      <sz val="12"/>
      <color indexed="8"/>
      <name val="Calibri"/>
      <family val="2"/>
    </font>
    <font>
      <b/>
      <i/>
      <sz val="10"/>
      <name val="Arial"/>
      <family val="2"/>
    </font>
    <font>
      <b/>
      <i/>
      <sz val="8"/>
      <name val="Arial"/>
      <family val="2"/>
    </font>
    <font>
      <u/>
      <sz val="8"/>
      <color indexed="81"/>
      <name val="Tahoma"/>
      <family val="2"/>
    </font>
    <font>
      <b/>
      <i/>
      <sz val="9"/>
      <color indexed="10"/>
      <name val="Arial"/>
      <family val="2"/>
    </font>
    <font>
      <i/>
      <sz val="9"/>
      <name val="Arial"/>
      <family val="2"/>
    </font>
    <font>
      <b/>
      <sz val="8"/>
      <name val="Tahoma"/>
      <family val="2"/>
    </font>
    <font>
      <b/>
      <i/>
      <sz val="10"/>
      <color indexed="10"/>
      <name val="Arial"/>
      <family val="2"/>
    </font>
    <font>
      <i/>
      <sz val="8"/>
      <color indexed="10"/>
      <name val="Arial"/>
      <family val="2"/>
    </font>
    <font>
      <b/>
      <sz val="11"/>
      <name val="Arial"/>
      <family val="2"/>
    </font>
    <font>
      <b/>
      <sz val="15"/>
      <color indexed="62"/>
      <name val="Calibri"/>
      <family val="2"/>
    </font>
    <font>
      <b/>
      <sz val="11"/>
      <color indexed="62"/>
      <name val="Calibri"/>
      <family val="2"/>
    </font>
    <font>
      <b/>
      <sz val="18"/>
      <color indexed="62"/>
      <name val="Cambria"/>
      <family val="2"/>
    </font>
    <font>
      <b/>
      <sz val="10"/>
      <color indexed="9"/>
      <name val="Arial"/>
      <family val="2"/>
    </font>
    <font>
      <sz val="11"/>
      <color indexed="8"/>
      <name val="Calibri"/>
      <family val="2"/>
    </font>
    <font>
      <sz val="10"/>
      <color indexed="10"/>
      <name val="Arial"/>
      <family val="2"/>
    </font>
    <font>
      <b/>
      <sz val="24"/>
      <color indexed="18"/>
      <name val="Arial"/>
      <family val="2"/>
    </font>
    <font>
      <b/>
      <sz val="10"/>
      <color indexed="10"/>
      <name val="Arial"/>
      <family val="2"/>
    </font>
    <font>
      <b/>
      <sz val="9"/>
      <color indexed="10"/>
      <name val="Arial"/>
      <family val="2"/>
    </font>
    <font>
      <b/>
      <i/>
      <sz val="10"/>
      <color indexed="60"/>
      <name val="Arial"/>
      <family val="2"/>
    </font>
    <font>
      <b/>
      <sz val="10"/>
      <color indexed="60"/>
      <name val="Arial"/>
      <family val="2"/>
    </font>
    <font>
      <sz val="10"/>
      <color indexed="60"/>
      <name val="Arial"/>
      <family val="2"/>
    </font>
    <font>
      <b/>
      <sz val="18"/>
      <color indexed="18"/>
      <name val="Arial"/>
      <family val="2"/>
    </font>
    <font>
      <sz val="10"/>
      <color indexed="57"/>
      <name val="Arial"/>
      <family val="2"/>
    </font>
    <font>
      <b/>
      <sz val="10"/>
      <color indexed="57"/>
      <name val="Arial"/>
      <family val="2"/>
    </font>
    <font>
      <b/>
      <sz val="10"/>
      <color indexed="9"/>
      <name val="Arial"/>
      <family val="2"/>
    </font>
    <font>
      <b/>
      <sz val="8"/>
      <color indexed="10"/>
      <name val="Arial"/>
      <family val="2"/>
    </font>
    <font>
      <b/>
      <sz val="10"/>
      <color indexed="9"/>
      <name val="Tahoma"/>
      <family val="2"/>
    </font>
    <font>
      <b/>
      <sz val="8"/>
      <color indexed="9"/>
      <name val="Tahoma"/>
      <family val="2"/>
    </font>
    <font>
      <sz val="11"/>
      <color indexed="8"/>
      <name val="Calibri"/>
      <family val="2"/>
    </font>
    <font>
      <sz val="8"/>
      <color indexed="63"/>
      <name val="Tahoma"/>
      <family val="2"/>
    </font>
    <font>
      <sz val="10"/>
      <color indexed="63"/>
      <name val="Arial"/>
      <family val="2"/>
    </font>
    <font>
      <b/>
      <i/>
      <u/>
      <sz val="12"/>
      <color indexed="10"/>
      <name val="Arial"/>
      <family val="2"/>
    </font>
    <font>
      <b/>
      <sz val="11"/>
      <color indexed="10"/>
      <name val="Arial"/>
      <family val="2"/>
    </font>
    <font>
      <i/>
      <sz val="8"/>
      <color indexed="10"/>
      <name val="Arial"/>
      <family val="2"/>
    </font>
    <font>
      <i/>
      <sz val="9"/>
      <color indexed="10"/>
      <name val="Arial"/>
      <family val="2"/>
    </font>
    <font>
      <b/>
      <sz val="20"/>
      <color indexed="18"/>
      <name val="Arial"/>
      <family val="2"/>
    </font>
    <font>
      <sz val="11"/>
      <color indexed="8"/>
      <name val="Arial"/>
      <family val="2"/>
    </font>
    <font>
      <b/>
      <sz val="12"/>
      <color indexed="9"/>
      <name val="Tahoma"/>
      <family val="2"/>
    </font>
    <font>
      <b/>
      <sz val="9"/>
      <color indexed="9"/>
      <name val="Tahoma"/>
      <family val="2"/>
    </font>
    <font>
      <sz val="10"/>
      <name val="Arial"/>
      <family val="2"/>
    </font>
    <font>
      <sz val="8"/>
      <color indexed="63"/>
      <name val="Tahoma"/>
      <family val="2"/>
    </font>
    <font>
      <sz val="10"/>
      <name val="Arial"/>
      <family val="2"/>
      <charset val="204"/>
    </font>
    <font>
      <sz val="10"/>
      <name val="Courier New"/>
      <family val="3"/>
    </font>
    <font>
      <b/>
      <i/>
      <sz val="10"/>
      <color indexed="8"/>
      <name val="Arial"/>
      <family val="2"/>
    </font>
    <font>
      <b/>
      <sz val="22"/>
      <color indexed="8"/>
      <name val="Times New Roman"/>
      <family val="1"/>
    </font>
    <font>
      <sz val="10"/>
      <name val="Arial"/>
      <family val="2"/>
      <charset val="162"/>
    </font>
    <font>
      <sz val="10"/>
      <name val="Arial"/>
      <family val="2"/>
      <charset val="186"/>
    </font>
    <font>
      <sz val="12"/>
      <name val="Helv"/>
    </font>
    <font>
      <b/>
      <sz val="18"/>
      <color indexed="56"/>
      <name val="Cambria"/>
      <family val="1"/>
    </font>
    <font>
      <sz val="11"/>
      <color indexed="8"/>
      <name val="Calibri"/>
      <family val="1"/>
      <charset val="136"/>
    </font>
    <font>
      <b/>
      <sz val="15"/>
      <color indexed="62"/>
      <name val="Calibri"/>
      <family val="2"/>
    </font>
    <font>
      <b/>
      <sz val="11"/>
      <color indexed="62"/>
      <name val="Calibri"/>
      <family val="2"/>
    </font>
    <font>
      <b/>
      <sz val="18"/>
      <color indexed="62"/>
      <name val="Cambria"/>
      <family val="2"/>
    </font>
    <font>
      <u/>
      <sz val="9"/>
      <name val="Arial"/>
      <family val="2"/>
    </font>
    <font>
      <b/>
      <u/>
      <sz val="9"/>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indexed="62"/>
      <name val="Calibri"/>
      <family val="2"/>
      <scheme val="minor"/>
    </font>
    <font>
      <b/>
      <sz val="13"/>
      <color indexed="62"/>
      <name val="Calibri"/>
      <family val="2"/>
      <scheme val="minor"/>
    </font>
    <font>
      <b/>
      <sz val="11"/>
      <color indexed="62"/>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1"/>
      <color theme="1"/>
      <name val="Calibri"/>
      <family val="2"/>
      <charset val="186"/>
      <scheme val="minor"/>
    </font>
    <font>
      <sz val="10"/>
      <color theme="1"/>
      <name val="Arial"/>
      <family val="2"/>
    </font>
    <font>
      <sz val="11"/>
      <color theme="1"/>
      <name val="Calibri"/>
      <family val="1"/>
      <charset val="136"/>
      <scheme val="minor"/>
    </font>
    <font>
      <sz val="11"/>
      <color theme="1"/>
      <name val="Calibri"/>
      <family val="2"/>
    </font>
    <font>
      <b/>
      <sz val="11"/>
      <color rgb="FF3F3F3F"/>
      <name val="Calibri"/>
      <family val="2"/>
      <scheme val="minor"/>
    </font>
    <font>
      <b/>
      <sz val="18"/>
      <color indexed="62"/>
      <name val="Cambria"/>
      <family val="2"/>
      <scheme val="major"/>
    </font>
    <font>
      <b/>
      <sz val="11"/>
      <color theme="1"/>
      <name val="Calibri"/>
      <family val="2"/>
      <scheme val="minor"/>
    </font>
    <font>
      <sz val="11"/>
      <color rgb="FFFF0000"/>
      <name val="Calibri"/>
      <family val="2"/>
      <scheme val="minor"/>
    </font>
    <font>
      <sz val="11"/>
      <color theme="1"/>
      <name val="Calibri"/>
      <family val="2"/>
      <charset val="204"/>
      <scheme val="minor"/>
    </font>
    <font>
      <b/>
      <sz val="10"/>
      <color theme="0"/>
      <name val="Arial"/>
      <family val="2"/>
    </font>
    <font>
      <sz val="11"/>
      <color theme="1"/>
      <name val="Arial"/>
      <family val="2"/>
    </font>
    <font>
      <b/>
      <sz val="9"/>
      <color theme="0"/>
      <name val="Arial"/>
      <family val="2"/>
    </font>
    <font>
      <b/>
      <sz val="12"/>
      <color rgb="FF000000"/>
      <name val="Arial"/>
      <family val="2"/>
    </font>
    <font>
      <sz val="8"/>
      <color rgb="FF000000"/>
      <name val="Segoe UI"/>
      <charset val="1"/>
    </font>
  </fonts>
  <fills count="88">
    <fill>
      <patternFill patternType="none"/>
    </fill>
    <fill>
      <patternFill patternType="gray125"/>
    </fill>
    <fill>
      <patternFill patternType="solid">
        <fgColor indexed="47"/>
      </patternFill>
    </fill>
    <fill>
      <patternFill patternType="solid">
        <fgColor indexed="29"/>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43"/>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62"/>
      </patternFill>
    </fill>
    <fill>
      <patternFill patternType="solid">
        <fgColor indexed="9"/>
      </patternFill>
    </fill>
    <fill>
      <patternFill patternType="solid">
        <fgColor indexed="55"/>
      </patternFill>
    </fill>
    <fill>
      <patternFill patternType="solid">
        <fgColor indexed="9"/>
        <bgColor indexed="64"/>
      </patternFill>
    </fill>
    <fill>
      <patternFill patternType="solid">
        <fgColor indexed="22"/>
        <bgColor indexed="31"/>
      </patternFill>
    </fill>
    <fill>
      <patternFill patternType="solid">
        <fgColor indexed="26"/>
        <bgColor indexed="9"/>
      </patternFill>
    </fill>
    <fill>
      <patternFill patternType="solid">
        <fgColor indexed="13"/>
      </patternFill>
    </fill>
    <fill>
      <patternFill patternType="solid">
        <fgColor indexed="17"/>
      </patternFill>
    </fill>
    <fill>
      <patternFill patternType="solid">
        <fgColor indexed="40"/>
        <bgColor indexed="49"/>
      </patternFill>
    </fill>
    <fill>
      <patternFill patternType="solid">
        <fgColor indexed="27"/>
        <bgColor indexed="41"/>
      </patternFill>
    </fill>
    <fill>
      <patternFill patternType="solid">
        <fgColor indexed="31"/>
        <bgColor indexed="22"/>
      </patternFill>
    </fill>
    <fill>
      <patternFill patternType="solid">
        <fgColor indexed="44"/>
        <bgColor indexed="64"/>
      </patternFill>
    </fill>
    <fill>
      <patternFill patternType="solid">
        <fgColor indexed="47"/>
        <bgColor indexed="64"/>
      </patternFill>
    </fill>
    <fill>
      <patternFill patternType="solid">
        <fgColor indexed="9"/>
        <bgColor indexed="26"/>
      </patternFill>
    </fill>
    <fill>
      <patternFill patternType="solid">
        <fgColor indexed="51"/>
        <bgColor indexed="64"/>
      </patternFill>
    </fill>
    <fill>
      <patternFill patternType="solid">
        <fgColor indexed="47"/>
        <bgColor indexed="26"/>
      </patternFill>
    </fill>
    <fill>
      <patternFill patternType="solid">
        <fgColor indexed="22"/>
        <bgColor indexed="64"/>
      </patternFill>
    </fill>
    <fill>
      <patternFill patternType="solid">
        <fgColor indexed="10"/>
        <bgColor indexed="64"/>
      </patternFill>
    </fill>
    <fill>
      <patternFill patternType="solid">
        <fgColor indexed="13"/>
        <bgColor indexed="64"/>
      </patternFill>
    </fill>
    <fill>
      <patternFill patternType="darkUp"/>
    </fill>
    <fill>
      <patternFill patternType="solid">
        <fgColor indexed="31"/>
        <bgColor indexed="64"/>
      </patternFill>
    </fill>
    <fill>
      <patternFill patternType="solid">
        <fgColor indexed="43"/>
        <bgColor indexed="64"/>
      </patternFill>
    </fill>
    <fill>
      <patternFill patternType="solid">
        <fgColor indexed="49"/>
        <bgColor indexed="64"/>
      </patternFill>
    </fill>
    <fill>
      <patternFill patternType="darkUp">
        <bgColor indexed="47"/>
      </patternFill>
    </fill>
    <fill>
      <patternFill patternType="solid">
        <fgColor indexed="62"/>
        <bgColor indexed="8"/>
      </patternFill>
    </fill>
    <fill>
      <patternFill patternType="solid">
        <fgColor indexed="49"/>
        <bgColor indexed="8"/>
      </patternFill>
    </fill>
    <fill>
      <patternFill patternType="solid">
        <fgColor indexed="9"/>
        <bgColor indexed="8"/>
      </patternFill>
    </fill>
    <fill>
      <patternFill patternType="solid">
        <fgColor indexed="44"/>
        <bgColor indexed="8"/>
      </patternFill>
    </fill>
    <fill>
      <patternFill patternType="solid">
        <fgColor indexed="22"/>
        <bgColor indexed="8"/>
      </patternFill>
    </fill>
    <fill>
      <patternFill patternType="solid">
        <fgColor indexed="47"/>
        <bgColor indexed="8"/>
      </patternFill>
    </fill>
    <fill>
      <patternFill patternType="solid">
        <fgColor indexed="57"/>
        <bgColor indexed="8"/>
      </patternFill>
    </fill>
    <fill>
      <patternFill patternType="solid">
        <fgColor indexed="43"/>
        <bgColor indexed="8"/>
      </patternFill>
    </fill>
    <fill>
      <patternFill patternType="darkUp">
        <bgColor indexed="31"/>
      </patternFill>
    </fill>
    <fill>
      <patternFill patternType="darkUp">
        <bgColor indexed="22"/>
      </patternFill>
    </fill>
    <fill>
      <patternFill patternType="solid">
        <fgColor indexed="62"/>
        <bgColor indexed="64"/>
      </patternFill>
    </fill>
    <fill>
      <patternFill patternType="solid">
        <fgColor indexed="11"/>
        <bgColor indexed="64"/>
      </patternFill>
    </fill>
    <fill>
      <patternFill patternType="solid">
        <fgColor theme="8" tint="0.79998168889431442"/>
        <bgColor indexed="65"/>
      </patternFill>
    </fill>
    <fill>
      <patternFill patternType="solid">
        <fgColor theme="5" tint="0.59999389629810485"/>
        <bgColor indexed="65"/>
      </patternFill>
    </fill>
    <fill>
      <patternFill patternType="solid">
        <fgColor theme="8" tint="0.59999389629810485"/>
        <bgColor indexed="65"/>
      </patternFill>
    </fill>
    <fill>
      <patternFill patternType="solid">
        <fgColor theme="5" tint="0.39997558519241921"/>
        <bgColor indexed="65"/>
      </patternFill>
    </fill>
    <fill>
      <patternFill patternType="solid">
        <fgColor theme="8" tint="0.39997558519241921"/>
        <bgColor indexed="65"/>
      </patternFill>
    </fill>
    <fill>
      <patternFill patternType="solid">
        <fgColor theme="5"/>
      </patternFill>
    </fill>
    <fill>
      <patternFill patternType="solid">
        <fgColor theme="6"/>
      </patternFill>
    </fill>
    <fill>
      <patternFill patternType="solid">
        <fgColor theme="8"/>
      </patternFill>
    </fill>
    <fill>
      <patternFill patternType="solid">
        <fgColor theme="9"/>
      </patternFill>
    </fill>
    <fill>
      <patternFill patternType="solid">
        <fgColor rgb="FFFFC7CE"/>
      </patternFill>
    </fill>
    <fill>
      <patternFill patternType="solid">
        <fgColor rgb="FFA5A5A5"/>
      </patternFill>
    </fill>
    <fill>
      <patternFill patternType="solid">
        <fgColor rgb="FFC6EFCE"/>
      </patternFill>
    </fill>
    <fill>
      <patternFill patternType="solid">
        <fgColor rgb="FFFFEB9C"/>
      </patternFill>
    </fill>
    <fill>
      <patternFill patternType="solid">
        <fgColor rgb="FFFFFFCC"/>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9" tint="0.39997558519241921"/>
        <bgColor indexed="26"/>
      </patternFill>
    </fill>
    <fill>
      <patternFill patternType="solid">
        <fgColor theme="6" tint="0.39997558519241921"/>
        <bgColor indexed="26"/>
      </patternFill>
    </fill>
    <fill>
      <patternFill patternType="solid">
        <fgColor theme="5" tint="0.59999389629810485"/>
        <bgColor indexed="26"/>
      </patternFill>
    </fill>
    <fill>
      <patternFill patternType="solid">
        <fgColor rgb="FFFFFF00"/>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rgb="FF99CCFF"/>
        <bgColor indexed="64"/>
      </patternFill>
    </fill>
  </fills>
  <borders count="10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style="thin">
        <color indexed="64"/>
      </right>
      <top/>
      <bottom/>
      <diagonal/>
    </border>
    <border>
      <left style="hair">
        <color indexed="48"/>
      </left>
      <right style="hair">
        <color indexed="48"/>
      </right>
      <top style="hair">
        <color indexed="48"/>
      </top>
      <bottom style="hair">
        <color indexed="48"/>
      </bottom>
      <diagonal/>
    </border>
    <border>
      <left style="thin">
        <color indexed="48"/>
      </left>
      <right style="thin">
        <color indexed="48"/>
      </right>
      <top style="thin">
        <color indexed="48"/>
      </top>
      <bottom style="thin">
        <color indexed="48"/>
      </bottom>
      <diagonal/>
    </border>
    <border>
      <left/>
      <right/>
      <top style="thin">
        <color indexed="49"/>
      </top>
      <bottom style="double">
        <color indexed="49"/>
      </bottom>
      <diagonal/>
    </border>
    <border>
      <left/>
      <right/>
      <top/>
      <bottom style="thick">
        <color indexed="62"/>
      </bottom>
      <diagonal/>
    </border>
    <border>
      <left/>
      <right/>
      <top/>
      <bottom style="medium">
        <color indexed="3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medium">
        <color indexed="64"/>
      </top>
      <bottom style="thin">
        <color indexed="64"/>
      </bottom>
      <diagonal/>
    </border>
    <border>
      <left style="thick">
        <color indexed="64"/>
      </left>
      <right style="thick">
        <color indexed="64"/>
      </right>
      <top style="thick">
        <color indexed="64"/>
      </top>
      <bottom style="thick">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medium">
        <color indexed="64"/>
      </top>
      <bottom/>
      <diagonal/>
    </border>
    <border>
      <left style="hair">
        <color indexed="64"/>
      </left>
      <right style="hair">
        <color indexed="64"/>
      </right>
      <top/>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diagonal/>
    </border>
    <border>
      <left style="hair">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tint="0.499984740745262"/>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s>
  <cellStyleXfs count="2636">
    <xf numFmtId="0" fontId="0" fillId="0" borderId="0"/>
    <xf numFmtId="0" fontId="120" fillId="2" borderId="0" applyNumberFormat="0" applyBorder="0" applyAlignment="0" applyProtection="0"/>
    <xf numFmtId="0" fontId="120" fillId="2" borderId="0" applyNumberFormat="0" applyBorder="0" applyAlignment="0" applyProtection="0"/>
    <xf numFmtId="0" fontId="120" fillId="2" borderId="0" applyNumberFormat="0" applyBorder="0" applyAlignment="0" applyProtection="0"/>
    <xf numFmtId="0" fontId="120" fillId="2" borderId="0" applyNumberFormat="0" applyBorder="0" applyAlignment="0" applyProtection="0"/>
    <xf numFmtId="0" fontId="120" fillId="3" borderId="0" applyNumberFormat="0" applyBorder="0" applyAlignment="0" applyProtection="0"/>
    <xf numFmtId="0" fontId="120" fillId="3" borderId="0" applyNumberFormat="0" applyBorder="0" applyAlignment="0" applyProtection="0"/>
    <xf numFmtId="0" fontId="120" fillId="3" borderId="0" applyNumberFormat="0" applyBorder="0" applyAlignment="0" applyProtection="0"/>
    <xf numFmtId="0" fontId="120" fillId="3" borderId="0" applyNumberFormat="0" applyBorder="0" applyAlignment="0" applyProtection="0"/>
    <xf numFmtId="0" fontId="120" fillId="4" borderId="0" applyNumberFormat="0" applyBorder="0" applyAlignment="0" applyProtection="0"/>
    <xf numFmtId="0" fontId="120" fillId="4" borderId="0" applyNumberFormat="0" applyBorder="0" applyAlignment="0" applyProtection="0"/>
    <xf numFmtId="0" fontId="120" fillId="4" borderId="0" applyNumberFormat="0" applyBorder="0" applyAlignment="0" applyProtection="0"/>
    <xf numFmtId="0" fontId="120" fillId="2" borderId="0" applyNumberFormat="0" applyBorder="0" applyAlignment="0" applyProtection="0"/>
    <xf numFmtId="0" fontId="120" fillId="2" borderId="0" applyNumberFormat="0" applyBorder="0" applyAlignment="0" applyProtection="0"/>
    <xf numFmtId="0" fontId="120" fillId="2" borderId="0" applyNumberFormat="0" applyBorder="0" applyAlignment="0" applyProtection="0"/>
    <xf numFmtId="0" fontId="120" fillId="2" borderId="0" applyNumberFormat="0" applyBorder="0" applyAlignment="0" applyProtection="0"/>
    <xf numFmtId="0" fontId="120" fillId="59" borderId="0" applyNumberFormat="0" applyBorder="0" applyAlignment="0" applyProtection="0"/>
    <xf numFmtId="0" fontId="120" fillId="59" borderId="0" applyNumberFormat="0" applyBorder="0" applyAlignment="0" applyProtection="0"/>
    <xf numFmtId="0" fontId="120" fillId="59" borderId="0" applyNumberFormat="0" applyBorder="0" applyAlignment="0" applyProtection="0"/>
    <xf numFmtId="0" fontId="120" fillId="4" borderId="0" applyNumberFormat="0" applyBorder="0" applyAlignment="0" applyProtection="0"/>
    <xf numFmtId="0" fontId="120" fillId="4" borderId="0" applyNumberFormat="0" applyBorder="0" applyAlignment="0" applyProtection="0"/>
    <xf numFmtId="0" fontId="120" fillId="4" borderId="0" applyNumberFormat="0" applyBorder="0" applyAlignment="0" applyProtection="0"/>
    <xf numFmtId="0" fontId="120" fillId="4" borderId="0" applyNumberFormat="0" applyBorder="0" applyAlignment="0" applyProtection="0"/>
    <xf numFmtId="0" fontId="25"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25"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25"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25"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5"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5"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0" fillId="11" borderId="0" applyNumberFormat="0" applyBorder="0" applyAlignment="0" applyProtection="0"/>
    <xf numFmtId="0" fontId="120" fillId="11" borderId="0" applyNumberFormat="0" applyBorder="0" applyAlignment="0" applyProtection="0"/>
    <xf numFmtId="0" fontId="120" fillId="11"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61" borderId="0" applyNumberFormat="0" applyBorder="0" applyAlignment="0" applyProtection="0"/>
    <xf numFmtId="0" fontId="120" fillId="61" borderId="0" applyNumberFormat="0" applyBorder="0" applyAlignment="0" applyProtection="0"/>
    <xf numFmtId="0" fontId="120" fillId="61" borderId="0" applyNumberFormat="0" applyBorder="0" applyAlignment="0" applyProtection="0"/>
    <xf numFmtId="0" fontId="120" fillId="11" borderId="0" applyNumberFormat="0" applyBorder="0" applyAlignment="0" applyProtection="0"/>
    <xf numFmtId="0" fontId="120" fillId="11" borderId="0" applyNumberFormat="0" applyBorder="0" applyAlignment="0" applyProtection="0"/>
    <xf numFmtId="0" fontId="120" fillId="11" borderId="0" applyNumberFormat="0" applyBorder="0" applyAlignment="0" applyProtection="0"/>
    <xf numFmtId="0" fontId="120" fillId="11" borderId="0" applyNumberFormat="0" applyBorder="0" applyAlignment="0" applyProtection="0"/>
    <xf numFmtId="0" fontId="25"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5"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5"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5"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5"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5"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21" fillId="15" borderId="0" applyNumberFormat="0" applyBorder="0" applyAlignment="0" applyProtection="0"/>
    <xf numFmtId="0" fontId="121" fillId="15" borderId="0" applyNumberFormat="0" applyBorder="0" applyAlignment="0" applyProtection="0"/>
    <xf numFmtId="0" fontId="121" fillId="15" borderId="0" applyNumberFormat="0" applyBorder="0" applyAlignment="0" applyProtection="0"/>
    <xf numFmtId="0" fontId="121" fillId="62" borderId="0" applyNumberFormat="0" applyBorder="0" applyAlignment="0" applyProtection="0"/>
    <xf numFmtId="0" fontId="121" fillId="62" borderId="0" applyNumberFormat="0" applyBorder="0" applyAlignment="0" applyProtection="0"/>
    <xf numFmtId="0" fontId="121" fillId="11" borderId="0" applyNumberFormat="0" applyBorder="0" applyAlignment="0" applyProtection="0"/>
    <xf numFmtId="0" fontId="121" fillId="11" borderId="0" applyNumberFormat="0" applyBorder="0" applyAlignment="0" applyProtection="0"/>
    <xf numFmtId="0" fontId="121" fillId="10" borderId="0" applyNumberFormat="0" applyBorder="0" applyAlignment="0" applyProtection="0"/>
    <xf numFmtId="0" fontId="121" fillId="10" borderId="0" applyNumberFormat="0" applyBorder="0" applyAlignment="0" applyProtection="0"/>
    <xf numFmtId="0" fontId="121" fillId="63" borderId="0" applyNumberFormat="0" applyBorder="0" applyAlignment="0" applyProtection="0"/>
    <xf numFmtId="0" fontId="121" fillId="63" borderId="0" applyNumberFormat="0" applyBorder="0" applyAlignment="0" applyProtection="0"/>
    <xf numFmtId="0" fontId="121" fillId="3" borderId="0" applyNumberFormat="0" applyBorder="0" applyAlignment="0" applyProtection="0"/>
    <xf numFmtId="0" fontId="121" fillId="3" borderId="0" applyNumberFormat="0" applyBorder="0" applyAlignment="0" applyProtection="0"/>
    <xf numFmtId="0" fontId="121" fillId="3" borderId="0" applyNumberFormat="0" applyBorder="0" applyAlignment="0" applyProtection="0"/>
    <xf numFmtId="0" fontId="26" fillId="16" borderId="0" applyNumberFormat="0" applyBorder="0" applyAlignment="0" applyProtection="0"/>
    <xf numFmtId="0" fontId="26" fillId="3"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15" borderId="0" applyNumberFormat="0" applyBorder="0" applyAlignment="0" applyProtection="0"/>
    <xf numFmtId="0" fontId="26" fillId="18" borderId="0" applyNumberFormat="0" applyBorder="0" applyAlignment="0" applyProtection="0"/>
    <xf numFmtId="0" fontId="121" fillId="15" borderId="0" applyNumberFormat="0" applyBorder="0" applyAlignment="0" applyProtection="0"/>
    <xf numFmtId="0" fontId="121" fillId="15" borderId="0" applyNumberFormat="0" applyBorder="0" applyAlignment="0" applyProtection="0"/>
    <xf numFmtId="0" fontId="121" fillId="15" borderId="0" applyNumberFormat="0" applyBorder="0" applyAlignment="0" applyProtection="0"/>
    <xf numFmtId="0" fontId="121" fillId="64" borderId="0" applyNumberFormat="0" applyBorder="0" applyAlignment="0" applyProtection="0"/>
    <xf numFmtId="0" fontId="121" fillId="64" borderId="0" applyNumberFormat="0" applyBorder="0" applyAlignment="0" applyProtection="0"/>
    <xf numFmtId="0" fontId="121" fillId="65" borderId="0" applyNumberFormat="0" applyBorder="0" applyAlignment="0" applyProtection="0"/>
    <xf numFmtId="0" fontId="121" fillId="65" borderId="0" applyNumberFormat="0" applyBorder="0" applyAlignment="0" applyProtection="0"/>
    <xf numFmtId="0" fontId="121" fillId="21" borderId="0" applyNumberFormat="0" applyBorder="0" applyAlignment="0" applyProtection="0"/>
    <xf numFmtId="0" fontId="121" fillId="21" borderId="0" applyNumberFormat="0" applyBorder="0" applyAlignment="0" applyProtection="0"/>
    <xf numFmtId="0" fontId="121" fillId="21" borderId="0" applyNumberFormat="0" applyBorder="0" applyAlignment="0" applyProtection="0"/>
    <xf numFmtId="0" fontId="121" fillId="66" borderId="0" applyNumberFormat="0" applyBorder="0" applyAlignment="0" applyProtection="0"/>
    <xf numFmtId="0" fontId="121" fillId="66" borderId="0" applyNumberFormat="0" applyBorder="0" applyAlignment="0" applyProtection="0"/>
    <xf numFmtId="0" fontId="121" fillId="67" borderId="0" applyNumberFormat="0" applyBorder="0" applyAlignment="0" applyProtection="0"/>
    <xf numFmtId="0" fontId="121" fillId="67" borderId="0" applyNumberFormat="0" applyBorder="0" applyAlignment="0" applyProtection="0"/>
    <xf numFmtId="0" fontId="26" fillId="23" borderId="0" applyNumberFormat="0" applyBorder="0" applyAlignment="0" applyProtection="0"/>
    <xf numFmtId="0" fontId="26" fillId="19" borderId="0" applyNumberFormat="0" applyBorder="0" applyAlignment="0" applyProtection="0"/>
    <xf numFmtId="0" fontId="26" fillId="20" borderId="0" applyNumberFormat="0" applyBorder="0" applyAlignment="0" applyProtection="0"/>
    <xf numFmtId="0" fontId="26" fillId="17" borderId="0" applyNumberFormat="0" applyBorder="0" applyAlignment="0" applyProtection="0"/>
    <xf numFmtId="0" fontId="26" fillId="15" borderId="0" applyNumberFormat="0" applyBorder="0" applyAlignment="0" applyProtection="0"/>
    <xf numFmtId="0" fontId="26" fillId="22" borderId="0" applyNumberFormat="0" applyBorder="0" applyAlignment="0" applyProtection="0"/>
    <xf numFmtId="0" fontId="34" fillId="10" borderId="1" applyNumberFormat="0" applyAlignment="0" applyProtection="0"/>
    <xf numFmtId="0" fontId="34" fillId="10" borderId="1" applyNumberFormat="0" applyAlignment="0" applyProtection="0"/>
    <xf numFmtId="0" fontId="34" fillId="10" borderId="1" applyNumberFormat="0" applyAlignment="0" applyProtection="0"/>
    <xf numFmtId="0" fontId="34" fillId="10" borderId="1" applyNumberFormat="0" applyAlignment="0" applyProtection="0"/>
    <xf numFmtId="0" fontId="34" fillId="10" borderId="1" applyNumberFormat="0" applyAlignment="0" applyProtection="0"/>
    <xf numFmtId="0" fontId="34" fillId="10" borderId="1" applyNumberFormat="0" applyAlignment="0" applyProtection="0"/>
    <xf numFmtId="0" fontId="34" fillId="10" borderId="1" applyNumberFormat="0" applyAlignment="0" applyProtection="0"/>
    <xf numFmtId="0" fontId="34" fillId="10" borderId="1" applyNumberFormat="0" applyAlignment="0" applyProtection="0"/>
    <xf numFmtId="0" fontId="34" fillId="10" borderId="1" applyNumberFormat="0" applyAlignment="0" applyProtection="0"/>
    <xf numFmtId="0" fontId="34" fillId="10" borderId="1" applyNumberFormat="0" applyAlignment="0" applyProtection="0"/>
    <xf numFmtId="0" fontId="34" fillId="10" borderId="1" applyNumberFormat="0" applyAlignment="0" applyProtection="0"/>
    <xf numFmtId="0" fontId="122" fillId="68" borderId="0" applyNumberFormat="0" applyBorder="0" applyAlignment="0" applyProtection="0"/>
    <xf numFmtId="0" fontId="122" fillId="68" borderId="0" applyNumberFormat="0" applyBorder="0" applyAlignment="0" applyProtection="0"/>
    <xf numFmtId="0" fontId="28" fillId="10" borderId="2" applyNumberFormat="0" applyAlignment="0" applyProtection="0"/>
    <xf numFmtId="0" fontId="28" fillId="10" borderId="2" applyNumberFormat="0" applyAlignment="0" applyProtection="0"/>
    <xf numFmtId="0" fontId="28" fillId="10" borderId="2" applyNumberFormat="0" applyAlignment="0" applyProtection="0"/>
    <xf numFmtId="0" fontId="28" fillId="10" borderId="2" applyNumberFormat="0" applyAlignment="0" applyProtection="0"/>
    <xf numFmtId="0" fontId="28" fillId="10" borderId="2" applyNumberFormat="0" applyAlignment="0" applyProtection="0"/>
    <xf numFmtId="0" fontId="28" fillId="10" borderId="2" applyNumberFormat="0" applyAlignment="0" applyProtection="0"/>
    <xf numFmtId="0" fontId="28" fillId="10" borderId="2" applyNumberFormat="0" applyAlignment="0" applyProtection="0"/>
    <xf numFmtId="0" fontId="28" fillId="10" borderId="2" applyNumberFormat="0" applyAlignment="0" applyProtection="0"/>
    <xf numFmtId="0" fontId="28" fillId="10" borderId="2" applyNumberFormat="0" applyAlignment="0" applyProtection="0"/>
    <xf numFmtId="0" fontId="28" fillId="10" borderId="2" applyNumberFormat="0" applyAlignment="0" applyProtection="0"/>
    <xf numFmtId="0" fontId="28" fillId="10" borderId="2" applyNumberFormat="0" applyAlignment="0" applyProtection="0"/>
    <xf numFmtId="0" fontId="123" fillId="24" borderId="97" applyNumberFormat="0" applyAlignment="0" applyProtection="0"/>
    <xf numFmtId="0" fontId="123" fillId="24" borderId="97" applyNumberFormat="0" applyAlignment="0" applyProtection="0"/>
    <xf numFmtId="0" fontId="123" fillId="24" borderId="97" applyNumberFormat="0" applyAlignment="0" applyProtection="0"/>
    <xf numFmtId="0" fontId="39" fillId="0" borderId="0"/>
    <xf numFmtId="0" fontId="124" fillId="69" borderId="98" applyNumberFormat="0" applyAlignment="0" applyProtection="0"/>
    <xf numFmtId="0" fontId="124" fillId="69" borderId="98" applyNumberFormat="0" applyAlignment="0" applyProtection="0"/>
    <xf numFmtId="168" fontId="2" fillId="0" borderId="0" applyFont="0" applyFill="0" applyBorder="0" applyAlignment="0" applyProtection="0"/>
    <xf numFmtId="166" fontId="9" fillId="0" borderId="0" applyFont="0" applyFill="0" applyBorder="0" applyAlignment="0" applyProtection="0"/>
    <xf numFmtId="166" fontId="2" fillId="0" borderId="0" applyFont="0" applyFill="0" applyBorder="0" applyAlignment="0" applyProtection="0"/>
    <xf numFmtId="166" fontId="9" fillId="0" borderId="0" applyFont="0" applyFill="0" applyBorder="0" applyAlignment="0" applyProtection="0"/>
    <xf numFmtId="203" fontId="2" fillId="0" borderId="0" applyFont="0" applyFill="0" applyBorder="0" applyAlignment="0" applyProtection="0"/>
    <xf numFmtId="203" fontId="2" fillId="0" borderId="0" applyFont="0" applyFill="0" applyBorder="0" applyAlignment="0" applyProtection="0"/>
    <xf numFmtId="166" fontId="2" fillId="0" borderId="0" applyFont="0" applyFill="0" applyBorder="0" applyAlignment="0" applyProtection="0"/>
    <xf numFmtId="168" fontId="40" fillId="0" borderId="0" applyFont="0" applyFill="0" applyBorder="0" applyAlignment="0" applyProtection="0"/>
    <xf numFmtId="168" fontId="9" fillId="0" borderId="0" applyFont="0" applyFill="0" applyBorder="0" applyAlignment="0" applyProtection="0"/>
    <xf numFmtId="168" fontId="40" fillId="0" borderId="0" applyFont="0" applyFill="0" applyBorder="0" applyAlignment="0" applyProtection="0"/>
    <xf numFmtId="192" fontId="1" fillId="0" borderId="0" applyFont="0" applyFill="0" applyBorder="0" applyAlignment="0" applyProtection="0"/>
    <xf numFmtId="168" fontId="9" fillId="0" borderId="0" applyFont="0" applyFill="0" applyBorder="0" applyAlignment="0" applyProtection="0"/>
    <xf numFmtId="192" fontId="1" fillId="0" borderId="0" applyFont="0" applyFill="0" applyBorder="0" applyAlignment="0" applyProtection="0"/>
    <xf numFmtId="168" fontId="9" fillId="0" borderId="0" applyFont="0" applyFill="0" applyBorder="0" applyAlignment="0" applyProtection="0"/>
    <xf numFmtId="192" fontId="1" fillId="0" borderId="0" applyFont="0" applyFill="0" applyBorder="0" applyAlignment="0" applyProtection="0"/>
    <xf numFmtId="168" fontId="9" fillId="0" borderId="0" applyFont="0" applyFill="0" applyBorder="0" applyAlignment="0" applyProtection="0"/>
    <xf numFmtId="192" fontId="1" fillId="0" borderId="0" applyFont="0" applyFill="0" applyBorder="0" applyAlignment="0" applyProtection="0"/>
    <xf numFmtId="168" fontId="9" fillId="0" borderId="0" applyFont="0" applyFill="0" applyBorder="0" applyAlignment="0" applyProtection="0"/>
    <xf numFmtId="202" fontId="1" fillId="0" borderId="0" applyFont="0" applyFill="0" applyBorder="0" applyAlignment="0" applyProtection="0"/>
    <xf numFmtId="192" fontId="1" fillId="0" borderId="0" applyFont="0" applyFill="0" applyBorder="0" applyAlignment="0" applyProtection="0"/>
    <xf numFmtId="202" fontId="1" fillId="0" borderId="0" applyFont="0" applyFill="0" applyBorder="0" applyAlignment="0" applyProtection="0"/>
    <xf numFmtId="168" fontId="2" fillId="0" borderId="0" applyFont="0" applyFill="0" applyBorder="0" applyAlignment="0" applyProtection="0"/>
    <xf numFmtId="192" fontId="2" fillId="0" borderId="0" applyFont="0" applyFill="0" applyBorder="0" applyAlignment="0" applyProtection="0"/>
    <xf numFmtId="192" fontId="2" fillId="0" borderId="0" applyFont="0" applyFill="0" applyBorder="0" applyAlignment="0" applyProtection="0"/>
    <xf numFmtId="192" fontId="2" fillId="0" borderId="0" applyFont="0" applyFill="0" applyBorder="0" applyAlignment="0" applyProtection="0"/>
    <xf numFmtId="168" fontId="4"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71" fontId="4" fillId="0" borderId="0" applyFill="0" applyBorder="0" applyAlignment="0" applyProtection="0"/>
    <xf numFmtId="171" fontId="2" fillId="0" borderId="0" applyFill="0" applyBorder="0" applyAlignment="0" applyProtection="0"/>
    <xf numFmtId="171" fontId="2" fillId="0" borderId="0" applyFill="0" applyBorder="0" applyAlignment="0" applyProtection="0"/>
    <xf numFmtId="168" fontId="2" fillId="0" borderId="0" applyFill="0" applyBorder="0" applyAlignment="0" applyProtection="0"/>
    <xf numFmtId="168" fontId="2" fillId="0" borderId="0" applyFont="0" applyFill="0" applyBorder="0" applyAlignment="0" applyProtection="0"/>
    <xf numFmtId="168" fontId="9" fillId="0" borderId="0" applyFont="0" applyFill="0" applyBorder="0" applyAlignment="0" applyProtection="0"/>
    <xf numFmtId="168" fontId="2" fillId="0" borderId="0" applyFont="0" applyFill="0" applyBorder="0" applyAlignment="0" applyProtection="0"/>
    <xf numFmtId="192" fontId="2"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71" fontId="2" fillId="0" borderId="0" applyFont="0" applyFill="0" applyBorder="0" applyAlignment="0" applyProtection="0"/>
    <xf numFmtId="192" fontId="2" fillId="0" borderId="0" applyFont="0" applyFill="0" applyBorder="0" applyAlignment="0" applyProtection="0"/>
    <xf numFmtId="168" fontId="9" fillId="0" borderId="0" applyFont="0" applyFill="0" applyBorder="0" applyAlignment="0" applyProtection="0"/>
    <xf numFmtId="171" fontId="2" fillId="0" borderId="0" applyFont="0" applyFill="0" applyBorder="0" applyAlignment="0" applyProtection="0"/>
    <xf numFmtId="171" fontId="2"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165" fontId="4" fillId="0" borderId="0" applyFont="0" applyFill="0" applyBorder="0" applyAlignment="0" applyProtection="0"/>
    <xf numFmtId="165" fontId="2" fillId="0" borderId="0" applyFont="0" applyFill="0" applyBorder="0" applyAlignment="0" applyProtection="0"/>
    <xf numFmtId="0" fontId="2" fillId="0" borderId="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4"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9"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4"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9"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168" fontId="4" fillId="0" borderId="0" applyFont="0" applyFill="0" applyBorder="0" applyAlignment="0" applyProtection="0"/>
    <xf numFmtId="168" fontId="2" fillId="0" borderId="0" applyFont="0" applyFill="0" applyBorder="0" applyAlignment="0" applyProtection="0"/>
    <xf numFmtId="0" fontId="2" fillId="0" borderId="0"/>
    <xf numFmtId="192" fontId="1"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75" fontId="4"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2" fillId="0" borderId="0" applyFont="0" applyFill="0" applyBorder="0" applyAlignment="0" applyProtection="0"/>
    <xf numFmtId="168" fontId="2" fillId="0" borderId="0" applyFont="0" applyFill="0" applyBorder="0" applyAlignment="0" applyProtection="0"/>
    <xf numFmtId="175" fontId="2" fillId="0" borderId="0" applyFont="0" applyFill="0" applyBorder="0" applyAlignment="0" applyProtection="0"/>
    <xf numFmtId="19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75" fontId="4"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2" fillId="0" borderId="0" applyFont="0" applyFill="0" applyBorder="0" applyAlignment="0" applyProtection="0"/>
    <xf numFmtId="168" fontId="2" fillId="0" borderId="0" applyFont="0" applyFill="0" applyBorder="0" applyAlignment="0" applyProtection="0"/>
    <xf numFmtId="175" fontId="4"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75" fontId="4" fillId="0" borderId="0" applyFont="0" applyFill="0" applyBorder="0" applyAlignment="0" applyProtection="0"/>
    <xf numFmtId="175" fontId="2"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71" fontId="4" fillId="0" borderId="0" applyFill="0" applyBorder="0" applyAlignment="0" applyProtection="0"/>
    <xf numFmtId="171" fontId="2" fillId="0" borderId="0" applyFill="0" applyBorder="0" applyAlignment="0" applyProtection="0"/>
    <xf numFmtId="171" fontId="2" fillId="0" borderId="0" applyFill="0" applyBorder="0" applyAlignment="0" applyProtection="0"/>
    <xf numFmtId="168" fontId="2" fillId="0" borderId="0" applyFill="0" applyBorder="0" applyAlignment="0" applyProtection="0"/>
    <xf numFmtId="168" fontId="9" fillId="0" borderId="0" applyFont="0" applyFill="0" applyBorder="0" applyAlignment="0" applyProtection="0"/>
    <xf numFmtId="171" fontId="2" fillId="0" borderId="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60"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1" fillId="0" borderId="0" applyFont="0" applyFill="0" applyBorder="0" applyAlignment="0" applyProtection="0"/>
    <xf numFmtId="168" fontId="2" fillId="0" borderId="0" applyFont="0" applyFill="0" applyBorder="0" applyAlignment="0" applyProtection="0"/>
    <xf numFmtId="168" fontId="1" fillId="0" borderId="0" applyFont="0" applyFill="0" applyBorder="0" applyAlignment="0" applyProtection="0"/>
    <xf numFmtId="168" fontId="2" fillId="0" borderId="0" applyFont="0" applyFill="0" applyBorder="0" applyAlignment="0" applyProtection="0"/>
    <xf numFmtId="168" fontId="1" fillId="0" borderId="0" applyFont="0" applyFill="0" applyBorder="0" applyAlignment="0" applyProtection="0"/>
    <xf numFmtId="168" fontId="2" fillId="0" borderId="0" applyFont="0" applyFill="0" applyBorder="0" applyAlignment="0" applyProtection="0"/>
    <xf numFmtId="168" fontId="106" fillId="0" borderId="0" applyFont="0" applyFill="0" applyBorder="0" applyAlignment="0" applyProtection="0"/>
    <xf numFmtId="168" fontId="1" fillId="0" borderId="0" applyFont="0" applyFill="0" applyBorder="0" applyAlignment="0" applyProtection="0"/>
    <xf numFmtId="168" fontId="9"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99" fontId="2" fillId="0" borderId="0" applyFont="0" applyFill="0" applyBorder="0" applyAlignment="0" applyProtection="0"/>
    <xf numFmtId="192" fontId="1" fillId="0" borderId="0" applyFont="0" applyFill="0" applyBorder="0" applyAlignment="0" applyProtection="0"/>
    <xf numFmtId="168" fontId="2" fillId="0" borderId="0" applyFont="0" applyFill="0" applyBorder="0" applyAlignment="0" applyProtection="0"/>
    <xf numFmtId="192" fontId="1" fillId="0" borderId="0" applyFont="0" applyFill="0" applyBorder="0" applyAlignment="0" applyProtection="0"/>
    <xf numFmtId="168" fontId="1" fillId="0" borderId="0" applyFont="0" applyFill="0" applyBorder="0" applyAlignment="0" applyProtection="0"/>
    <xf numFmtId="168"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92" fontId="78" fillId="0" borderId="0" applyFont="0" applyFill="0" applyBorder="0" applyAlignment="0" applyProtection="0"/>
    <xf numFmtId="192" fontId="78" fillId="0" borderId="0" applyFont="0" applyFill="0" applyBorder="0" applyAlignment="0" applyProtection="0"/>
    <xf numFmtId="192" fontId="78" fillId="0" borderId="0" applyFont="0" applyFill="0" applyBorder="0" applyAlignment="0" applyProtection="0"/>
    <xf numFmtId="192" fontId="78" fillId="0" borderId="0" applyFont="0" applyFill="0" applyBorder="0" applyAlignment="0" applyProtection="0"/>
    <xf numFmtId="192" fontId="78"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9"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92" fontId="78" fillId="0" borderId="0" applyFont="0" applyFill="0" applyBorder="0" applyAlignment="0" applyProtection="0"/>
    <xf numFmtId="192" fontId="78" fillId="0" borderId="0" applyFont="0" applyFill="0" applyBorder="0" applyAlignment="0" applyProtection="0"/>
    <xf numFmtId="192" fontId="78" fillId="0" borderId="0" applyFont="0" applyFill="0" applyBorder="0" applyAlignment="0" applyProtection="0"/>
    <xf numFmtId="192" fontId="78" fillId="0" borderId="0" applyFont="0" applyFill="0" applyBorder="0" applyAlignment="0" applyProtection="0"/>
    <xf numFmtId="192" fontId="78" fillId="0" borderId="0" applyFont="0" applyFill="0" applyBorder="0" applyAlignment="0" applyProtection="0"/>
    <xf numFmtId="192" fontId="78" fillId="0" borderId="0" applyFont="0" applyFill="0" applyBorder="0" applyAlignment="0" applyProtection="0"/>
    <xf numFmtId="192" fontId="78" fillId="0" borderId="0" applyFont="0" applyFill="0" applyBorder="0" applyAlignment="0" applyProtection="0"/>
    <xf numFmtId="192" fontId="78"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9" fillId="0" borderId="0" applyFont="0" applyFill="0" applyBorder="0" applyAlignment="0" applyProtection="0"/>
    <xf numFmtId="192" fontId="1" fillId="0" borderId="0" applyFont="0" applyFill="0" applyBorder="0" applyAlignment="0" applyProtection="0"/>
    <xf numFmtId="192" fontId="1" fillId="0" borderId="0" applyFont="0" applyFill="0" applyBorder="0" applyAlignment="0" applyProtection="0"/>
    <xf numFmtId="168" fontId="78"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78"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78"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78"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14"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9"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14"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4" fillId="0" borderId="0" applyFont="0" applyFill="0" applyBorder="0" applyAlignment="0" applyProtection="0"/>
    <xf numFmtId="167" fontId="2"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4" fillId="0" borderId="0" applyFont="0" applyFill="0" applyBorder="0" applyAlignment="0" applyProtection="0"/>
    <xf numFmtId="0" fontId="2" fillId="0" borderId="0" applyFont="0" applyFill="0" applyBorder="0" applyAlignment="0" applyProtection="0"/>
    <xf numFmtId="0" fontId="4" fillId="0" borderId="0" applyFont="0" applyFill="0" applyBorder="0" applyAlignment="0" applyProtection="0"/>
    <xf numFmtId="0" fontId="2" fillId="0" borderId="0" applyFont="0" applyFill="0" applyBorder="0" applyAlignment="0" applyProtection="0"/>
    <xf numFmtId="0" fontId="4" fillId="0" borderId="0" applyFont="0" applyFill="0" applyBorder="0" applyAlignment="0" applyProtection="0"/>
    <xf numFmtId="0" fontId="2" fillId="0" borderId="0" applyFont="0" applyFill="0" applyBorder="0" applyAlignment="0" applyProtection="0"/>
    <xf numFmtId="0" fontId="4" fillId="0" borderId="0" applyFont="0" applyFill="0" applyBorder="0" applyAlignment="0" applyProtection="0"/>
    <xf numFmtId="0" fontId="2" fillId="0" borderId="0" applyFont="0" applyFill="0" applyBorder="0" applyAlignment="0" applyProtection="0"/>
    <xf numFmtId="0" fontId="4" fillId="0" borderId="0" applyFont="0" applyFill="0" applyBorder="0" applyAlignment="0" applyProtection="0"/>
    <xf numFmtId="0" fontId="2" fillId="0" borderId="0" applyFont="0" applyFill="0" applyBorder="0" applyAlignment="0" applyProtection="0"/>
    <xf numFmtId="184" fontId="4" fillId="0" borderId="0" applyFill="0" applyBorder="0" applyAlignment="0" applyProtection="0"/>
    <xf numFmtId="184" fontId="2" fillId="0" borderId="0" applyFill="0" applyBorder="0" applyAlignment="0" applyProtection="0"/>
    <xf numFmtId="0" fontId="2" fillId="0" borderId="0" applyFont="0" applyFill="0" applyBorder="0" applyAlignment="0" applyProtection="0"/>
    <xf numFmtId="204" fontId="2"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70" fontId="4"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6" fontId="4"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0" fontId="4"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0" fontId="4" fillId="0" borderId="0" applyFont="0" applyFill="0" applyBorder="0" applyAlignment="0" applyProtection="0"/>
    <xf numFmtId="170" fontId="2" fillId="0" borderId="0" applyFont="0" applyFill="0" applyBorder="0" applyAlignment="0" applyProtection="0"/>
    <xf numFmtId="170" fontId="2" fillId="0" borderId="0" applyFont="0" applyFill="0" applyBorder="0" applyAlignment="0" applyProtection="0"/>
    <xf numFmtId="167" fontId="2" fillId="0" borderId="0" applyFont="0" applyFill="0" applyBorder="0" applyAlignment="0" applyProtection="0"/>
    <xf numFmtId="177" fontId="4"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7" fontId="4" fillId="0" borderId="0" applyFont="0" applyFill="0" applyBorder="0" applyAlignment="0" applyProtection="0"/>
    <xf numFmtId="177" fontId="2" fillId="0" borderId="0" applyFont="0" applyFill="0" applyBorder="0" applyAlignment="0" applyProtection="0"/>
    <xf numFmtId="173" fontId="4"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3" fontId="4" fillId="0" borderId="0" applyFont="0" applyFill="0" applyBorder="0" applyAlignment="0" applyProtection="0"/>
    <xf numFmtId="173" fontId="2" fillId="0" borderId="0" applyFont="0" applyFill="0" applyBorder="0" applyAlignment="0" applyProtection="0"/>
    <xf numFmtId="176" fontId="4"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176" fontId="4" fillId="0" borderId="0" applyFont="0" applyFill="0" applyBorder="0" applyAlignment="0" applyProtection="0"/>
    <xf numFmtId="176" fontId="2" fillId="0" borderId="0" applyFont="0" applyFill="0" applyBorder="0" applyAlignment="0" applyProtection="0"/>
    <xf numFmtId="204" fontId="2" fillId="0" borderId="0" applyFont="0" applyFill="0" applyBorder="0" applyAlignment="0" applyProtection="0"/>
    <xf numFmtId="167" fontId="2" fillId="0" borderId="0" applyFont="0" applyFill="0" applyBorder="0" applyAlignment="0" applyProtection="0"/>
    <xf numFmtId="0" fontId="32" fillId="2" borderId="2" applyNumberFormat="0" applyAlignment="0" applyProtection="0"/>
    <xf numFmtId="0" fontId="32" fillId="2" borderId="2" applyNumberFormat="0" applyAlignment="0" applyProtection="0"/>
    <xf numFmtId="0" fontId="32" fillId="2" borderId="2" applyNumberFormat="0" applyAlignment="0" applyProtection="0"/>
    <xf numFmtId="0" fontId="32" fillId="2" borderId="2" applyNumberFormat="0" applyAlignment="0" applyProtection="0"/>
    <xf numFmtId="0" fontId="32" fillId="2" borderId="2" applyNumberFormat="0" applyAlignment="0" applyProtection="0"/>
    <xf numFmtId="0" fontId="32" fillId="2" borderId="2" applyNumberFormat="0" applyAlignment="0" applyProtection="0"/>
    <xf numFmtId="0" fontId="32" fillId="2" borderId="2" applyNumberFormat="0" applyAlignment="0" applyProtection="0"/>
    <xf numFmtId="0" fontId="32" fillId="2" borderId="2" applyNumberFormat="0" applyAlignment="0" applyProtection="0"/>
    <xf numFmtId="0" fontId="32" fillId="2" borderId="2" applyNumberFormat="0" applyAlignment="0" applyProtection="0"/>
    <xf numFmtId="0" fontId="32" fillId="2" borderId="2" applyNumberFormat="0" applyAlignment="0" applyProtection="0"/>
    <xf numFmtId="0" fontId="32" fillId="2" borderId="2" applyNumberFormat="0" applyAlignment="0" applyProtection="0"/>
    <xf numFmtId="0" fontId="35" fillId="0" borderId="4" applyNumberFormat="0" applyFill="0" applyAlignment="0" applyProtection="0"/>
    <xf numFmtId="0" fontId="35" fillId="0" borderId="4" applyNumberFormat="0" applyFill="0" applyAlignment="0" applyProtection="0"/>
    <xf numFmtId="0" fontId="35" fillId="0" borderId="4" applyNumberFormat="0" applyFill="0" applyAlignment="0" applyProtection="0"/>
    <xf numFmtId="0" fontId="35" fillId="0" borderId="4" applyNumberFormat="0" applyFill="0" applyAlignment="0" applyProtection="0"/>
    <xf numFmtId="0" fontId="35" fillId="0" borderId="4" applyNumberFormat="0" applyFill="0" applyAlignment="0" applyProtection="0"/>
    <xf numFmtId="0" fontId="35" fillId="0" borderId="4" applyNumberFormat="0" applyFill="0" applyAlignment="0" applyProtection="0"/>
    <xf numFmtId="0" fontId="35" fillId="0" borderId="4" applyNumberFormat="0" applyFill="0" applyAlignment="0" applyProtection="0"/>
    <xf numFmtId="0" fontId="35" fillId="0" borderId="4" applyNumberFormat="0" applyFill="0" applyAlignment="0" applyProtection="0"/>
    <xf numFmtId="0" fontId="35" fillId="0" borderId="4" applyNumberFormat="0" applyFill="0" applyAlignment="0" applyProtection="0"/>
    <xf numFmtId="0" fontId="35" fillId="0" borderId="4" applyNumberFormat="0" applyFill="0" applyAlignment="0" applyProtection="0"/>
    <xf numFmtId="0" fontId="35" fillId="0" borderId="4" applyNumberFormat="0" applyFill="0" applyAlignment="0" applyProtection="0"/>
    <xf numFmtId="0" fontId="30" fillId="0" borderId="0" applyNumberFormat="0" applyFill="0" applyBorder="0" applyAlignment="0" applyProtection="0"/>
    <xf numFmtId="200" fontId="2" fillId="0" borderId="0" applyFont="0" applyFill="0" applyBorder="0" applyAlignment="0" applyProtection="0"/>
    <xf numFmtId="0" fontId="125" fillId="0" borderId="0" applyNumberFormat="0" applyFill="0" applyBorder="0" applyAlignment="0" applyProtection="0"/>
    <xf numFmtId="0" fontId="125" fillId="0" borderId="0" applyNumberFormat="0" applyFill="0" applyBorder="0" applyAlignment="0" applyProtection="0"/>
    <xf numFmtId="0" fontId="2" fillId="26" borderId="0" applyNumberFormat="0">
      <alignment horizontal="center"/>
    </xf>
    <xf numFmtId="0" fontId="126" fillId="70" borderId="0" applyNumberFormat="0" applyBorder="0" applyAlignment="0" applyProtection="0"/>
    <xf numFmtId="0" fontId="126" fillId="70" borderId="0" applyNumberFormat="0" applyBorder="0" applyAlignment="0" applyProtection="0"/>
    <xf numFmtId="0" fontId="5" fillId="27" borderId="0" applyNumberFormat="0" applyBorder="0" applyAlignment="0" applyProtection="0"/>
    <xf numFmtId="0" fontId="31" fillId="8" borderId="0" applyNumberFormat="0" applyBorder="0" applyAlignment="0" applyProtection="0"/>
    <xf numFmtId="0" fontId="127" fillId="0" borderId="5" applyNumberFormat="0" applyFill="0" applyAlignment="0" applyProtection="0"/>
    <xf numFmtId="0" fontId="127" fillId="0" borderId="5" applyNumberFormat="0" applyFill="0" applyAlignment="0" applyProtection="0"/>
    <xf numFmtId="0" fontId="74" fillId="0" borderId="5" applyNumberFormat="0" applyFill="0" applyAlignment="0" applyProtection="0"/>
    <xf numFmtId="0" fontId="74" fillId="0" borderId="5" applyNumberFormat="0" applyFill="0" applyAlignment="0" applyProtection="0"/>
    <xf numFmtId="0" fontId="74" fillId="0" borderId="5" applyNumberFormat="0" applyFill="0" applyAlignment="0" applyProtection="0"/>
    <xf numFmtId="0" fontId="74" fillId="0" borderId="5" applyNumberFormat="0" applyFill="0" applyAlignment="0" applyProtection="0"/>
    <xf numFmtId="0" fontId="74" fillId="0" borderId="5" applyNumberFormat="0" applyFill="0" applyAlignment="0" applyProtection="0"/>
    <xf numFmtId="0" fontId="115" fillId="0" borderId="5" applyNumberFormat="0" applyFill="0" applyAlignment="0" applyProtection="0"/>
    <xf numFmtId="0" fontId="128" fillId="0" borderId="99" applyNumberFormat="0" applyFill="0" applyAlignment="0" applyProtection="0"/>
    <xf numFmtId="0" fontId="128" fillId="0" borderId="99" applyNumberFormat="0" applyFill="0" applyAlignment="0" applyProtection="0"/>
    <xf numFmtId="0" fontId="128" fillId="0" borderId="99" applyNumberFormat="0" applyFill="0" applyAlignment="0" applyProtection="0"/>
    <xf numFmtId="0" fontId="129" fillId="0" borderId="7" applyNumberFormat="0" applyFill="0" applyAlignment="0" applyProtection="0"/>
    <xf numFmtId="0" fontId="129" fillId="0" borderId="7" applyNumberFormat="0" applyFill="0" applyAlignment="0" applyProtection="0"/>
    <xf numFmtId="0" fontId="75" fillId="0" borderId="7" applyNumberFormat="0" applyFill="0" applyAlignment="0" applyProtection="0"/>
    <xf numFmtId="0" fontId="75" fillId="0" borderId="7" applyNumberFormat="0" applyFill="0" applyAlignment="0" applyProtection="0"/>
    <xf numFmtId="0" fontId="75" fillId="0" borderId="7" applyNumberFormat="0" applyFill="0" applyAlignment="0" applyProtection="0"/>
    <xf numFmtId="0" fontId="75" fillId="0" borderId="7" applyNumberFormat="0" applyFill="0" applyAlignment="0" applyProtection="0"/>
    <xf numFmtId="0" fontId="75" fillId="0" borderId="7" applyNumberFormat="0" applyFill="0" applyAlignment="0" applyProtection="0"/>
    <xf numFmtId="0" fontId="116" fillId="0" borderId="7" applyNumberFormat="0" applyFill="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116" fillId="0" borderId="0" applyNumberFormat="0" applyFill="0" applyBorder="0" applyAlignment="0" applyProtection="0"/>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41" fillId="0" borderId="0" applyNumberFormat="0" applyFill="0" applyBorder="0" applyAlignment="0" applyProtection="0">
      <alignment vertical="top"/>
      <protection locked="0"/>
    </xf>
    <xf numFmtId="0" fontId="130" fillId="11" borderId="97" applyNumberFormat="0" applyAlignment="0" applyProtection="0"/>
    <xf numFmtId="0" fontId="5" fillId="28" borderId="0" applyNumberFormat="0" applyBorder="0" applyAlignment="0" applyProtection="0"/>
    <xf numFmtId="0" fontId="130" fillId="11" borderId="97" applyNumberFormat="0" applyAlignment="0" applyProtection="0"/>
    <xf numFmtId="0" fontId="130" fillId="11" borderId="97" applyNumberFormat="0" applyAlignment="0" applyProtection="0"/>
    <xf numFmtId="0" fontId="130" fillId="11" borderId="97" applyNumberFormat="0" applyAlignment="0" applyProtection="0"/>
    <xf numFmtId="0" fontId="130" fillId="11" borderId="97" applyNumberFormat="0" applyAlignment="0" applyProtection="0"/>
    <xf numFmtId="0" fontId="130" fillId="11" borderId="97" applyNumberFormat="0" applyAlignment="0" applyProtection="0"/>
    <xf numFmtId="0" fontId="130" fillId="11" borderId="97" applyNumberFormat="0" applyAlignment="0" applyProtection="0"/>
    <xf numFmtId="0" fontId="130" fillId="11" borderId="97" applyNumberFormat="0" applyAlignment="0" applyProtection="0"/>
    <xf numFmtId="0" fontId="131" fillId="0" borderId="100" applyNumberFormat="0" applyFill="0" applyAlignment="0" applyProtection="0"/>
    <xf numFmtId="0" fontId="131" fillId="0" borderId="100" applyNumberFormat="0" applyFill="0" applyAlignment="0" applyProtection="0"/>
    <xf numFmtId="178" fontId="42" fillId="0" borderId="0" applyFont="0" applyFill="0" applyBorder="0" applyAlignment="0" applyProtection="0"/>
    <xf numFmtId="201" fontId="2" fillId="0" borderId="0" applyFont="0" applyFill="0" applyBorder="0" applyAlignment="0" applyProtection="0"/>
    <xf numFmtId="168" fontId="2" fillId="0" borderId="0" applyFont="0" applyFill="0" applyBorder="0" applyAlignment="0" applyProtection="0"/>
    <xf numFmtId="43" fontId="1" fillId="0" borderId="0" applyFont="0" applyFill="0" applyBorder="0" applyAlignment="0" applyProtection="0"/>
    <xf numFmtId="201" fontId="2" fillId="0" borderId="0" applyFont="0" applyFill="0" applyBorder="0" applyAlignment="0" applyProtection="0"/>
    <xf numFmtId="179" fontId="42" fillId="0" borderId="0" applyFont="0" applyFill="0" applyBorder="0" applyAlignment="0" applyProtection="0"/>
    <xf numFmtId="180" fontId="42" fillId="0" borderId="0" applyFont="0" applyFill="0" applyBorder="0" applyAlignment="0" applyProtection="0"/>
    <xf numFmtId="181" fontId="42" fillId="0" borderId="0" applyFont="0" applyFill="0" applyBorder="0" applyAlignment="0" applyProtection="0"/>
    <xf numFmtId="0" fontId="132" fillId="71" borderId="0" applyNumberFormat="0" applyBorder="0" applyAlignment="0" applyProtection="0"/>
    <xf numFmtId="0" fontId="132" fillId="71" borderId="0" applyNumberFormat="0" applyBorder="0" applyAlignment="0" applyProtection="0"/>
    <xf numFmtId="182" fontId="43" fillId="0" borderId="0"/>
    <xf numFmtId="0" fontId="2" fillId="0" borderId="0"/>
    <xf numFmtId="0" fontId="12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4" fillId="0" borderId="0"/>
    <xf numFmtId="0" fontId="2" fillId="0" borderId="0"/>
    <xf numFmtId="0" fontId="2" fillId="0" borderId="0"/>
    <xf numFmtId="0" fontId="2" fillId="0" borderId="0"/>
    <xf numFmtId="0" fontId="2" fillId="0" borderId="0"/>
    <xf numFmtId="0" fontId="4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0" fillId="0" borderId="0"/>
    <xf numFmtId="0" fontId="12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0" fillId="0" borderId="0"/>
    <xf numFmtId="0" fontId="110" fillId="0" borderId="0"/>
    <xf numFmtId="0" fontId="111" fillId="0" borderId="0"/>
    <xf numFmtId="172" fontId="11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0" fillId="0" borderId="0"/>
    <xf numFmtId="0" fontId="11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0" fillId="0" borderId="0"/>
    <xf numFmtId="0" fontId="13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0" fillId="0" borderId="0"/>
    <xf numFmtId="0" fontId="133" fillId="0" borderId="0"/>
    <xf numFmtId="0" fontId="2"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4"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120" fillId="0" borderId="0"/>
    <xf numFmtId="0" fontId="104" fillId="0" borderId="0"/>
    <xf numFmtId="0" fontId="2" fillId="0" borderId="0"/>
    <xf numFmtId="0" fontId="2" fillId="0" borderId="0"/>
    <xf numFmtId="0" fontId="2" fillId="0" borderId="0"/>
    <xf numFmtId="0" fontId="4" fillId="0" borderId="0"/>
    <xf numFmtId="0" fontId="134"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120" fillId="0" borderId="0"/>
    <xf numFmtId="0" fontId="2" fillId="0" borderId="0"/>
    <xf numFmtId="205" fontId="134" fillId="0" borderId="0"/>
    <xf numFmtId="0" fontId="2" fillId="0" borderId="0"/>
    <xf numFmtId="0" fontId="2" fillId="0" borderId="0"/>
    <xf numFmtId="0" fontId="2" fillId="0" borderId="0"/>
    <xf numFmtId="0" fontId="104" fillId="0" borderId="0"/>
    <xf numFmtId="0" fontId="4" fillId="0" borderId="0"/>
    <xf numFmtId="205" fontId="134" fillId="0" borderId="0"/>
    <xf numFmtId="0" fontId="2" fillId="0" borderId="0"/>
    <xf numFmtId="0" fontId="134" fillId="0" borderId="0"/>
    <xf numFmtId="0" fontId="4"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4"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4"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4" fillId="0" borderId="0"/>
    <xf numFmtId="0" fontId="2" fillId="0" borderId="0"/>
    <xf numFmtId="0" fontId="4" fillId="0" borderId="0"/>
    <xf numFmtId="0" fontId="4" fillId="0" borderId="0"/>
    <xf numFmtId="0" fontId="2" fillId="0" borderId="0"/>
    <xf numFmtId="0" fontId="2" fillId="0" borderId="0"/>
    <xf numFmtId="0" fontId="4" fillId="0" borderId="0"/>
    <xf numFmtId="0" fontId="2" fillId="0" borderId="0"/>
    <xf numFmtId="0" fontId="4" fillId="0" borderId="0"/>
    <xf numFmtId="0" fontId="4" fillId="0" borderId="0"/>
    <xf numFmtId="0" fontId="2" fillId="0" borderId="0"/>
    <xf numFmtId="0" fontId="2" fillId="0" borderId="0"/>
    <xf numFmtId="0" fontId="4" fillId="0" borderId="0"/>
    <xf numFmtId="0" fontId="4" fillId="0" borderId="0"/>
    <xf numFmtId="0" fontId="2" fillId="0" borderId="0"/>
    <xf numFmtId="0" fontId="2" fillId="0" borderId="0"/>
    <xf numFmtId="0" fontId="2" fillId="0" borderId="0"/>
    <xf numFmtId="205" fontId="134" fillId="0" borderId="0"/>
    <xf numFmtId="0" fontId="4" fillId="0" borderId="0"/>
    <xf numFmtId="0" fontId="4"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134" fillId="0" borderId="0"/>
    <xf numFmtId="0" fontId="4"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4"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4"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4"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120" fillId="0" borderId="0"/>
    <xf numFmtId="0" fontId="2" fillId="0" borderId="0"/>
    <xf numFmtId="0" fontId="104" fillId="0" borderId="0"/>
    <xf numFmtId="0" fontId="2" fillId="0" borderId="0"/>
    <xf numFmtId="0" fontId="10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33" fillId="0" borderId="0"/>
    <xf numFmtId="0" fontId="12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33" fillId="0" borderId="0"/>
    <xf numFmtId="0" fontId="120" fillId="0" borderId="0"/>
    <xf numFmtId="0" fontId="2" fillId="0" borderId="0"/>
    <xf numFmtId="0" fontId="2" fillId="0" borderId="0"/>
    <xf numFmtId="0" fontId="2"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2" fillId="0" borderId="0"/>
    <xf numFmtId="0" fontId="133" fillId="0" borderId="0"/>
    <xf numFmtId="205" fontId="134" fillId="0" borderId="0"/>
    <xf numFmtId="0" fontId="120"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2" fillId="0" borderId="0"/>
    <xf numFmtId="0" fontId="133" fillId="0" borderId="0"/>
    <xf numFmtId="206" fontId="120" fillId="0" borderId="0"/>
    <xf numFmtId="0" fontId="120" fillId="0" borderId="0"/>
    <xf numFmtId="205" fontId="134"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2" fillId="0" borderId="0"/>
    <xf numFmtId="0" fontId="2" fillId="0" borderId="0"/>
    <xf numFmtId="0" fontId="2" fillId="0" borderId="0"/>
    <xf numFmtId="0" fontId="2" fillId="0" borderId="0"/>
    <xf numFmtId="0" fontId="2" fillId="0" borderId="0"/>
    <xf numFmtId="0" fontId="133" fillId="0" borderId="0"/>
    <xf numFmtId="0" fontId="12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33" fillId="0" borderId="0"/>
    <xf numFmtId="0" fontId="120" fillId="0" borderId="0"/>
    <xf numFmtId="0" fontId="2" fillId="0" borderId="0"/>
    <xf numFmtId="0" fontId="2" fillId="0" borderId="0"/>
    <xf numFmtId="0" fontId="2" fillId="0" borderId="0"/>
    <xf numFmtId="0" fontId="120" fillId="0" borderId="0"/>
    <xf numFmtId="0" fontId="120"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2" fillId="0" borderId="0"/>
    <xf numFmtId="0" fontId="133" fillId="0" borderId="0"/>
    <xf numFmtId="0" fontId="120"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2" fillId="0" borderId="0"/>
    <xf numFmtId="0" fontId="120"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2" fillId="0" borderId="0"/>
    <xf numFmtId="0" fontId="2" fillId="0" borderId="0"/>
    <xf numFmtId="0" fontId="2" fillId="0" borderId="0"/>
    <xf numFmtId="0" fontId="133" fillId="0" borderId="0"/>
    <xf numFmtId="0" fontId="120"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104" fillId="0" borderId="0"/>
    <xf numFmtId="0" fontId="2" fillId="0" borderId="0"/>
    <xf numFmtId="0" fontId="4" fillId="0" borderId="0"/>
    <xf numFmtId="0" fontId="2" fillId="0" borderId="0"/>
    <xf numFmtId="205" fontId="112" fillId="0" borderId="0"/>
    <xf numFmtId="0" fontId="120" fillId="0" borderId="0"/>
    <xf numFmtId="0" fontId="4"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120"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205" fontId="120" fillId="0" borderId="0"/>
    <xf numFmtId="0" fontId="2" fillId="0" borderId="0"/>
    <xf numFmtId="0" fontId="2" fillId="0" borderId="0"/>
    <xf numFmtId="0" fontId="120" fillId="0" borderId="0"/>
    <xf numFmtId="0" fontId="104" fillId="0" borderId="0"/>
    <xf numFmtId="0" fontId="2" fillId="0" borderId="0"/>
    <xf numFmtId="0" fontId="104" fillId="0" borderId="0"/>
    <xf numFmtId="0" fontId="2" fillId="0" borderId="0"/>
    <xf numFmtId="0" fontId="120" fillId="0" borderId="0"/>
    <xf numFmtId="0" fontId="120" fillId="0" borderId="0"/>
    <xf numFmtId="0" fontId="104" fillId="0" borderId="0"/>
    <xf numFmtId="0" fontId="2" fillId="0" borderId="0"/>
    <xf numFmtId="0" fontId="104" fillId="0" borderId="0"/>
    <xf numFmtId="0" fontId="2" fillId="0" borderId="0"/>
    <xf numFmtId="0" fontId="104" fillId="0" borderId="0"/>
    <xf numFmtId="0" fontId="2" fillId="0" borderId="0"/>
    <xf numFmtId="0" fontId="2" fillId="0" borderId="0"/>
    <xf numFmtId="0" fontId="2" fillId="0" borderId="0"/>
    <xf numFmtId="0" fontId="2" fillId="0" borderId="0"/>
    <xf numFmtId="0" fontId="2" fillId="0" borderId="0"/>
    <xf numFmtId="0" fontId="12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0"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2" fillId="0" borderId="0"/>
    <xf numFmtId="0" fontId="120"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2" fillId="0" borderId="0"/>
    <xf numFmtId="0" fontId="2" fillId="0" borderId="0"/>
    <xf numFmtId="0" fontId="2" fillId="0" borderId="0"/>
    <xf numFmtId="0" fontId="2" fillId="0" borderId="0"/>
    <xf numFmtId="0" fontId="2" fillId="0" borderId="0"/>
    <xf numFmtId="0" fontId="120" fillId="0" borderId="0"/>
    <xf numFmtId="0" fontId="2" fillId="0" borderId="0"/>
    <xf numFmtId="0" fontId="2" fillId="0" borderId="0"/>
    <xf numFmtId="0" fontId="2" fillId="0" borderId="0"/>
    <xf numFmtId="0" fontId="2"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2" fillId="0" borderId="0"/>
    <xf numFmtId="0" fontId="120"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2" fillId="0" borderId="0"/>
    <xf numFmtId="0" fontId="120"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20"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4" fillId="0" borderId="0"/>
    <xf numFmtId="0" fontId="2" fillId="0" borderId="0"/>
    <xf numFmtId="0" fontId="120" fillId="0" borderId="0"/>
    <xf numFmtId="0" fontId="4" fillId="0" borderId="0"/>
    <xf numFmtId="0" fontId="4" fillId="0" borderId="0"/>
    <xf numFmtId="0" fontId="2" fillId="0" borderId="0"/>
    <xf numFmtId="0" fontId="2" fillId="0" borderId="0"/>
    <xf numFmtId="0" fontId="120"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120" fillId="0" borderId="0"/>
    <xf numFmtId="0" fontId="4" fillId="0" borderId="0"/>
    <xf numFmtId="0" fontId="2" fillId="0" borderId="0"/>
    <xf numFmtId="0" fontId="2" fillId="0" borderId="0"/>
    <xf numFmtId="0" fontId="120"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120" fillId="0" borderId="0"/>
    <xf numFmtId="0" fontId="2" fillId="0" borderId="0"/>
    <xf numFmtId="205" fontId="134" fillId="0" borderId="0"/>
    <xf numFmtId="0" fontId="120" fillId="0" borderId="0"/>
    <xf numFmtId="0" fontId="2" fillId="0" borderId="0"/>
    <xf numFmtId="0" fontId="120"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20"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20"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4" fillId="0" borderId="0"/>
    <xf numFmtId="0" fontId="2" fillId="0" borderId="0"/>
    <xf numFmtId="0" fontId="2"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4" fillId="0" borderId="0"/>
    <xf numFmtId="0" fontId="4" fillId="0" borderId="0"/>
    <xf numFmtId="0" fontId="2" fillId="0" borderId="0"/>
    <xf numFmtId="0" fontId="2" fillId="0" borderId="0"/>
    <xf numFmtId="0" fontId="120"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120" fillId="0" borderId="0"/>
    <xf numFmtId="0" fontId="2" fillId="0" borderId="0"/>
    <xf numFmtId="0" fontId="2"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4" fillId="0" borderId="0"/>
    <xf numFmtId="0" fontId="9" fillId="0" borderId="0">
      <alignment vertical="top"/>
    </xf>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120" fillId="0" borderId="0"/>
    <xf numFmtId="205" fontId="9" fillId="0" borderId="0">
      <alignment vertical="top"/>
    </xf>
    <xf numFmtId="0" fontId="2"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120" fillId="0" borderId="0"/>
    <xf numFmtId="0" fontId="4" fillId="0" borderId="0"/>
    <xf numFmtId="0" fontId="9" fillId="0" borderId="0">
      <alignment vertical="top"/>
    </xf>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107" fillId="0" borderId="0"/>
    <xf numFmtId="205" fontId="9" fillId="0" borderId="0">
      <alignment vertical="top"/>
    </xf>
    <xf numFmtId="0" fontId="2" fillId="0" borderId="0"/>
    <xf numFmtId="0" fontId="12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0" fillId="0" borderId="0"/>
    <xf numFmtId="0" fontId="120" fillId="0" borderId="0"/>
    <xf numFmtId="0" fontId="120" fillId="0" borderId="0"/>
    <xf numFmtId="0" fontId="135" fillId="0" borderId="0"/>
    <xf numFmtId="0" fontId="136" fillId="0" borderId="0"/>
    <xf numFmtId="0" fontId="135" fillId="0" borderId="0"/>
    <xf numFmtId="0" fontId="12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0"/>
    <xf numFmtId="0" fontId="18" fillId="0" borderId="0"/>
    <xf numFmtId="0" fontId="18" fillId="0" borderId="0"/>
    <xf numFmtId="0" fontId="1" fillId="72" borderId="101" applyNumberFormat="0" applyFont="0" applyAlignment="0" applyProtection="0"/>
    <xf numFmtId="0" fontId="1" fillId="72" borderId="101" applyNumberFormat="0" applyFont="0" applyAlignment="0" applyProtection="0"/>
    <xf numFmtId="0" fontId="1" fillId="72" borderId="101" applyNumberFormat="0" applyFont="0" applyAlignment="0" applyProtection="0"/>
    <xf numFmtId="0" fontId="1" fillId="72" borderId="101" applyNumberFormat="0" applyFont="0" applyAlignment="0" applyProtection="0"/>
    <xf numFmtId="0" fontId="1" fillId="72" borderId="101" applyNumberFormat="0" applyFont="0" applyAlignment="0" applyProtection="0"/>
    <xf numFmtId="0" fontId="1" fillId="72" borderId="101" applyNumberFormat="0" applyFont="0" applyAlignment="0" applyProtection="0"/>
    <xf numFmtId="0" fontId="1" fillId="72" borderId="101" applyNumberFormat="0" applyFont="0" applyAlignment="0" applyProtection="0"/>
    <xf numFmtId="0" fontId="1" fillId="72" borderId="101" applyNumberFormat="0" applyFont="0" applyAlignment="0" applyProtection="0"/>
    <xf numFmtId="0" fontId="1" fillId="72" borderId="101" applyNumberFormat="0" applyFont="0" applyAlignment="0" applyProtection="0"/>
    <xf numFmtId="0" fontId="1" fillId="72" borderId="101" applyNumberFormat="0" applyFont="0" applyAlignment="0" applyProtection="0"/>
    <xf numFmtId="0" fontId="1" fillId="72" borderId="101" applyNumberFormat="0" applyFont="0" applyAlignment="0" applyProtection="0"/>
    <xf numFmtId="0" fontId="1" fillId="72" borderId="101" applyNumberFormat="0" applyFont="0" applyAlignment="0" applyProtection="0"/>
    <xf numFmtId="0" fontId="1" fillId="72" borderId="101" applyNumberFormat="0" applyFont="0" applyAlignment="0" applyProtection="0"/>
    <xf numFmtId="0" fontId="1" fillId="72" borderId="101" applyNumberFormat="0" applyFont="0" applyAlignment="0" applyProtection="0"/>
    <xf numFmtId="0" fontId="4"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2" fillId="4" borderId="9" applyNumberFormat="0" applyFont="0" applyAlignment="0" applyProtection="0"/>
    <xf numFmtId="0" fontId="137" fillId="24" borderId="102" applyNumberFormat="0" applyAlignment="0" applyProtection="0"/>
    <xf numFmtId="0" fontId="137" fillId="24" borderId="102" applyNumberFormat="0" applyAlignment="0" applyProtection="0"/>
    <xf numFmtId="0" fontId="137" fillId="24" borderId="102" applyNumberFormat="0" applyAlignment="0" applyProtection="0"/>
    <xf numFmtId="198" fontId="9" fillId="24" borderId="0">
      <alignment horizontal="right"/>
    </xf>
    <xf numFmtId="0" fontId="108" fillId="29" borderId="0">
      <alignment horizontal="center"/>
    </xf>
    <xf numFmtId="0" fontId="77" fillId="30" borderId="10"/>
    <xf numFmtId="0" fontId="58" fillId="24" borderId="0" applyBorder="0">
      <alignment horizontal="centerContinuous"/>
    </xf>
    <xf numFmtId="0" fontId="109" fillId="0" borderId="0" applyBorder="0">
      <alignment horizontal="centerContinuous"/>
    </xf>
    <xf numFmtId="9" fontId="2" fillId="0" borderId="0" applyFont="0" applyFill="0" applyBorder="0" applyAlignment="0" applyProtection="0"/>
    <xf numFmtId="10" fontId="4" fillId="0" borderId="0" applyFill="0" applyBorder="0" applyAlignment="0" applyProtection="0"/>
    <xf numFmtId="10" fontId="2" fillId="0" borderId="0" applyFill="0" applyBorder="0" applyAlignment="0" applyProtection="0"/>
    <xf numFmtId="9" fontId="40"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9"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9"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9"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9"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9"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9"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4" fillId="0" borderId="0" applyFill="0" applyBorder="0" applyAlignment="0" applyProtection="0"/>
    <xf numFmtId="9" fontId="2" fillId="0" borderId="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60"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60"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60"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06" fillId="0" borderId="0" applyFont="0" applyFill="0" applyBorder="0" applyAlignment="0" applyProtection="0"/>
    <xf numFmtId="9" fontId="106" fillId="0" borderId="0" applyFont="0" applyFill="0" applyBorder="0" applyAlignment="0" applyProtection="0"/>
    <xf numFmtId="9" fontId="106"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06" fillId="0" borderId="0" applyFont="0" applyFill="0" applyBorder="0" applyAlignment="0" applyProtection="0"/>
    <xf numFmtId="9" fontId="106" fillId="0" borderId="0" applyFont="0" applyFill="0" applyBorder="0" applyAlignment="0" applyProtection="0"/>
    <xf numFmtId="9" fontId="60"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44" fillId="31" borderId="0" applyNumberFormat="0" applyProtection="0">
      <alignment horizontal="center" vertical="center" wrapText="1"/>
    </xf>
    <xf numFmtId="0" fontId="45" fillId="32" borderId="11" applyNumberFormat="0" applyProtection="0">
      <alignment horizontal="right" vertical="center"/>
    </xf>
    <xf numFmtId="0" fontId="4"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2" fillId="33" borderId="1" applyNumberFormat="0" applyProtection="0">
      <alignment horizontal="left" vertical="center" indent="1"/>
    </xf>
    <xf numFmtId="0" fontId="45" fillId="31" borderId="12" applyNumberFormat="0" applyProtection="0">
      <alignment horizontal="left" vertical="top" wrapText="1" indent="1"/>
    </xf>
    <xf numFmtId="0" fontId="45" fillId="31" borderId="12" applyNumberFormat="0" applyProtection="0">
      <alignment horizontal="left" vertical="top" wrapText="1" indent="1"/>
    </xf>
    <xf numFmtId="0" fontId="45" fillId="31" borderId="12" applyNumberFormat="0" applyProtection="0">
      <alignment horizontal="left" vertical="top" wrapText="1" indent="1"/>
    </xf>
    <xf numFmtId="0" fontId="45" fillId="31" borderId="12" applyNumberFormat="0" applyProtection="0">
      <alignment horizontal="left" vertical="top" wrapText="1" indent="1"/>
    </xf>
    <xf numFmtId="0" fontId="45" fillId="31" borderId="12" applyNumberFormat="0" applyProtection="0">
      <alignment horizontal="left" vertical="top" wrapText="1" indent="1"/>
    </xf>
    <xf numFmtId="0" fontId="45" fillId="31" borderId="12" applyNumberFormat="0" applyProtection="0">
      <alignment horizontal="left" vertical="top" wrapText="1" indent="1"/>
    </xf>
    <xf numFmtId="0" fontId="45" fillId="31" borderId="12" applyNumberFormat="0" applyProtection="0">
      <alignment horizontal="left" vertical="top" wrapText="1" indent="1"/>
    </xf>
    <xf numFmtId="0" fontId="45" fillId="31" borderId="12" applyNumberFormat="0" applyProtection="0">
      <alignment horizontal="left" vertical="top" wrapText="1" indent="1"/>
    </xf>
    <xf numFmtId="0" fontId="45" fillId="31" borderId="12" applyNumberFormat="0" applyProtection="0">
      <alignment horizontal="left" vertical="top" wrapText="1" indent="1"/>
    </xf>
    <xf numFmtId="0" fontId="45" fillId="31" borderId="12" applyNumberFormat="0" applyProtection="0">
      <alignment horizontal="left" vertical="top" wrapText="1" indent="1"/>
    </xf>
    <xf numFmtId="0" fontId="45" fillId="31" borderId="12" applyNumberFormat="0" applyProtection="0">
      <alignment horizontal="left" vertical="top" wrapText="1" indent="1"/>
    </xf>
    <xf numFmtId="0" fontId="27" fillId="7" borderId="0" applyNumberFormat="0" applyBorder="0" applyAlignment="0" applyProtection="0"/>
    <xf numFmtId="168" fontId="2" fillId="0" borderId="0" applyFont="0" applyFill="0" applyBorder="0" applyAlignment="0" applyProtection="0"/>
    <xf numFmtId="0" fontId="46" fillId="0" borderId="0"/>
    <xf numFmtId="0" fontId="138" fillId="0" borderId="0" applyNumberFormat="0" applyFill="0" applyBorder="0" applyAlignment="0" applyProtection="0"/>
    <xf numFmtId="0" fontId="138"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117" fillId="0" borderId="0" applyNumberFormat="0" applyFill="0" applyBorder="0" applyAlignment="0" applyProtection="0"/>
    <xf numFmtId="0" fontId="139" fillId="0" borderId="13" applyNumberFormat="0" applyFill="0" applyAlignment="0" applyProtection="0"/>
    <xf numFmtId="0" fontId="139" fillId="0" borderId="13" applyNumberFormat="0" applyFill="0" applyAlignment="0" applyProtection="0"/>
    <xf numFmtId="0" fontId="47" fillId="0" borderId="0" applyNumberFormat="0" applyFill="0" applyBorder="0" applyAlignment="0" applyProtection="0"/>
    <xf numFmtId="0" fontId="48" fillId="0" borderId="14" applyNumberFormat="0" applyFill="0" applyAlignment="0" applyProtection="0"/>
    <xf numFmtId="0" fontId="49" fillId="0" borderId="6" applyNumberFormat="0" applyFill="0" applyAlignment="0" applyProtection="0"/>
    <xf numFmtId="0" fontId="50" fillId="0" borderId="15" applyNumberFormat="0" applyFill="0" applyAlignment="0" applyProtection="0"/>
    <xf numFmtId="0" fontId="50" fillId="0" borderId="0" applyNumberFormat="0" applyFill="0" applyBorder="0" applyAlignment="0" applyProtection="0"/>
    <xf numFmtId="0" fontId="113" fillId="0" borderId="0" applyNumberFormat="0" applyFill="0" applyBorder="0" applyAlignment="0" applyProtection="0"/>
    <xf numFmtId="0" fontId="33" fillId="0" borderId="8" applyNumberFormat="0" applyFill="0" applyAlignment="0" applyProtection="0"/>
    <xf numFmtId="0" fontId="39" fillId="0" borderId="0" applyNumberFormat="0" applyFill="0" applyBorder="0" applyAlignment="0" applyProtection="0"/>
    <xf numFmtId="183" fontId="4" fillId="0" borderId="0" applyFont="0" applyFill="0" applyBorder="0" applyAlignment="0" applyProtection="0"/>
    <xf numFmtId="0" fontId="36"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29" fillId="25" borderId="3" applyNumberFormat="0" applyAlignment="0" applyProtection="0"/>
    <xf numFmtId="0" fontId="106" fillId="0" borderId="0"/>
    <xf numFmtId="0" fontId="141" fillId="0" borderId="0"/>
    <xf numFmtId="0" fontId="106" fillId="0" borderId="0"/>
    <xf numFmtId="0" fontId="106"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168" fontId="106"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0" fontId="51" fillId="0" borderId="0"/>
    <xf numFmtId="0" fontId="52" fillId="0" borderId="0"/>
  </cellStyleXfs>
  <cellXfs count="775">
    <xf numFmtId="0" fontId="0" fillId="0" borderId="0" xfId="0"/>
    <xf numFmtId="0" fontId="9" fillId="0" borderId="0" xfId="0" applyFont="1"/>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Fill="1" applyProtection="1"/>
    <xf numFmtId="0" fontId="10" fillId="0" borderId="0" xfId="0" applyFont="1" applyFill="1" applyProtection="1"/>
    <xf numFmtId="0" fontId="3" fillId="0" borderId="0" xfId="0" applyFont="1" applyFill="1" applyProtection="1"/>
    <xf numFmtId="0" fontId="0" fillId="0" borderId="0" xfId="0" applyFill="1" applyBorder="1" applyProtection="1"/>
    <xf numFmtId="0" fontId="3" fillId="0" borderId="0" xfId="0" quotePrefix="1" applyFont="1" applyFill="1" applyAlignment="1" applyProtection="1">
      <alignment horizontal="left"/>
    </xf>
    <xf numFmtId="0" fontId="4" fillId="0" borderId="0" xfId="0" applyFont="1" applyFill="1" applyProtection="1"/>
    <xf numFmtId="0" fontId="5" fillId="0" borderId="0" xfId="0" applyFont="1" applyFill="1" applyBorder="1" applyProtection="1"/>
    <xf numFmtId="172" fontId="4" fillId="0" borderId="0" xfId="0" quotePrefix="1" applyNumberFormat="1" applyFont="1" applyFill="1" applyAlignment="1" applyProtection="1">
      <alignment horizontal="left"/>
    </xf>
    <xf numFmtId="0" fontId="4" fillId="0" borderId="0" xfId="0" applyFont="1" applyFill="1" applyAlignment="1" applyProtection="1">
      <alignment horizontal="left"/>
    </xf>
    <xf numFmtId="0" fontId="4" fillId="0" borderId="16" xfId="0" applyFont="1" applyFill="1" applyBorder="1" applyProtection="1"/>
    <xf numFmtId="172" fontId="5" fillId="0" borderId="16" xfId="0" applyNumberFormat="1" applyFont="1" applyFill="1" applyBorder="1" applyAlignment="1" applyProtection="1"/>
    <xf numFmtId="172" fontId="6" fillId="0" borderId="16" xfId="0" applyNumberFormat="1" applyFont="1" applyFill="1" applyBorder="1" applyAlignment="1" applyProtection="1"/>
    <xf numFmtId="172" fontId="15" fillId="0" borderId="16" xfId="0" applyNumberFormat="1" applyFont="1" applyFill="1" applyBorder="1" applyAlignment="1" applyProtection="1"/>
    <xf numFmtId="0" fontId="4" fillId="0" borderId="17" xfId="0" applyFont="1" applyFill="1" applyBorder="1" applyProtection="1"/>
    <xf numFmtId="172" fontId="6" fillId="0" borderId="18" xfId="0" applyNumberFormat="1" applyFont="1" applyFill="1" applyBorder="1" applyAlignment="1" applyProtection="1"/>
    <xf numFmtId="0" fontId="3" fillId="0" borderId="16" xfId="0" applyFont="1" applyFill="1" applyBorder="1" applyProtection="1"/>
    <xf numFmtId="0" fontId="3" fillId="0" borderId="18" xfId="0" applyFont="1" applyFill="1" applyBorder="1" applyProtection="1"/>
    <xf numFmtId="172" fontId="4" fillId="0" borderId="0" xfId="0" applyNumberFormat="1" applyFont="1" applyFill="1" applyAlignment="1" applyProtection="1">
      <alignment horizontal="left"/>
    </xf>
    <xf numFmtId="0" fontId="4" fillId="0" borderId="0" xfId="0" applyFont="1" applyFill="1" applyAlignment="1" applyProtection="1"/>
    <xf numFmtId="0" fontId="4" fillId="0" borderId="0" xfId="0" applyNumberFormat="1" applyFont="1" applyFill="1" applyAlignment="1" applyProtection="1">
      <alignment horizontal="left"/>
    </xf>
    <xf numFmtId="0" fontId="5" fillId="0" borderId="0" xfId="0" applyNumberFormat="1" applyFont="1" applyFill="1" applyProtection="1"/>
    <xf numFmtId="172" fontId="4" fillId="0" borderId="0" xfId="0" applyNumberFormat="1" applyFont="1" applyFill="1" applyAlignment="1" applyProtection="1">
      <alignment horizontal="center"/>
    </xf>
    <xf numFmtId="0" fontId="4" fillId="0" borderId="0" xfId="0" applyNumberFormat="1" applyFont="1" applyFill="1" applyProtection="1"/>
    <xf numFmtId="0" fontId="5" fillId="0" borderId="0" xfId="0" applyFont="1" applyFill="1" applyProtection="1"/>
    <xf numFmtId="172" fontId="6" fillId="0" borderId="17" xfId="0" applyNumberFormat="1" applyFont="1" applyFill="1" applyBorder="1" applyAlignment="1" applyProtection="1"/>
    <xf numFmtId="0" fontId="4" fillId="0" borderId="0" xfId="0" applyFont="1" applyFill="1"/>
    <xf numFmtId="0" fontId="5" fillId="0" borderId="0" xfId="0" applyFont="1" applyFill="1"/>
    <xf numFmtId="49" fontId="4" fillId="0" borderId="0" xfId="0" applyNumberFormat="1" applyFont="1" applyFill="1"/>
    <xf numFmtId="0" fontId="12" fillId="0" borderId="0" xfId="0" applyFont="1" applyFill="1"/>
    <xf numFmtId="0" fontId="4" fillId="0" borderId="0" xfId="0" applyFont="1" applyFill="1" applyAlignment="1">
      <alignment horizontal="right"/>
    </xf>
    <xf numFmtId="172" fontId="4" fillId="0" borderId="19" xfId="0" applyNumberFormat="1" applyFont="1" applyFill="1" applyBorder="1" applyAlignment="1" applyProtection="1">
      <alignment horizontal="left"/>
    </xf>
    <xf numFmtId="0" fontId="4" fillId="0" borderId="19" xfId="0" applyFont="1" applyFill="1" applyBorder="1" applyAlignment="1" applyProtection="1">
      <alignment horizontal="left"/>
    </xf>
    <xf numFmtId="172" fontId="4" fillId="0" borderId="19" xfId="0" applyNumberFormat="1" applyFont="1" applyFill="1" applyBorder="1" applyAlignment="1" applyProtection="1">
      <alignment horizontal="right"/>
    </xf>
    <xf numFmtId="172" fontId="11" fillId="0" borderId="19" xfId="0" applyNumberFormat="1" applyFont="1" applyFill="1" applyBorder="1" applyAlignment="1" applyProtection="1">
      <alignment horizontal="center"/>
    </xf>
    <xf numFmtId="0" fontId="4" fillId="0" borderId="20" xfId="0" applyFont="1" applyFill="1" applyBorder="1" applyProtection="1"/>
    <xf numFmtId="172" fontId="5" fillId="0" borderId="20" xfId="0" applyNumberFormat="1" applyFont="1" applyFill="1" applyBorder="1" applyAlignment="1" applyProtection="1">
      <alignment horizontal="left"/>
    </xf>
    <xf numFmtId="0" fontId="3" fillId="0" borderId="20" xfId="0" applyFont="1" applyFill="1" applyBorder="1" applyProtection="1"/>
    <xf numFmtId="172" fontId="6" fillId="0" borderId="20" xfId="0" applyNumberFormat="1" applyFont="1" applyFill="1" applyBorder="1" applyAlignment="1" applyProtection="1">
      <alignment horizontal="left"/>
    </xf>
    <xf numFmtId="0" fontId="0" fillId="34" borderId="21" xfId="0" applyFill="1" applyBorder="1" applyProtection="1"/>
    <xf numFmtId="0" fontId="3" fillId="34" borderId="0" xfId="0" applyFont="1" applyFill="1" applyBorder="1" applyAlignment="1" applyProtection="1">
      <alignment horizontal="centerContinuous" vertical="top"/>
    </xf>
    <xf numFmtId="0" fontId="0" fillId="34" borderId="22" xfId="0" applyFill="1" applyBorder="1" applyProtection="1"/>
    <xf numFmtId="0" fontId="0" fillId="34" borderId="0" xfId="0" applyFill="1" applyBorder="1" applyProtection="1"/>
    <xf numFmtId="0" fontId="5" fillId="34" borderId="22" xfId="0" applyFont="1" applyFill="1" applyBorder="1" applyProtection="1"/>
    <xf numFmtId="0" fontId="3" fillId="34" borderId="23" xfId="0" applyFont="1" applyFill="1" applyBorder="1" applyProtection="1"/>
    <xf numFmtId="0" fontId="3" fillId="34" borderId="24" xfId="0" applyFont="1" applyFill="1" applyBorder="1" applyProtection="1"/>
    <xf numFmtId="0" fontId="3" fillId="34" borderId="25" xfId="0" applyFont="1" applyFill="1" applyBorder="1" applyProtection="1"/>
    <xf numFmtId="0" fontId="4" fillId="34" borderId="20" xfId="0" applyFont="1" applyFill="1" applyBorder="1" applyAlignment="1" applyProtection="1">
      <alignment horizontal="left"/>
    </xf>
    <xf numFmtId="172" fontId="3" fillId="34" borderId="20" xfId="0" applyNumberFormat="1" applyFont="1" applyFill="1" applyBorder="1" applyAlignment="1" applyProtection="1">
      <alignment horizontal="center"/>
    </xf>
    <xf numFmtId="172" fontId="3" fillId="34" borderId="20" xfId="0" applyNumberFormat="1" applyFont="1" applyFill="1" applyBorder="1" applyAlignment="1" applyProtection="1">
      <alignment horizontal="left"/>
    </xf>
    <xf numFmtId="172" fontId="3" fillId="34" borderId="20" xfId="0" quotePrefix="1" applyNumberFormat="1" applyFont="1" applyFill="1" applyBorder="1" applyAlignment="1" applyProtection="1">
      <alignment horizontal="left"/>
    </xf>
    <xf numFmtId="172" fontId="3" fillId="34" borderId="20" xfId="0" applyNumberFormat="1" applyFont="1" applyFill="1" applyBorder="1" applyAlignment="1" applyProtection="1">
      <alignment horizontal="right"/>
    </xf>
    <xf numFmtId="0" fontId="3" fillId="34" borderId="20" xfId="0" applyFont="1" applyFill="1" applyBorder="1" applyAlignment="1" applyProtection="1">
      <alignment horizontal="left"/>
    </xf>
    <xf numFmtId="172" fontId="7" fillId="0" borderId="20" xfId="0" applyNumberFormat="1" applyFont="1" applyFill="1" applyBorder="1" applyAlignment="1" applyProtection="1"/>
    <xf numFmtId="0" fontId="11" fillId="0" borderId="18" xfId="0" applyFont="1" applyFill="1" applyBorder="1" applyProtection="1"/>
    <xf numFmtId="0" fontId="4" fillId="0" borderId="26" xfId="0" applyFont="1" applyFill="1" applyBorder="1" applyProtection="1"/>
    <xf numFmtId="172" fontId="4" fillId="0" borderId="26" xfId="0" applyNumberFormat="1" applyFont="1" applyFill="1" applyBorder="1" applyAlignment="1" applyProtection="1"/>
    <xf numFmtId="172" fontId="5" fillId="0" borderId="26" xfId="0" applyNumberFormat="1" applyFont="1" applyFill="1" applyBorder="1" applyAlignment="1" applyProtection="1"/>
    <xf numFmtId="0" fontId="4" fillId="0" borderId="26" xfId="0" applyFont="1" applyFill="1" applyBorder="1" applyAlignment="1" applyProtection="1">
      <alignment horizontal="right"/>
    </xf>
    <xf numFmtId="0" fontId="4" fillId="0" borderId="26" xfId="0" applyFont="1" applyFill="1" applyBorder="1" applyAlignment="1" applyProtection="1"/>
    <xf numFmtId="0" fontId="3" fillId="0" borderId="27" xfId="0" applyFont="1" applyFill="1" applyBorder="1" applyProtection="1"/>
    <xf numFmtId="172" fontId="6" fillId="0" borderId="27" xfId="0" applyNumberFormat="1" applyFont="1" applyFill="1" applyBorder="1" applyAlignment="1" applyProtection="1">
      <alignment horizontal="left"/>
    </xf>
    <xf numFmtId="0" fontId="4" fillId="0" borderId="0" xfId="0" applyFont="1" applyFill="1" applyBorder="1"/>
    <xf numFmtId="0" fontId="4" fillId="0" borderId="27" xfId="0" applyFont="1" applyFill="1" applyBorder="1" applyProtection="1"/>
    <xf numFmtId="172" fontId="5" fillId="0" borderId="27" xfId="0" applyNumberFormat="1" applyFont="1" applyFill="1" applyBorder="1" applyAlignment="1" applyProtection="1">
      <alignment horizontal="left"/>
    </xf>
    <xf numFmtId="0" fontId="4" fillId="34" borderId="0" xfId="0" applyFont="1" applyFill="1" applyProtection="1"/>
    <xf numFmtId="172" fontId="3" fillId="34" borderId="0" xfId="0" applyNumberFormat="1" applyFont="1" applyFill="1" applyBorder="1" applyAlignment="1" applyProtection="1">
      <alignment horizontal="centerContinuous"/>
    </xf>
    <xf numFmtId="0" fontId="4" fillId="34" borderId="0" xfId="0" applyFont="1" applyFill="1"/>
    <xf numFmtId="0" fontId="4" fillId="34" borderId="20" xfId="0" applyFont="1" applyFill="1" applyBorder="1" applyProtection="1"/>
    <xf numFmtId="0" fontId="3" fillId="34" borderId="20" xfId="0" applyFont="1" applyFill="1" applyBorder="1" applyProtection="1"/>
    <xf numFmtId="172" fontId="6" fillId="34" borderId="20" xfId="0" applyNumberFormat="1" applyFont="1" applyFill="1" applyBorder="1" applyAlignment="1" applyProtection="1">
      <alignment horizontal="left"/>
    </xf>
    <xf numFmtId="0" fontId="12" fillId="34" borderId="0" xfId="0" applyFont="1" applyFill="1"/>
    <xf numFmtId="0" fontId="13" fillId="34" borderId="0" xfId="0" applyFont="1" applyFill="1"/>
    <xf numFmtId="172" fontId="13" fillId="34" borderId="0" xfId="0" applyNumberFormat="1" applyFont="1" applyFill="1" applyAlignment="1">
      <alignment horizontal="right"/>
    </xf>
    <xf numFmtId="0" fontId="13" fillId="34" borderId="0" xfId="0" applyFont="1" applyFill="1" applyAlignment="1">
      <alignment horizontal="right"/>
    </xf>
    <xf numFmtId="0" fontId="12" fillId="34" borderId="0" xfId="0" applyFont="1" applyFill="1" applyBorder="1"/>
    <xf numFmtId="0" fontId="13" fillId="34" borderId="0" xfId="0" applyFont="1" applyFill="1" applyBorder="1"/>
    <xf numFmtId="0" fontId="12" fillId="0" borderId="0" xfId="0" applyFont="1" applyFill="1" applyAlignment="1">
      <alignment horizontal="right"/>
    </xf>
    <xf numFmtId="0" fontId="12" fillId="0" borderId="0" xfId="0" applyNumberFormat="1" applyFont="1" applyFill="1" applyAlignment="1">
      <alignment horizontal="right"/>
    </xf>
    <xf numFmtId="0" fontId="12" fillId="0" borderId="0" xfId="1859" applyFont="1"/>
    <xf numFmtId="174" fontId="4" fillId="0" borderId="0" xfId="0" applyNumberFormat="1" applyFont="1" applyFill="1" applyAlignment="1">
      <alignment horizontal="center"/>
    </xf>
    <xf numFmtId="174" fontId="4" fillId="0" borderId="0" xfId="0" applyNumberFormat="1" applyFont="1" applyFill="1" applyAlignment="1" applyProtection="1">
      <alignment horizontal="center"/>
    </xf>
    <xf numFmtId="0" fontId="3" fillId="34" borderId="20" xfId="0" applyNumberFormat="1" applyFont="1" applyFill="1" applyBorder="1" applyAlignment="1" applyProtection="1">
      <alignment horizontal="right"/>
    </xf>
    <xf numFmtId="0" fontId="4" fillId="0" borderId="0" xfId="0" applyFont="1" applyAlignment="1">
      <alignment horizontal="left"/>
    </xf>
    <xf numFmtId="0" fontId="4" fillId="0" borderId="0" xfId="0" applyFont="1" applyFill="1" applyAlignment="1">
      <alignment horizontal="left"/>
    </xf>
    <xf numFmtId="0" fontId="19" fillId="0" borderId="20" xfId="0" applyFont="1" applyFill="1" applyBorder="1"/>
    <xf numFmtId="172" fontId="5" fillId="0" borderId="10" xfId="0" applyNumberFormat="1" applyFont="1" applyFill="1" applyBorder="1" applyAlignment="1" applyProtection="1"/>
    <xf numFmtId="172" fontId="5" fillId="0" borderId="10" xfId="0" applyNumberFormat="1" applyFont="1" applyFill="1" applyBorder="1" applyAlignment="1" applyProtection="1">
      <alignment horizontal="left"/>
    </xf>
    <xf numFmtId="172" fontId="7" fillId="0" borderId="10" xfId="0" applyNumberFormat="1" applyFont="1" applyFill="1" applyBorder="1" applyAlignment="1" applyProtection="1"/>
    <xf numFmtId="172" fontId="6" fillId="0" borderId="10" xfId="0" applyNumberFormat="1" applyFont="1" applyFill="1" applyBorder="1" applyAlignment="1" applyProtection="1"/>
    <xf numFmtId="172" fontId="15" fillId="0" borderId="10" xfId="0" applyNumberFormat="1" applyFont="1" applyFill="1" applyBorder="1" applyAlignment="1" applyProtection="1"/>
    <xf numFmtId="172" fontId="5" fillId="0" borderId="28" xfId="0" applyNumberFormat="1" applyFont="1" applyFill="1" applyBorder="1" applyAlignment="1" applyProtection="1"/>
    <xf numFmtId="0" fontId="4" fillId="0" borderId="10" xfId="0" applyFont="1" applyFill="1" applyBorder="1" applyProtection="1"/>
    <xf numFmtId="0" fontId="3" fillId="0" borderId="10" xfId="0" applyFont="1" applyFill="1" applyBorder="1" applyProtection="1"/>
    <xf numFmtId="0" fontId="19" fillId="0" borderId="10" xfId="0" applyFont="1" applyFill="1" applyBorder="1" applyProtection="1"/>
    <xf numFmtId="0" fontId="17" fillId="0" borderId="10" xfId="0" applyFont="1" applyFill="1" applyBorder="1" applyAlignment="1" applyProtection="1">
      <alignment horizontal="right"/>
    </xf>
    <xf numFmtId="0" fontId="8" fillId="0" borderId="0" xfId="901" applyFill="1" applyAlignment="1" applyProtection="1"/>
    <xf numFmtId="49" fontId="0" fillId="0" borderId="0" xfId="0" applyNumberFormat="1"/>
    <xf numFmtId="0" fontId="0" fillId="0" borderId="0" xfId="0" applyBorder="1"/>
    <xf numFmtId="0" fontId="0" fillId="0" borderId="0" xfId="0" applyAlignment="1">
      <alignment wrapText="1"/>
    </xf>
    <xf numFmtId="0" fontId="20" fillId="34" borderId="22" xfId="0" applyFont="1" applyFill="1" applyBorder="1" applyProtection="1"/>
    <xf numFmtId="172" fontId="14" fillId="0" borderId="19" xfId="0" applyNumberFormat="1" applyFont="1" applyFill="1" applyBorder="1" applyAlignment="1" applyProtection="1">
      <alignment horizontal="left"/>
    </xf>
    <xf numFmtId="0" fontId="14" fillId="0" borderId="0" xfId="0" applyFont="1" applyFill="1" applyProtection="1"/>
    <xf numFmtId="0" fontId="79" fillId="0" borderId="0" xfId="0" applyFont="1" applyFill="1"/>
    <xf numFmtId="0" fontId="4" fillId="26" borderId="0" xfId="1117" applyFill="1"/>
    <xf numFmtId="0" fontId="4" fillId="35" borderId="0" xfId="1117" applyFill="1"/>
    <xf numFmtId="0" fontId="4" fillId="0" borderId="0" xfId="1117"/>
    <xf numFmtId="0" fontId="4" fillId="0" borderId="29" xfId="0" applyFont="1" applyFill="1" applyBorder="1" applyProtection="1"/>
    <xf numFmtId="0" fontId="80" fillId="26" borderId="29" xfId="1117" applyFont="1" applyFill="1" applyBorder="1" applyAlignment="1">
      <alignment vertical="center"/>
    </xf>
    <xf numFmtId="0" fontId="81" fillId="0" borderId="0" xfId="0" applyFont="1" applyFill="1"/>
    <xf numFmtId="0" fontId="82" fillId="34" borderId="0" xfId="0" applyFont="1" applyFill="1"/>
    <xf numFmtId="0" fontId="4" fillId="35" borderId="0" xfId="0" applyFont="1" applyFill="1"/>
    <xf numFmtId="0" fontId="12" fillId="35" borderId="0" xfId="0" applyFont="1" applyFill="1" applyAlignment="1">
      <alignment horizontal="right"/>
    </xf>
    <xf numFmtId="0" fontId="12" fillId="35" borderId="0" xfId="0" applyFont="1" applyFill="1"/>
    <xf numFmtId="0" fontId="4" fillId="35" borderId="0" xfId="0" applyFont="1" applyFill="1" applyBorder="1"/>
    <xf numFmtId="0" fontId="4" fillId="0" borderId="0" xfId="0" applyFont="1" applyFill="1" applyBorder="1" applyProtection="1"/>
    <xf numFmtId="1" fontId="4" fillId="0" borderId="0" xfId="0" applyNumberFormat="1" applyFont="1" applyFill="1" applyBorder="1" applyAlignment="1" applyProtection="1">
      <alignment horizontal="right"/>
      <protection locked="0"/>
    </xf>
    <xf numFmtId="1" fontId="4" fillId="0" borderId="0" xfId="0" applyNumberFormat="1" applyFont="1" applyFill="1" applyBorder="1"/>
    <xf numFmtId="1" fontId="3" fillId="0" borderId="0" xfId="0" applyNumberFormat="1" applyFont="1" applyFill="1" applyBorder="1" applyAlignment="1" applyProtection="1">
      <alignment horizontal="right"/>
      <protection locked="0"/>
    </xf>
    <xf numFmtId="1" fontId="3" fillId="0" borderId="0" xfId="0" applyNumberFormat="1" applyFont="1" applyFill="1" applyBorder="1"/>
    <xf numFmtId="2" fontId="4" fillId="0" borderId="0" xfId="0" applyNumberFormat="1" applyFont="1" applyFill="1" applyBorder="1" applyAlignment="1" applyProtection="1">
      <alignment horizontal="right"/>
      <protection locked="0"/>
    </xf>
    <xf numFmtId="0" fontId="3" fillId="0" borderId="0" xfId="0" applyFont="1" applyFill="1" applyBorder="1"/>
    <xf numFmtId="0" fontId="4" fillId="35" borderId="0" xfId="0" applyFont="1" applyFill="1" applyBorder="1" applyProtection="1"/>
    <xf numFmtId="0" fontId="4" fillId="35" borderId="0" xfId="0" applyFont="1" applyFill="1" applyProtection="1"/>
    <xf numFmtId="0" fontId="5" fillId="35" borderId="0" xfId="0" applyFont="1" applyFill="1" applyProtection="1"/>
    <xf numFmtId="1" fontId="4" fillId="0" borderId="0" xfId="0" applyNumberFormat="1" applyFont="1" applyFill="1" applyBorder="1" applyProtection="1">
      <protection locked="0"/>
    </xf>
    <xf numFmtId="0" fontId="0" fillId="0" borderId="0" xfId="0" applyAlignment="1" applyProtection="1">
      <alignment horizontal="left"/>
      <protection locked="0"/>
    </xf>
    <xf numFmtId="0" fontId="4" fillId="0" borderId="29" xfId="0" quotePrefix="1" applyFont="1" applyFill="1" applyBorder="1" applyAlignment="1" applyProtection="1">
      <alignment horizontal="left"/>
    </xf>
    <xf numFmtId="0" fontId="4" fillId="0" borderId="29" xfId="0" applyFont="1" applyFill="1" applyBorder="1"/>
    <xf numFmtId="49" fontId="4" fillId="0" borderId="29" xfId="0" applyNumberFormat="1" applyFont="1" applyFill="1" applyBorder="1" applyAlignment="1" applyProtection="1">
      <alignment horizontal="center"/>
    </xf>
    <xf numFmtId="0" fontId="4" fillId="0" borderId="29" xfId="0" applyFont="1" applyFill="1" applyBorder="1" applyAlignment="1" applyProtection="1"/>
    <xf numFmtId="0" fontId="0" fillId="0" borderId="29" xfId="0" applyFill="1" applyBorder="1"/>
    <xf numFmtId="0" fontId="5" fillId="0" borderId="29" xfId="0" quotePrefix="1" applyFont="1" applyFill="1" applyBorder="1" applyAlignment="1">
      <alignment horizontal="left"/>
    </xf>
    <xf numFmtId="0" fontId="53" fillId="36" borderId="29" xfId="1117" applyFont="1" applyFill="1" applyBorder="1" applyAlignment="1" applyProtection="1">
      <alignment vertical="center"/>
    </xf>
    <xf numFmtId="0" fontId="53" fillId="36" borderId="29" xfId="1117" applyFont="1" applyFill="1" applyBorder="1" applyAlignment="1" applyProtection="1">
      <alignment horizontal="center" vertical="center"/>
    </xf>
    <xf numFmtId="0" fontId="4" fillId="36" borderId="29" xfId="1117" applyFill="1" applyBorder="1" applyAlignment="1" applyProtection="1"/>
    <xf numFmtId="0" fontId="4" fillId="36" borderId="29" xfId="1117" applyFill="1" applyBorder="1" applyAlignment="1" applyProtection="1">
      <alignment horizontal="center"/>
    </xf>
    <xf numFmtId="0" fontId="4" fillId="36" borderId="0" xfId="1117" applyFill="1" applyBorder="1" applyAlignment="1" applyProtection="1"/>
    <xf numFmtId="0" fontId="4" fillId="36" borderId="0" xfId="1117" applyFill="1" applyBorder="1" applyAlignment="1" applyProtection="1">
      <alignment horizontal="center"/>
    </xf>
    <xf numFmtId="0" fontId="54" fillId="36" borderId="0" xfId="1117" applyFont="1" applyFill="1" applyBorder="1" applyAlignment="1" applyProtection="1"/>
    <xf numFmtId="0" fontId="3" fillId="37" borderId="0" xfId="0" applyFont="1" applyFill="1"/>
    <xf numFmtId="0" fontId="0" fillId="37" borderId="0" xfId="0" applyFill="1"/>
    <xf numFmtId="0" fontId="4" fillId="37" borderId="0" xfId="0" applyFont="1" applyFill="1"/>
    <xf numFmtId="0" fontId="9" fillId="37" borderId="0" xfId="0" applyFont="1" applyFill="1"/>
    <xf numFmtId="0" fontId="12" fillId="0" borderId="0" xfId="0" applyFont="1" applyFill="1" applyProtection="1"/>
    <xf numFmtId="0" fontId="0" fillId="0" borderId="0" xfId="0" applyFill="1"/>
    <xf numFmtId="0" fontId="0" fillId="34" borderId="0" xfId="0" applyFill="1" applyBorder="1" applyAlignment="1" applyProtection="1">
      <alignment horizontal="center"/>
    </xf>
    <xf numFmtId="0" fontId="3" fillId="34" borderId="0" xfId="0" applyFont="1" applyFill="1" applyBorder="1" applyAlignment="1" applyProtection="1">
      <alignment horizontal="right" vertical="top"/>
    </xf>
    <xf numFmtId="0" fontId="0" fillId="26" borderId="0" xfId="0" applyFill="1"/>
    <xf numFmtId="0" fontId="16" fillId="26" borderId="0" xfId="1117" applyFont="1" applyFill="1"/>
    <xf numFmtId="0" fontId="0" fillId="26" borderId="0" xfId="0" applyFill="1" applyAlignment="1"/>
    <xf numFmtId="0" fontId="4" fillId="26" borderId="0" xfId="0" applyFont="1" applyFill="1" applyBorder="1" applyAlignment="1">
      <alignment vertical="center"/>
    </xf>
    <xf numFmtId="0" fontId="4" fillId="26" borderId="0" xfId="0" applyFont="1" applyFill="1" applyBorder="1" applyAlignment="1">
      <alignment vertical="center" wrapText="1"/>
    </xf>
    <xf numFmtId="0" fontId="0" fillId="35" borderId="0" xfId="0" applyFill="1" applyProtection="1"/>
    <xf numFmtId="0" fontId="3" fillId="35" borderId="0" xfId="0" quotePrefix="1" applyFont="1" applyFill="1" applyAlignment="1" applyProtection="1">
      <alignment horizontal="left"/>
    </xf>
    <xf numFmtId="0" fontId="3" fillId="35" borderId="0" xfId="0" applyFont="1" applyFill="1" applyProtection="1"/>
    <xf numFmtId="0" fontId="3" fillId="0" borderId="0" xfId="0" applyFont="1" applyFill="1" applyBorder="1" applyAlignment="1">
      <alignment horizontal="left"/>
    </xf>
    <xf numFmtId="0" fontId="0" fillId="0" borderId="0" xfId="0" applyFill="1" applyBorder="1"/>
    <xf numFmtId="0" fontId="0" fillId="0" borderId="0" xfId="0" applyFill="1" applyBorder="1" applyAlignment="1">
      <alignment horizontal="left"/>
    </xf>
    <xf numFmtId="0" fontId="4" fillId="0" borderId="0" xfId="0" applyFont="1" applyFill="1" applyBorder="1" applyAlignment="1">
      <alignment horizontal="left"/>
    </xf>
    <xf numFmtId="0" fontId="4" fillId="0" borderId="0" xfId="0" applyFont="1" applyFill="1" applyBorder="1" applyProtection="1">
      <protection locked="0"/>
    </xf>
    <xf numFmtId="0" fontId="4" fillId="0" borderId="0" xfId="0" applyFont="1" applyFill="1" applyBorder="1" applyAlignment="1" applyProtection="1">
      <alignment horizontal="left"/>
      <protection locked="0"/>
    </xf>
    <xf numFmtId="0" fontId="0" fillId="0" borderId="0" xfId="0" applyFill="1" applyBorder="1" applyProtection="1">
      <protection locked="0"/>
    </xf>
    <xf numFmtId="0" fontId="0" fillId="0" borderId="0" xfId="0" applyFill="1" applyBorder="1" applyAlignment="1" applyProtection="1">
      <alignment horizontal="left"/>
      <protection locked="0"/>
    </xf>
    <xf numFmtId="0" fontId="4" fillId="35" borderId="20" xfId="0" applyFont="1" applyFill="1" applyBorder="1" applyAlignment="1" applyProtection="1">
      <alignment horizontal="center" vertical="center"/>
    </xf>
    <xf numFmtId="0" fontId="4" fillId="0" borderId="0" xfId="0" applyFont="1"/>
    <xf numFmtId="1" fontId="4" fillId="0" borderId="0" xfId="0" applyNumberFormat="1" applyFont="1" applyFill="1" applyBorder="1" applyAlignment="1" applyProtection="1">
      <alignment horizontal="right"/>
    </xf>
    <xf numFmtId="1" fontId="4" fillId="35" borderId="0" xfId="0" applyNumberFormat="1" applyFont="1" applyFill="1" applyBorder="1" applyAlignment="1" applyProtection="1">
      <alignment horizontal="right"/>
    </xf>
    <xf numFmtId="1" fontId="3" fillId="0" borderId="0" xfId="0" applyNumberFormat="1" applyFont="1" applyFill="1" applyBorder="1" applyAlignment="1" applyProtection="1">
      <alignment horizontal="right"/>
    </xf>
    <xf numFmtId="1" fontId="3" fillId="35" borderId="0" xfId="0" applyNumberFormat="1" applyFont="1" applyFill="1" applyBorder="1" applyAlignment="1" applyProtection="1">
      <alignment horizontal="right"/>
    </xf>
    <xf numFmtId="2" fontId="4" fillId="0" borderId="0" xfId="0" applyNumberFormat="1" applyFont="1" applyFill="1" applyBorder="1" applyAlignment="1" applyProtection="1">
      <alignment horizontal="right"/>
    </xf>
    <xf numFmtId="2" fontId="4" fillId="35" borderId="0" xfId="0" applyNumberFormat="1" applyFont="1" applyFill="1" applyBorder="1" applyAlignment="1" applyProtection="1">
      <alignment horizontal="right"/>
    </xf>
    <xf numFmtId="0" fontId="80" fillId="26" borderId="29" xfId="1117" applyFont="1" applyFill="1" applyBorder="1" applyAlignment="1" applyProtection="1">
      <alignment vertical="center"/>
    </xf>
    <xf numFmtId="0" fontId="0" fillId="0" borderId="29" xfId="0" applyFill="1" applyBorder="1" applyProtection="1"/>
    <xf numFmtId="0" fontId="5" fillId="0" borderId="29" xfId="0" quotePrefix="1" applyFont="1" applyFill="1" applyBorder="1" applyAlignment="1" applyProtection="1">
      <alignment horizontal="left"/>
    </xf>
    <xf numFmtId="49" fontId="4" fillId="0" borderId="0" xfId="0" applyNumberFormat="1" applyFont="1" applyFill="1" applyProtection="1"/>
    <xf numFmtId="1" fontId="4" fillId="0" borderId="0" xfId="0" applyNumberFormat="1" applyFont="1" applyFill="1" applyBorder="1" applyProtection="1"/>
    <xf numFmtId="1" fontId="4" fillId="35" borderId="0" xfId="0" applyNumberFormat="1" applyFont="1" applyFill="1" applyBorder="1" applyProtection="1"/>
    <xf numFmtId="0" fontId="0" fillId="35" borderId="0" xfId="0" applyFill="1"/>
    <xf numFmtId="0" fontId="4" fillId="38" borderId="0" xfId="1117" applyFill="1" applyBorder="1" applyAlignment="1" applyProtection="1">
      <alignment horizontal="center"/>
    </xf>
    <xf numFmtId="3" fontId="4" fillId="0" borderId="20" xfId="0" applyNumberFormat="1" applyFont="1" applyFill="1" applyBorder="1" applyAlignment="1" applyProtection="1">
      <alignment horizontal="right"/>
      <protection locked="0"/>
    </xf>
    <xf numFmtId="3" fontId="4" fillId="0" borderId="20" xfId="0" applyNumberFormat="1" applyFont="1" applyFill="1" applyBorder="1" applyProtection="1">
      <protection locked="0"/>
    </xf>
    <xf numFmtId="3" fontId="3" fillId="34" borderId="20" xfId="0" applyNumberFormat="1" applyFont="1" applyFill="1" applyBorder="1" applyAlignment="1" applyProtection="1">
      <alignment horizontal="right"/>
    </xf>
    <xf numFmtId="3" fontId="3" fillId="0" borderId="20" xfId="0" applyNumberFormat="1" applyFont="1" applyFill="1" applyBorder="1" applyAlignment="1" applyProtection="1">
      <alignment horizontal="right"/>
      <protection locked="0"/>
    </xf>
    <xf numFmtId="3" fontId="3" fillId="0" borderId="27" xfId="0" applyNumberFormat="1" applyFont="1" applyFill="1" applyBorder="1" applyAlignment="1" applyProtection="1">
      <alignment horizontal="right"/>
    </xf>
    <xf numFmtId="3" fontId="4" fillId="0" borderId="27" xfId="0" applyNumberFormat="1" applyFont="1" applyFill="1" applyBorder="1" applyAlignment="1" applyProtection="1">
      <alignment horizontal="right"/>
    </xf>
    <xf numFmtId="3" fontId="12" fillId="34" borderId="0" xfId="0" applyNumberFormat="1" applyFont="1" applyFill="1"/>
    <xf numFmtId="3" fontId="12" fillId="34" borderId="19" xfId="0" applyNumberFormat="1" applyFont="1" applyFill="1" applyBorder="1"/>
    <xf numFmtId="3" fontId="12" fillId="34" borderId="0" xfId="0" applyNumberFormat="1" applyFont="1" applyFill="1" applyAlignment="1">
      <alignment horizontal="right"/>
    </xf>
    <xf numFmtId="3" fontId="12" fillId="34" borderId="27" xfId="0" applyNumberFormat="1" applyFont="1" applyFill="1" applyBorder="1" applyAlignment="1">
      <alignment horizontal="right"/>
    </xf>
    <xf numFmtId="3" fontId="4" fillId="39" borderId="16" xfId="150" applyNumberFormat="1" applyFont="1" applyFill="1" applyBorder="1" applyAlignment="1" applyProtection="1"/>
    <xf numFmtId="3" fontId="4" fillId="0" borderId="16" xfId="150" applyNumberFormat="1" applyFont="1" applyFill="1" applyBorder="1" applyAlignment="1" applyProtection="1">
      <protection locked="0"/>
    </xf>
    <xf numFmtId="3" fontId="4" fillId="0" borderId="16" xfId="0" applyNumberFormat="1" applyFont="1" applyFill="1" applyBorder="1" applyAlignment="1" applyProtection="1">
      <protection locked="0"/>
    </xf>
    <xf numFmtId="3" fontId="3" fillId="39" borderId="16" xfId="150" applyNumberFormat="1" applyFont="1" applyFill="1" applyBorder="1" applyAlignment="1" applyProtection="1"/>
    <xf numFmtId="3" fontId="3" fillId="0" borderId="16" xfId="150" applyNumberFormat="1" applyFont="1" applyFill="1" applyBorder="1" applyAlignment="1" applyProtection="1">
      <protection locked="0"/>
    </xf>
    <xf numFmtId="3" fontId="3" fillId="0" borderId="16" xfId="0" applyNumberFormat="1" applyFont="1" applyFill="1" applyBorder="1" applyAlignment="1" applyProtection="1">
      <protection locked="0"/>
    </xf>
    <xf numFmtId="3" fontId="3" fillId="39" borderId="16" xfId="0" applyNumberFormat="1" applyFont="1" applyFill="1" applyBorder="1" applyAlignment="1" applyProtection="1"/>
    <xf numFmtId="186" fontId="4" fillId="39" borderId="16" xfId="150" applyNumberFormat="1" applyFont="1" applyFill="1" applyBorder="1" applyAlignment="1" applyProtection="1"/>
    <xf numFmtId="186" fontId="4" fillId="0" borderId="16" xfId="150" applyNumberFormat="1" applyFont="1" applyFill="1" applyBorder="1" applyAlignment="1" applyProtection="1">
      <protection locked="0"/>
    </xf>
    <xf numFmtId="186" fontId="4" fillId="0" borderId="16" xfId="0" applyNumberFormat="1" applyFont="1" applyFill="1" applyBorder="1" applyAlignment="1" applyProtection="1">
      <protection locked="0"/>
    </xf>
    <xf numFmtId="3" fontId="3" fillId="39" borderId="16" xfId="150" applyNumberFormat="1" applyFont="1" applyFill="1" applyBorder="1" applyAlignment="1" applyProtection="1">
      <alignment horizontal="right"/>
    </xf>
    <xf numFmtId="3" fontId="3" fillId="0" borderId="16" xfId="150" applyNumberFormat="1" applyFont="1" applyFill="1" applyBorder="1" applyAlignment="1" applyProtection="1">
      <alignment horizontal="right"/>
      <protection locked="0"/>
    </xf>
    <xf numFmtId="3" fontId="4" fillId="39" borderId="16" xfId="150" applyNumberFormat="1" applyFont="1" applyFill="1" applyBorder="1" applyAlignment="1" applyProtection="1">
      <alignment horizontal="right"/>
    </xf>
    <xf numFmtId="3" fontId="4" fillId="39" borderId="17" xfId="150" applyNumberFormat="1" applyFont="1" applyFill="1" applyBorder="1" applyAlignment="1" applyProtection="1">
      <alignment horizontal="right"/>
    </xf>
    <xf numFmtId="3" fontId="4" fillId="0" borderId="17" xfId="150" applyNumberFormat="1" applyFont="1" applyFill="1" applyBorder="1" applyAlignment="1" applyProtection="1">
      <alignment horizontal="right"/>
      <protection locked="0"/>
    </xf>
    <xf numFmtId="3" fontId="4" fillId="0" borderId="16" xfId="150" applyNumberFormat="1" applyFont="1" applyFill="1" applyBorder="1" applyAlignment="1" applyProtection="1">
      <alignment horizontal="right"/>
      <protection locked="0"/>
    </xf>
    <xf numFmtId="3" fontId="4" fillId="0" borderId="16" xfId="0" applyNumberFormat="1" applyFont="1" applyFill="1" applyBorder="1" applyAlignment="1" applyProtection="1">
      <alignment horizontal="right"/>
      <protection locked="0"/>
    </xf>
    <xf numFmtId="3" fontId="3" fillId="39" borderId="18" xfId="150" applyNumberFormat="1" applyFont="1" applyFill="1" applyBorder="1" applyAlignment="1" applyProtection="1">
      <alignment horizontal="right"/>
    </xf>
    <xf numFmtId="3" fontId="4" fillId="0" borderId="17" xfId="0" applyNumberFormat="1" applyFont="1" applyFill="1" applyBorder="1" applyAlignment="1" applyProtection="1">
      <alignment horizontal="right"/>
      <protection locked="0"/>
    </xf>
    <xf numFmtId="3" fontId="3" fillId="0" borderId="16" xfId="0" applyNumberFormat="1" applyFont="1" applyFill="1" applyBorder="1" applyAlignment="1" applyProtection="1">
      <alignment horizontal="right"/>
      <protection locked="0"/>
    </xf>
    <xf numFmtId="3" fontId="3" fillId="39" borderId="16" xfId="150" applyNumberFormat="1" applyFont="1" applyFill="1" applyBorder="1" applyAlignment="1" applyProtection="1">
      <alignment horizontal="right"/>
      <protection locked="0"/>
    </xf>
    <xf numFmtId="186" fontId="4" fillId="0" borderId="16" xfId="150" applyNumberFormat="1" applyFont="1" applyFill="1" applyBorder="1" applyAlignment="1" applyProtection="1">
      <alignment horizontal="right"/>
      <protection locked="0"/>
    </xf>
    <xf numFmtId="186" fontId="4" fillId="0" borderId="16" xfId="0" applyNumberFormat="1" applyFont="1" applyFill="1" applyBorder="1" applyAlignment="1" applyProtection="1">
      <alignment horizontal="right"/>
      <protection locked="0"/>
    </xf>
    <xf numFmtId="172" fontId="6" fillId="0" borderId="0" xfId="0" applyNumberFormat="1" applyFont="1" applyFill="1" applyBorder="1" applyAlignment="1" applyProtection="1">
      <alignment horizontal="left"/>
    </xf>
    <xf numFmtId="3" fontId="4" fillId="0" borderId="0" xfId="0" applyNumberFormat="1" applyFont="1" applyFill="1" applyBorder="1" applyAlignment="1" applyProtection="1">
      <alignment horizontal="right"/>
      <protection locked="0"/>
    </xf>
    <xf numFmtId="0" fontId="37" fillId="36" borderId="0" xfId="1858" applyFont="1" applyFill="1" applyAlignment="1">
      <alignment horizontal="right" vertical="center" wrapText="1"/>
    </xf>
    <xf numFmtId="0" fontId="4" fillId="37" borderId="0" xfId="0" applyFont="1" applyFill="1" applyBorder="1" applyProtection="1">
      <protection locked="0"/>
    </xf>
    <xf numFmtId="0" fontId="4" fillId="37" borderId="0" xfId="0" applyFont="1" applyFill="1" applyBorder="1" applyAlignment="1" applyProtection="1">
      <alignment horizontal="left"/>
      <protection locked="0"/>
    </xf>
    <xf numFmtId="0" fontId="0" fillId="37" borderId="0" xfId="0" applyFill="1" applyAlignment="1" applyProtection="1">
      <alignment horizontal="left"/>
    </xf>
    <xf numFmtId="0" fontId="0" fillId="37" borderId="0" xfId="0" applyFont="1" applyFill="1"/>
    <xf numFmtId="0" fontId="0" fillId="40" borderId="0" xfId="0" applyFill="1" applyBorder="1"/>
    <xf numFmtId="0" fontId="14" fillId="0" borderId="0" xfId="0" applyFont="1" applyFill="1" applyBorder="1" applyProtection="1"/>
    <xf numFmtId="172" fontId="6" fillId="41" borderId="10" xfId="0" applyNumberFormat="1" applyFont="1" applyFill="1" applyBorder="1" applyAlignment="1" applyProtection="1"/>
    <xf numFmtId="172" fontId="5" fillId="41" borderId="10" xfId="0" applyNumberFormat="1" applyFont="1" applyFill="1" applyBorder="1" applyAlignment="1" applyProtection="1"/>
    <xf numFmtId="49" fontId="21" fillId="0" borderId="0" xfId="0" applyNumberFormat="1" applyFont="1" applyFill="1" applyBorder="1" applyAlignment="1" applyProtection="1">
      <alignment horizontal="left"/>
    </xf>
    <xf numFmtId="0" fontId="83" fillId="0" borderId="0" xfId="0" applyFont="1" applyFill="1" applyAlignment="1" applyProtection="1">
      <alignment horizontal="center"/>
    </xf>
    <xf numFmtId="0" fontId="3" fillId="41" borderId="20" xfId="0" applyFont="1" applyFill="1" applyBorder="1" applyAlignment="1" applyProtection="1">
      <alignment horizontal="center" vertical="top" wrapText="1"/>
      <protection locked="0"/>
    </xf>
    <xf numFmtId="0" fontId="3" fillId="41" borderId="20" xfId="0" quotePrefix="1" applyFont="1" applyFill="1" applyBorder="1" applyAlignment="1" applyProtection="1">
      <alignment horizontal="center" vertical="top" wrapText="1"/>
      <protection locked="0"/>
    </xf>
    <xf numFmtId="0" fontId="0" fillId="41" borderId="20" xfId="0" applyFill="1" applyBorder="1"/>
    <xf numFmtId="3" fontId="84" fillId="39" borderId="16" xfId="150" applyNumberFormat="1" applyFont="1" applyFill="1" applyBorder="1" applyAlignment="1" applyProtection="1"/>
    <xf numFmtId="3" fontId="84" fillId="35" borderId="16" xfId="150" applyNumberFormat="1" applyFont="1" applyFill="1" applyBorder="1" applyAlignment="1" applyProtection="1"/>
    <xf numFmtId="3" fontId="84" fillId="39" borderId="16" xfId="0" applyNumberFormat="1" applyFont="1" applyFill="1" applyBorder="1" applyAlignment="1" applyProtection="1"/>
    <xf numFmtId="3" fontId="84" fillId="39" borderId="16" xfId="150" applyNumberFormat="1" applyFont="1" applyFill="1" applyBorder="1" applyAlignment="1" applyProtection="1">
      <alignment horizontal="right"/>
    </xf>
    <xf numFmtId="3" fontId="85" fillId="39" borderId="16" xfId="150" applyNumberFormat="1" applyFont="1" applyFill="1" applyBorder="1" applyAlignment="1" applyProtection="1">
      <alignment horizontal="right"/>
    </xf>
    <xf numFmtId="3" fontId="84" fillId="39" borderId="18" xfId="150" applyNumberFormat="1" applyFont="1" applyFill="1" applyBorder="1" applyAlignment="1" applyProtection="1">
      <alignment horizontal="right"/>
    </xf>
    <xf numFmtId="0" fontId="4" fillId="40" borderId="0" xfId="0" applyFont="1" applyFill="1"/>
    <xf numFmtId="0" fontId="79" fillId="37" borderId="0" xfId="0" applyFont="1" applyFill="1"/>
    <xf numFmtId="0" fontId="0" fillId="40" borderId="0" xfId="0" applyFill="1"/>
    <xf numFmtId="172" fontId="14" fillId="41" borderId="20" xfId="0" applyNumberFormat="1" applyFont="1" applyFill="1" applyBorder="1" applyAlignment="1" applyProtection="1">
      <alignment horizontal="left" vertical="top"/>
    </xf>
    <xf numFmtId="0" fontId="4" fillId="41" borderId="20" xfId="0" applyFont="1" applyFill="1" applyBorder="1" applyAlignment="1" applyProtection="1">
      <alignment vertical="top"/>
    </xf>
    <xf numFmtId="0" fontId="3" fillId="0" borderId="0" xfId="0" quotePrefix="1" applyFont="1" applyFill="1" applyBorder="1" applyAlignment="1" applyProtection="1">
      <alignment horizontal="right" vertical="top"/>
    </xf>
    <xf numFmtId="0" fontId="3" fillId="35" borderId="0" xfId="0" quotePrefix="1" applyFont="1" applyFill="1" applyBorder="1" applyAlignment="1" applyProtection="1">
      <alignment horizontal="right" vertical="top"/>
    </xf>
    <xf numFmtId="0" fontId="3" fillId="0" borderId="0" xfId="0" applyFont="1" applyFill="1" applyBorder="1" applyAlignment="1">
      <alignment vertical="top"/>
    </xf>
    <xf numFmtId="0" fontId="4" fillId="41" borderId="20" xfId="0" applyFont="1" applyFill="1" applyBorder="1" applyAlignment="1" applyProtection="1">
      <alignment horizontal="center" vertical="top"/>
    </xf>
    <xf numFmtId="0" fontId="3" fillId="0" borderId="20" xfId="0" applyFont="1" applyFill="1" applyBorder="1" applyAlignment="1" applyProtection="1">
      <alignment horizontal="center" vertical="top"/>
    </xf>
    <xf numFmtId="0" fontId="3" fillId="0" borderId="0" xfId="0" quotePrefix="1" applyFont="1" applyFill="1" applyBorder="1" applyAlignment="1" applyProtection="1">
      <alignment horizontal="center" vertical="top"/>
    </xf>
    <xf numFmtId="0" fontId="3" fillId="35" borderId="0" xfId="0" quotePrefix="1" applyFont="1" applyFill="1" applyBorder="1" applyAlignment="1" applyProtection="1">
      <alignment horizontal="center" vertical="top"/>
    </xf>
    <xf numFmtId="0" fontId="3" fillId="0" borderId="0" xfId="0" applyFont="1" applyFill="1" applyBorder="1" applyAlignment="1">
      <alignment horizontal="center" vertical="top"/>
    </xf>
    <xf numFmtId="49" fontId="3" fillId="0" borderId="0" xfId="0" applyNumberFormat="1" applyFont="1" applyFill="1" applyBorder="1" applyAlignment="1" applyProtection="1">
      <alignment horizontal="right" vertical="top"/>
    </xf>
    <xf numFmtId="0" fontId="3" fillId="0" borderId="0" xfId="0" applyFont="1" applyFill="1" applyBorder="1" applyAlignment="1" applyProtection="1">
      <alignment horizontal="right" vertical="top"/>
    </xf>
    <xf numFmtId="0" fontId="3" fillId="0" borderId="0" xfId="0" applyFont="1" applyFill="1" applyBorder="1" applyProtection="1"/>
    <xf numFmtId="3" fontId="3" fillId="0" borderId="0" xfId="0" applyNumberFormat="1" applyFont="1" applyFill="1" applyBorder="1" applyAlignment="1" applyProtection="1">
      <alignment horizontal="right"/>
    </xf>
    <xf numFmtId="172" fontId="5" fillId="0" borderId="0" xfId="0" applyNumberFormat="1" applyFont="1" applyFill="1" applyBorder="1" applyAlignment="1" applyProtection="1">
      <alignment horizontal="left"/>
    </xf>
    <xf numFmtId="49" fontId="3" fillId="41" borderId="17" xfId="0" applyNumberFormat="1" applyFont="1" applyFill="1" applyBorder="1" applyAlignment="1" applyProtection="1">
      <alignment horizontal="center" vertical="top" wrapText="1"/>
    </xf>
    <xf numFmtId="3" fontId="85" fillId="35" borderId="16" xfId="150" applyNumberFormat="1" applyFont="1" applyFill="1" applyBorder="1" applyAlignment="1" applyProtection="1"/>
    <xf numFmtId="186" fontId="85" fillId="35" borderId="16" xfId="150" applyNumberFormat="1" applyFont="1" applyFill="1" applyBorder="1" applyAlignment="1" applyProtection="1"/>
    <xf numFmtId="0" fontId="3" fillId="41" borderId="20" xfId="0" applyFont="1" applyFill="1" applyBorder="1" applyAlignment="1" applyProtection="1">
      <alignment horizontal="center" vertical="top" wrapText="1"/>
    </xf>
    <xf numFmtId="3" fontId="85" fillId="35" borderId="16" xfId="150" applyNumberFormat="1" applyFont="1" applyFill="1" applyBorder="1" applyAlignment="1" applyProtection="1">
      <alignment horizontal="right"/>
    </xf>
    <xf numFmtId="3" fontId="85" fillId="35" borderId="17" xfId="150" applyNumberFormat="1" applyFont="1" applyFill="1" applyBorder="1" applyAlignment="1" applyProtection="1">
      <alignment horizontal="right"/>
    </xf>
    <xf numFmtId="3" fontId="84" fillId="35" borderId="16" xfId="150" applyNumberFormat="1" applyFont="1" applyFill="1" applyBorder="1" applyAlignment="1" applyProtection="1">
      <alignment horizontal="right"/>
    </xf>
    <xf numFmtId="186" fontId="85" fillId="35" borderId="16" xfId="150" applyNumberFormat="1" applyFont="1" applyFill="1" applyBorder="1" applyAlignment="1" applyProtection="1">
      <alignment horizontal="right"/>
    </xf>
    <xf numFmtId="3" fontId="4" fillId="0" borderId="16" xfId="150" applyNumberFormat="1" applyFont="1" applyFill="1" applyBorder="1" applyAlignment="1" applyProtection="1"/>
    <xf numFmtId="3" fontId="4" fillId="0" borderId="16" xfId="0" applyNumberFormat="1" applyFont="1" applyFill="1" applyBorder="1" applyAlignment="1" applyProtection="1"/>
    <xf numFmtId="3" fontId="4" fillId="0" borderId="16" xfId="150" applyNumberFormat="1" applyFont="1" applyFill="1" applyBorder="1" applyAlignment="1" applyProtection="1">
      <alignment horizontal="right"/>
    </xf>
    <xf numFmtId="3" fontId="4" fillId="0" borderId="16" xfId="0" applyNumberFormat="1" applyFont="1" applyFill="1" applyBorder="1" applyAlignment="1" applyProtection="1">
      <alignment horizontal="right"/>
    </xf>
    <xf numFmtId="3" fontId="12" fillId="34" borderId="0" xfId="0" applyNumberFormat="1" applyFont="1" applyFill="1" applyBorder="1"/>
    <xf numFmtId="3" fontId="12" fillId="34" borderId="0" xfId="0" applyNumberFormat="1" applyFont="1" applyFill="1" applyBorder="1" applyAlignment="1">
      <alignment horizontal="right"/>
    </xf>
    <xf numFmtId="0" fontId="38" fillId="36" borderId="17" xfId="1860" applyFont="1" applyFill="1" applyBorder="1" applyAlignment="1">
      <alignment vertical="center" wrapText="1"/>
    </xf>
    <xf numFmtId="0" fontId="0" fillId="36" borderId="16" xfId="1860" applyFont="1" applyFill="1" applyBorder="1" applyAlignment="1">
      <alignment vertical="center" wrapText="1"/>
    </xf>
    <xf numFmtId="0" fontId="4" fillId="36" borderId="16" xfId="1860" applyFont="1" applyFill="1" applyBorder="1" applyAlignment="1">
      <alignment horizontal="left" vertical="center" wrapText="1" indent="1"/>
    </xf>
    <xf numFmtId="0" fontId="38" fillId="36" borderId="16" xfId="1860" applyFont="1" applyFill="1" applyBorder="1" applyAlignment="1">
      <alignment vertical="center" wrapText="1"/>
    </xf>
    <xf numFmtId="0" fontId="0" fillId="36" borderId="16" xfId="1860" applyFont="1" applyFill="1" applyBorder="1" applyAlignment="1">
      <alignment horizontal="left" vertical="center" wrapText="1"/>
    </xf>
    <xf numFmtId="0" fontId="4" fillId="26" borderId="16" xfId="1117" quotePrefix="1" applyFont="1" applyFill="1" applyBorder="1" applyAlignment="1">
      <alignment horizontal="left" wrapText="1" indent="3"/>
    </xf>
    <xf numFmtId="0" fontId="0" fillId="36" borderId="16" xfId="1860" applyFont="1" applyFill="1" applyBorder="1" applyAlignment="1">
      <alignment horizontal="left" vertical="center" wrapText="1" indent="1"/>
    </xf>
    <xf numFmtId="0" fontId="4" fillId="0" borderId="16" xfId="1117" applyBorder="1" applyAlignment="1">
      <alignment wrapText="1"/>
    </xf>
    <xf numFmtId="0" fontId="4" fillId="36" borderId="16" xfId="1860" applyFont="1" applyFill="1" applyBorder="1" applyAlignment="1">
      <alignment horizontal="left" vertical="center" wrapText="1"/>
    </xf>
    <xf numFmtId="0" fontId="8" fillId="36" borderId="16" xfId="901" applyFill="1" applyBorder="1" applyAlignment="1" applyProtection="1">
      <alignment horizontal="left" vertical="center" wrapText="1" indent="3"/>
    </xf>
    <xf numFmtId="0" fontId="0" fillId="36" borderId="18" xfId="1860" applyFont="1" applyFill="1" applyBorder="1" applyAlignment="1">
      <alignment vertical="center" wrapText="1"/>
    </xf>
    <xf numFmtId="0" fontId="86" fillId="26" borderId="0" xfId="1117" applyFont="1" applyFill="1" applyBorder="1" applyAlignment="1">
      <alignment horizontal="center"/>
    </xf>
    <xf numFmtId="0" fontId="2" fillId="26" borderId="16" xfId="1117" quotePrefix="1" applyFont="1" applyFill="1" applyBorder="1" applyAlignment="1">
      <alignment horizontal="left" wrapText="1" indent="3"/>
    </xf>
    <xf numFmtId="3" fontId="4" fillId="42" borderId="16" xfId="0" applyNumberFormat="1" applyFont="1" applyFill="1" applyBorder="1" applyAlignment="1" applyProtection="1"/>
    <xf numFmtId="0" fontId="2" fillId="36" borderId="16" xfId="1860" applyFont="1" applyFill="1" applyBorder="1" applyAlignment="1">
      <alignment horizontal="left" vertical="center" wrapText="1" indent="1"/>
    </xf>
    <xf numFmtId="0" fontId="2" fillId="26" borderId="16" xfId="1117" applyFont="1" applyFill="1" applyBorder="1" applyAlignment="1">
      <alignment horizontal="left" wrapText="1" indent="3"/>
    </xf>
    <xf numFmtId="0" fontId="0" fillId="0" borderId="29" xfId="0" applyBorder="1" applyProtection="1"/>
    <xf numFmtId="0" fontId="0" fillId="0" borderId="0" xfId="0" applyProtection="1"/>
    <xf numFmtId="1" fontId="3" fillId="0" borderId="0" xfId="0" applyNumberFormat="1" applyFont="1" applyFill="1" applyBorder="1" applyProtection="1"/>
    <xf numFmtId="3" fontId="4" fillId="42" borderId="16" xfId="150" applyNumberFormat="1" applyFont="1" applyFill="1" applyBorder="1" applyAlignment="1" applyProtection="1"/>
    <xf numFmtId="2" fontId="4" fillId="0" borderId="0" xfId="0" applyNumberFormat="1" applyFont="1" applyFill="1" applyBorder="1" applyProtection="1"/>
    <xf numFmtId="49" fontId="3" fillId="41" borderId="17" xfId="0" applyNumberFormat="1" applyFont="1" applyFill="1" applyBorder="1" applyAlignment="1" applyProtection="1">
      <alignment horizontal="center" vertical="top" wrapText="1"/>
      <protection locked="0"/>
    </xf>
    <xf numFmtId="173" fontId="85" fillId="35" borderId="16" xfId="150" applyNumberFormat="1" applyFont="1" applyFill="1" applyBorder="1" applyAlignment="1" applyProtection="1"/>
    <xf numFmtId="0" fontId="2" fillId="37" borderId="0" xfId="0" applyFont="1" applyFill="1"/>
    <xf numFmtId="0" fontId="0" fillId="0" borderId="0" xfId="0" applyFont="1" applyFill="1" applyBorder="1"/>
    <xf numFmtId="0" fontId="2" fillId="0" borderId="0" xfId="0" applyFont="1" applyFill="1" applyBorder="1" applyAlignment="1">
      <alignment horizontal="left"/>
    </xf>
    <xf numFmtId="0" fontId="2" fillId="0" borderId="0" xfId="0" applyFont="1" applyFill="1" applyBorder="1"/>
    <xf numFmtId="0" fontId="80" fillId="26" borderId="0" xfId="1117" applyFont="1" applyFill="1" applyBorder="1" applyAlignment="1">
      <alignment horizontal="center"/>
    </xf>
    <xf numFmtId="0" fontId="3" fillId="34" borderId="30" xfId="0" applyFont="1" applyFill="1" applyBorder="1" applyProtection="1"/>
    <xf numFmtId="0" fontId="3" fillId="34" borderId="31" xfId="0" applyFont="1" applyFill="1" applyBorder="1" applyProtection="1"/>
    <xf numFmtId="0" fontId="3" fillId="34" borderId="32" xfId="0" applyFont="1" applyFill="1" applyBorder="1" applyProtection="1"/>
    <xf numFmtId="2" fontId="64" fillId="43" borderId="33" xfId="0" applyNumberFormat="1" applyFont="1" applyFill="1" applyBorder="1"/>
    <xf numFmtId="2" fontId="64" fillId="0" borderId="33" xfId="0" applyNumberFormat="1" applyFont="1" applyFill="1" applyBorder="1" applyAlignment="1">
      <alignment vertical="top" wrapText="1"/>
    </xf>
    <xf numFmtId="185" fontId="64" fillId="43" borderId="33" xfId="1905" applyNumberFormat="1" applyFont="1" applyFill="1" applyBorder="1" applyAlignment="1">
      <alignment vertical="top" wrapText="1"/>
    </xf>
    <xf numFmtId="2" fontId="64" fillId="0" borderId="33" xfId="0" applyNumberFormat="1" applyFont="1" applyBorder="1"/>
    <xf numFmtId="187" fontId="64" fillId="0" borderId="34" xfId="0" applyNumberFormat="1" applyFont="1" applyFill="1" applyBorder="1" applyAlignment="1">
      <alignment vertical="top" wrapText="1"/>
    </xf>
    <xf numFmtId="0" fontId="3" fillId="34" borderId="35" xfId="0" applyFont="1" applyFill="1" applyBorder="1"/>
    <xf numFmtId="0" fontId="0" fillId="44" borderId="36" xfId="0" applyFill="1" applyBorder="1"/>
    <xf numFmtId="0" fontId="3" fillId="39" borderId="35" xfId="0" applyFont="1" applyFill="1" applyBorder="1"/>
    <xf numFmtId="0" fontId="35" fillId="45" borderId="32" xfId="0" applyFont="1" applyFill="1" applyBorder="1"/>
    <xf numFmtId="0" fontId="2" fillId="0" borderId="0" xfId="0" applyFont="1"/>
    <xf numFmtId="185" fontId="87" fillId="44" borderId="36" xfId="0" applyNumberFormat="1" applyFont="1" applyFill="1" applyBorder="1" applyAlignment="1">
      <alignment horizontal="center"/>
    </xf>
    <xf numFmtId="187" fontId="64" fillId="0" borderId="37" xfId="0" applyNumberFormat="1" applyFont="1" applyFill="1" applyBorder="1" applyAlignment="1">
      <alignment horizontal="center" vertical="top" wrapText="1"/>
    </xf>
    <xf numFmtId="2" fontId="64" fillId="43" borderId="24" xfId="0" applyNumberFormat="1" applyFont="1" applyFill="1" applyBorder="1" applyAlignment="1">
      <alignment horizontal="center"/>
    </xf>
    <xf numFmtId="2" fontId="64" fillId="0" borderId="24" xfId="0" applyNumberFormat="1" applyFont="1" applyFill="1" applyBorder="1" applyAlignment="1">
      <alignment horizontal="center" vertical="top" wrapText="1"/>
    </xf>
    <xf numFmtId="185" fontId="64" fillId="43" borderId="24" xfId="1905" applyNumberFormat="1" applyFont="1" applyFill="1" applyBorder="1" applyAlignment="1">
      <alignment horizontal="center" vertical="top" wrapText="1"/>
    </xf>
    <xf numFmtId="2" fontId="64" fillId="0" borderId="24" xfId="0" applyNumberFormat="1" applyFont="1" applyBorder="1" applyAlignment="1">
      <alignment horizontal="center"/>
    </xf>
    <xf numFmtId="0" fontId="3" fillId="44" borderId="38" xfId="0" applyFont="1" applyFill="1" applyBorder="1"/>
    <xf numFmtId="185" fontId="87" fillId="44" borderId="38" xfId="0" applyNumberFormat="1" applyFont="1" applyFill="1" applyBorder="1" applyAlignment="1">
      <alignment horizontal="center"/>
    </xf>
    <xf numFmtId="185" fontId="87" fillId="44" borderId="35" xfId="0" applyNumberFormat="1" applyFont="1" applyFill="1" applyBorder="1" applyAlignment="1">
      <alignment horizontal="center"/>
    </xf>
    <xf numFmtId="3" fontId="4" fillId="42" borderId="0" xfId="150" applyNumberFormat="1" applyFont="1" applyFill="1" applyBorder="1" applyAlignment="1" applyProtection="1"/>
    <xf numFmtId="3" fontId="4" fillId="42" borderId="0" xfId="0" applyNumberFormat="1" applyFont="1" applyFill="1" applyBorder="1" applyAlignment="1" applyProtection="1"/>
    <xf numFmtId="3" fontId="4" fillId="42" borderId="19" xfId="150" applyNumberFormat="1" applyFont="1" applyFill="1" applyBorder="1" applyAlignment="1" applyProtection="1"/>
    <xf numFmtId="3" fontId="4" fillId="42" borderId="19" xfId="0" applyNumberFormat="1" applyFont="1" applyFill="1" applyBorder="1" applyAlignment="1" applyProtection="1"/>
    <xf numFmtId="3" fontId="4" fillId="42" borderId="10" xfId="0" applyNumberFormat="1" applyFont="1" applyFill="1" applyBorder="1" applyAlignment="1" applyProtection="1"/>
    <xf numFmtId="0" fontId="4" fillId="35" borderId="0" xfId="0" applyFont="1" applyFill="1" applyBorder="1" applyAlignment="1">
      <alignment horizontal="center" vertical="center"/>
    </xf>
    <xf numFmtId="9" fontId="4" fillId="35" borderId="0" xfId="2031" applyFont="1" applyFill="1" applyBorder="1" applyAlignment="1">
      <alignment horizontal="center" vertical="center"/>
    </xf>
    <xf numFmtId="0" fontId="0" fillId="35" borderId="0" xfId="0" applyFill="1" applyBorder="1" applyAlignment="1">
      <alignment horizontal="center" vertical="center"/>
    </xf>
    <xf numFmtId="0" fontId="2" fillId="26" borderId="0" xfId="0" applyFont="1" applyFill="1" applyBorder="1" applyAlignment="1">
      <alignment vertical="center" wrapText="1"/>
    </xf>
    <xf numFmtId="0" fontId="4" fillId="26" borderId="39" xfId="0" applyFont="1" applyFill="1" applyBorder="1" applyAlignment="1">
      <alignment horizontal="center" vertical="center"/>
    </xf>
    <xf numFmtId="0" fontId="4" fillId="35" borderId="40" xfId="0" applyFont="1" applyFill="1" applyBorder="1" applyAlignment="1">
      <alignment horizontal="center" vertical="center"/>
    </xf>
    <xf numFmtId="0" fontId="0" fillId="35" borderId="40" xfId="0" applyFill="1" applyBorder="1" applyAlignment="1">
      <alignment horizontal="center" vertical="center"/>
    </xf>
    <xf numFmtId="0" fontId="0" fillId="35" borderId="21" xfId="0" applyFill="1" applyBorder="1" applyAlignment="1">
      <alignment horizontal="center" vertical="center"/>
    </xf>
    <xf numFmtId="0" fontId="4" fillId="26" borderId="41" xfId="0" applyFont="1" applyFill="1" applyBorder="1" applyAlignment="1">
      <alignment horizontal="center" vertical="center"/>
    </xf>
    <xf numFmtId="0" fontId="0" fillId="35" borderId="22" xfId="0" applyFill="1" applyBorder="1" applyAlignment="1">
      <alignment horizontal="center" vertical="center"/>
    </xf>
    <xf numFmtId="9" fontId="4" fillId="35" borderId="22" xfId="2031" applyFont="1" applyFill="1" applyBorder="1" applyAlignment="1">
      <alignment horizontal="center" vertical="center"/>
    </xf>
    <xf numFmtId="0" fontId="2" fillId="36" borderId="16" xfId="1860" quotePrefix="1" applyFont="1" applyFill="1" applyBorder="1" applyAlignment="1">
      <alignment horizontal="left" vertical="center" wrapText="1" indent="1"/>
    </xf>
    <xf numFmtId="0" fontId="6" fillId="34" borderId="30" xfId="0" applyFont="1" applyFill="1" applyBorder="1" applyProtection="1"/>
    <xf numFmtId="0" fontId="6" fillId="34" borderId="31" xfId="0" applyFont="1" applyFill="1" applyBorder="1" applyProtection="1"/>
    <xf numFmtId="0" fontId="6" fillId="34" borderId="32" xfId="0" applyFont="1" applyFill="1" applyBorder="1" applyProtection="1"/>
    <xf numFmtId="172" fontId="6" fillId="34" borderId="42" xfId="0" applyNumberFormat="1" applyFont="1" applyFill="1" applyBorder="1" applyAlignment="1" applyProtection="1">
      <alignment horizontal="left"/>
    </xf>
    <xf numFmtId="3" fontId="85" fillId="46" borderId="22" xfId="150" applyNumberFormat="1" applyFont="1" applyFill="1" applyBorder="1" applyAlignment="1" applyProtection="1"/>
    <xf numFmtId="3" fontId="85" fillId="46" borderId="43" xfId="150" applyNumberFormat="1" applyFont="1" applyFill="1" applyBorder="1" applyAlignment="1" applyProtection="1"/>
    <xf numFmtId="3" fontId="85" fillId="46" borderId="44" xfId="150" applyNumberFormat="1" applyFont="1" applyFill="1" applyBorder="1" applyAlignment="1" applyProtection="1"/>
    <xf numFmtId="172" fontId="7" fillId="35" borderId="45" xfId="0" applyNumberFormat="1" applyFont="1" applyFill="1" applyBorder="1" applyAlignment="1" applyProtection="1">
      <alignment horizontal="left"/>
    </xf>
    <xf numFmtId="172" fontId="7" fillId="35" borderId="42" xfId="0" applyNumberFormat="1" applyFont="1" applyFill="1" applyBorder="1" applyAlignment="1" applyProtection="1">
      <alignment horizontal="left"/>
    </xf>
    <xf numFmtId="3" fontId="85" fillId="46" borderId="46" xfId="150" applyNumberFormat="1" applyFont="1" applyFill="1" applyBorder="1" applyAlignment="1" applyProtection="1"/>
    <xf numFmtId="187" fontId="2" fillId="26" borderId="20" xfId="0" applyNumberFormat="1" applyFont="1" applyFill="1" applyBorder="1" applyAlignment="1" applyProtection="1">
      <alignment horizontal="right"/>
      <protection locked="0"/>
    </xf>
    <xf numFmtId="169" fontId="2" fillId="26" borderId="46" xfId="0" applyNumberFormat="1" applyFont="1" applyFill="1" applyBorder="1" applyAlignment="1" applyProtection="1">
      <alignment horizontal="right"/>
      <protection locked="0"/>
    </xf>
    <xf numFmtId="169" fontId="2" fillId="26" borderId="47" xfId="0" applyNumberFormat="1" applyFont="1" applyFill="1" applyBorder="1" applyAlignment="1" applyProtection="1">
      <alignment horizontal="right"/>
      <protection locked="0"/>
    </xf>
    <xf numFmtId="3" fontId="2" fillId="26" borderId="20" xfId="0" applyNumberFormat="1" applyFont="1" applyFill="1" applyBorder="1" applyAlignment="1" applyProtection="1">
      <alignment horizontal="right"/>
      <protection locked="0"/>
    </xf>
    <xf numFmtId="187" fontId="4" fillId="26" borderId="20" xfId="0" applyNumberFormat="1" applyFont="1" applyFill="1" applyBorder="1" applyAlignment="1" applyProtection="1">
      <alignment horizontal="right"/>
      <protection locked="0"/>
    </xf>
    <xf numFmtId="0" fontId="0" fillId="26" borderId="0" xfId="0" applyFill="1" applyProtection="1"/>
    <xf numFmtId="172" fontId="3" fillId="26" borderId="0" xfId="0" quotePrefix="1" applyNumberFormat="1" applyFont="1" applyFill="1" applyBorder="1" applyAlignment="1" applyProtection="1">
      <alignment horizontal="left"/>
    </xf>
    <xf numFmtId="172" fontId="3" fillId="26" borderId="0" xfId="0" applyNumberFormat="1" applyFont="1" applyFill="1" applyBorder="1" applyAlignment="1" applyProtection="1">
      <alignment horizontal="center"/>
    </xf>
    <xf numFmtId="0" fontId="4" fillId="26" borderId="0" xfId="0" applyFont="1" applyFill="1" applyBorder="1" applyAlignment="1" applyProtection="1">
      <alignment horizontal="left"/>
    </xf>
    <xf numFmtId="0" fontId="61" fillId="26" borderId="0" xfId="0" applyFont="1" applyFill="1" applyProtection="1"/>
    <xf numFmtId="0" fontId="0" fillId="26" borderId="0" xfId="0" applyFill="1" applyBorder="1" applyProtection="1"/>
    <xf numFmtId="0" fontId="19" fillId="26" borderId="0" xfId="0" applyFont="1" applyFill="1" applyBorder="1" applyProtection="1"/>
    <xf numFmtId="0" fontId="3" fillId="26" borderId="0" xfId="0" applyFont="1" applyFill="1" applyBorder="1" applyProtection="1"/>
    <xf numFmtId="0" fontId="3" fillId="34" borderId="48" xfId="0" applyFont="1" applyFill="1" applyBorder="1" applyAlignment="1">
      <alignment horizontal="center"/>
    </xf>
    <xf numFmtId="0" fontId="3" fillId="34" borderId="49" xfId="0" applyFont="1" applyFill="1" applyBorder="1" applyAlignment="1">
      <alignment horizontal="center"/>
    </xf>
    <xf numFmtId="2" fontId="1" fillId="0" borderId="33" xfId="0" applyNumberFormat="1" applyFont="1" applyFill="1" applyBorder="1" applyAlignment="1">
      <alignment horizontal="right" vertical="top" wrapText="1"/>
    </xf>
    <xf numFmtId="185" fontId="87" fillId="44" borderId="50" xfId="0" applyNumberFormat="1" applyFont="1" applyFill="1" applyBorder="1" applyAlignment="1">
      <alignment horizontal="center"/>
    </xf>
    <xf numFmtId="185" fontId="87" fillId="44" borderId="33" xfId="0" applyNumberFormat="1" applyFont="1" applyFill="1" applyBorder="1" applyAlignment="1">
      <alignment horizontal="center"/>
    </xf>
    <xf numFmtId="185" fontId="88" fillId="44" borderId="51" xfId="0" applyNumberFormat="1" applyFont="1" applyFill="1" applyBorder="1" applyAlignment="1">
      <alignment horizontal="center"/>
    </xf>
    <xf numFmtId="189" fontId="1" fillId="0" borderId="42" xfId="0" applyNumberFormat="1" applyFont="1" applyFill="1" applyBorder="1" applyAlignment="1">
      <alignment horizontal="right" vertical="top" wrapText="1"/>
    </xf>
    <xf numFmtId="2" fontId="1" fillId="0" borderId="50" xfId="0" applyNumberFormat="1" applyFont="1" applyFill="1" applyBorder="1" applyAlignment="1">
      <alignment horizontal="right" vertical="top" wrapText="1"/>
    </xf>
    <xf numFmtId="189" fontId="35" fillId="45" borderId="45" xfId="0" applyNumberFormat="1" applyFont="1" applyFill="1" applyBorder="1" applyAlignment="1">
      <alignment horizontal="right" vertical="top" wrapText="1"/>
    </xf>
    <xf numFmtId="186" fontId="2" fillId="0" borderId="16" xfId="0" applyNumberFormat="1" applyFont="1" applyFill="1" applyBorder="1" applyAlignment="1" applyProtection="1">
      <protection locked="0"/>
    </xf>
    <xf numFmtId="0" fontId="57" fillId="36" borderId="16" xfId="1860" applyFont="1" applyFill="1" applyBorder="1" applyAlignment="1">
      <alignment vertical="center" wrapText="1"/>
    </xf>
    <xf numFmtId="0" fontId="2" fillId="26" borderId="41" xfId="0" applyFont="1" applyFill="1" applyBorder="1" applyAlignment="1">
      <alignment horizontal="center" vertical="center"/>
    </xf>
    <xf numFmtId="0" fontId="2" fillId="26" borderId="0" xfId="0" applyFont="1" applyFill="1" applyBorder="1" applyAlignment="1">
      <alignment vertical="center"/>
    </xf>
    <xf numFmtId="0" fontId="4" fillId="26" borderId="52" xfId="0" applyFont="1" applyFill="1" applyBorder="1" applyAlignment="1">
      <alignment horizontal="center" vertical="center"/>
    </xf>
    <xf numFmtId="0" fontId="2" fillId="26" borderId="53" xfId="0" applyFont="1" applyFill="1" applyBorder="1" applyAlignment="1">
      <alignment vertical="center"/>
    </xf>
    <xf numFmtId="0" fontId="2" fillId="26" borderId="53" xfId="0" applyFont="1" applyFill="1" applyBorder="1" applyAlignment="1">
      <alignment vertical="center" wrapText="1"/>
    </xf>
    <xf numFmtId="0" fontId="0" fillId="34" borderId="53" xfId="0" applyFill="1" applyBorder="1" applyProtection="1"/>
    <xf numFmtId="172" fontId="6" fillId="35" borderId="42" xfId="0" applyNumberFormat="1" applyFont="1" applyFill="1" applyBorder="1" applyAlignment="1" applyProtection="1">
      <alignment horizontal="left"/>
    </xf>
    <xf numFmtId="0" fontId="2" fillId="26" borderId="0" xfId="0" applyFont="1" applyFill="1" applyProtection="1"/>
    <xf numFmtId="172" fontId="7" fillId="35" borderId="54" xfId="0" applyNumberFormat="1" applyFont="1" applyFill="1" applyBorder="1" applyAlignment="1" applyProtection="1">
      <alignment horizontal="left"/>
    </xf>
    <xf numFmtId="187" fontId="2" fillId="26" borderId="55" xfId="0" applyNumberFormat="1" applyFont="1" applyFill="1" applyBorder="1" applyAlignment="1" applyProtection="1">
      <alignment horizontal="right"/>
      <protection locked="0"/>
    </xf>
    <xf numFmtId="172" fontId="7" fillId="35" borderId="56" xfId="0" applyNumberFormat="1" applyFont="1" applyFill="1" applyBorder="1" applyAlignment="1" applyProtection="1">
      <alignment horizontal="left"/>
    </xf>
    <xf numFmtId="187" fontId="2" fillId="26" borderId="17" xfId="0" applyNumberFormat="1" applyFont="1" applyFill="1" applyBorder="1" applyAlignment="1" applyProtection="1">
      <alignment horizontal="right"/>
      <protection locked="0"/>
    </xf>
    <xf numFmtId="187" fontId="2" fillId="26" borderId="46" xfId="0" applyNumberFormat="1" applyFont="1" applyFill="1" applyBorder="1" applyAlignment="1" applyProtection="1">
      <alignment horizontal="right"/>
      <protection locked="0"/>
    </xf>
    <xf numFmtId="3" fontId="4" fillId="42" borderId="57" xfId="150" applyNumberFormat="1" applyFont="1" applyFill="1" applyBorder="1" applyAlignment="1" applyProtection="1"/>
    <xf numFmtId="3" fontId="4" fillId="42" borderId="57" xfId="0" applyNumberFormat="1" applyFont="1" applyFill="1" applyBorder="1" applyAlignment="1" applyProtection="1"/>
    <xf numFmtId="0" fontId="2" fillId="34" borderId="39" xfId="0" applyFont="1" applyFill="1" applyBorder="1" applyAlignment="1">
      <alignment horizontal="center"/>
    </xf>
    <xf numFmtId="0" fontId="2" fillId="39" borderId="36" xfId="0" applyFont="1" applyFill="1" applyBorder="1" applyAlignment="1">
      <alignment horizontal="center"/>
    </xf>
    <xf numFmtId="3" fontId="2" fillId="39" borderId="20" xfId="0" applyNumberFormat="1" applyFont="1" applyFill="1" applyBorder="1" applyAlignment="1" applyProtection="1">
      <alignment horizontal="right"/>
    </xf>
    <xf numFmtId="3" fontId="4" fillId="39" borderId="58" xfId="150" applyNumberFormat="1" applyFont="1" applyFill="1" applyBorder="1" applyAlignment="1" applyProtection="1"/>
    <xf numFmtId="3" fontId="3" fillId="39" borderId="59" xfId="0" applyNumberFormat="1" applyFont="1" applyFill="1" applyBorder="1" applyAlignment="1" applyProtection="1">
      <alignment horizontal="right"/>
    </xf>
    <xf numFmtId="187" fontId="3" fillId="39" borderId="59" xfId="0" applyNumberFormat="1" applyFont="1" applyFill="1" applyBorder="1" applyAlignment="1" applyProtection="1">
      <alignment horizontal="right"/>
    </xf>
    <xf numFmtId="187" fontId="3" fillId="39" borderId="46" xfId="0" applyNumberFormat="1" applyFont="1" applyFill="1" applyBorder="1" applyAlignment="1" applyProtection="1">
      <alignment horizontal="right"/>
    </xf>
    <xf numFmtId="3" fontId="4" fillId="0" borderId="58" xfId="150" applyNumberFormat="1" applyFont="1" applyFill="1" applyBorder="1" applyAlignment="1" applyProtection="1">
      <protection locked="0"/>
    </xf>
    <xf numFmtId="3" fontId="4" fillId="0" borderId="60" xfId="150" applyNumberFormat="1" applyFont="1" applyFill="1" applyBorder="1" applyAlignment="1" applyProtection="1">
      <protection locked="0"/>
    </xf>
    <xf numFmtId="3" fontId="3" fillId="39" borderId="18" xfId="150" applyNumberFormat="1" applyFont="1" applyFill="1" applyBorder="1" applyAlignment="1" applyProtection="1"/>
    <xf numFmtId="3" fontId="84" fillId="39" borderId="18" xfId="150" applyNumberFormat="1" applyFont="1" applyFill="1" applyBorder="1" applyAlignment="1" applyProtection="1"/>
    <xf numFmtId="3" fontId="4" fillId="39" borderId="17" xfId="150" applyNumberFormat="1" applyFont="1" applyFill="1" applyBorder="1" applyAlignment="1" applyProtection="1"/>
    <xf numFmtId="3" fontId="85" fillId="35" borderId="17" xfId="150" applyNumberFormat="1" applyFont="1" applyFill="1" applyBorder="1" applyAlignment="1" applyProtection="1"/>
    <xf numFmtId="3" fontId="4" fillId="0" borderId="17" xfId="150" applyNumberFormat="1" applyFont="1" applyFill="1" applyBorder="1" applyAlignment="1" applyProtection="1">
      <protection locked="0"/>
    </xf>
    <xf numFmtId="3" fontId="4" fillId="0" borderId="17" xfId="0" applyNumberFormat="1" applyFont="1" applyFill="1" applyBorder="1" applyAlignment="1" applyProtection="1">
      <protection locked="0"/>
    </xf>
    <xf numFmtId="3" fontId="4" fillId="0" borderId="18" xfId="150" applyNumberFormat="1" applyFont="1" applyFill="1" applyBorder="1" applyAlignment="1" applyProtection="1">
      <protection locked="0"/>
    </xf>
    <xf numFmtId="3" fontId="4" fillId="0" borderId="20" xfId="150" applyNumberFormat="1" applyFont="1" applyFill="1" applyBorder="1" applyAlignment="1" applyProtection="1">
      <protection locked="0"/>
    </xf>
    <xf numFmtId="3" fontId="2" fillId="39" borderId="17" xfId="150" applyNumberFormat="1" applyFont="1" applyFill="1" applyBorder="1" applyAlignment="1" applyProtection="1"/>
    <xf numFmtId="3" fontId="2" fillId="0" borderId="17" xfId="150" applyNumberFormat="1" applyFont="1" applyFill="1" applyBorder="1" applyAlignment="1" applyProtection="1">
      <protection locked="0"/>
    </xf>
    <xf numFmtId="3" fontId="84" fillId="35" borderId="18" xfId="150" applyNumberFormat="1" applyFont="1" applyFill="1" applyBorder="1" applyAlignment="1" applyProtection="1"/>
    <xf numFmtId="3" fontId="3" fillId="0" borderId="18" xfId="150" applyNumberFormat="1" applyFont="1" applyFill="1" applyBorder="1" applyAlignment="1" applyProtection="1">
      <protection locked="0"/>
    </xf>
    <xf numFmtId="3" fontId="3" fillId="0" borderId="18" xfId="0" applyNumberFormat="1" applyFont="1" applyFill="1" applyBorder="1" applyAlignment="1" applyProtection="1">
      <protection locked="0"/>
    </xf>
    <xf numFmtId="3" fontId="4" fillId="42" borderId="28" xfId="150" applyNumberFormat="1" applyFont="1" applyFill="1" applyBorder="1" applyAlignment="1" applyProtection="1"/>
    <xf numFmtId="185" fontId="4" fillId="0" borderId="10" xfId="150" applyNumberFormat="1" applyFont="1" applyFill="1" applyBorder="1" applyAlignment="1" applyProtection="1">
      <protection locked="0"/>
    </xf>
    <xf numFmtId="185" fontId="4" fillId="0" borderId="61" xfId="150" applyNumberFormat="1" applyFont="1" applyFill="1" applyBorder="1" applyAlignment="1" applyProtection="1">
      <protection locked="0"/>
    </xf>
    <xf numFmtId="10" fontId="3" fillId="39" borderId="18" xfId="150" applyNumberFormat="1" applyFont="1" applyFill="1" applyBorder="1" applyAlignment="1" applyProtection="1"/>
    <xf numFmtId="3" fontId="4" fillId="39" borderId="18" xfId="150" applyNumberFormat="1" applyFont="1" applyFill="1" applyBorder="1" applyAlignment="1" applyProtection="1"/>
    <xf numFmtId="0" fontId="2" fillId="0" borderId="0" xfId="0" applyFont="1" applyFill="1" applyProtection="1"/>
    <xf numFmtId="3" fontId="2" fillId="39" borderId="18" xfId="150" applyNumberFormat="1" applyFont="1" applyFill="1" applyBorder="1" applyAlignment="1" applyProtection="1"/>
    <xf numFmtId="3" fontId="85" fillId="35" borderId="18" xfId="150" applyNumberFormat="1" applyFont="1" applyFill="1" applyBorder="1" applyAlignment="1" applyProtection="1"/>
    <xf numFmtId="3" fontId="2" fillId="0" borderId="18" xfId="150" applyNumberFormat="1" applyFont="1" applyFill="1" applyBorder="1" applyAlignment="1" applyProtection="1">
      <protection locked="0"/>
    </xf>
    <xf numFmtId="186" fontId="3" fillId="39" borderId="18" xfId="150" applyNumberFormat="1" applyFont="1" applyFill="1" applyBorder="1" applyAlignment="1" applyProtection="1"/>
    <xf numFmtId="173" fontId="84" fillId="39" borderId="18" xfId="0" applyNumberFormat="1" applyFont="1" applyFill="1" applyBorder="1" applyAlignment="1" applyProtection="1"/>
    <xf numFmtId="186" fontId="3" fillId="39" borderId="18" xfId="0" applyNumberFormat="1" applyFont="1" applyFill="1" applyBorder="1" applyAlignment="1" applyProtection="1"/>
    <xf numFmtId="3" fontId="4" fillId="42" borderId="10" xfId="150" applyNumberFormat="1" applyFont="1" applyFill="1" applyBorder="1" applyAlignment="1" applyProtection="1"/>
    <xf numFmtId="3" fontId="4" fillId="0" borderId="28" xfId="150" applyNumberFormat="1" applyFont="1" applyFill="1" applyBorder="1" applyAlignment="1" applyProtection="1">
      <protection locked="0"/>
    </xf>
    <xf numFmtId="3" fontId="4" fillId="0" borderId="10" xfId="150" applyNumberFormat="1" applyFont="1" applyFill="1" applyBorder="1" applyAlignment="1" applyProtection="1">
      <protection locked="0"/>
    </xf>
    <xf numFmtId="3" fontId="3" fillId="39" borderId="61" xfId="150" applyNumberFormat="1" applyFont="1" applyFill="1" applyBorder="1" applyAlignment="1" applyProtection="1"/>
    <xf numFmtId="0" fontId="3" fillId="34" borderId="40" xfId="0" applyFont="1" applyFill="1" applyBorder="1" applyAlignment="1" applyProtection="1">
      <alignment horizontal="center"/>
    </xf>
    <xf numFmtId="0" fontId="17" fillId="35" borderId="62" xfId="0" applyFont="1" applyFill="1" applyBorder="1" applyAlignment="1" applyProtection="1">
      <alignment horizontal="center"/>
    </xf>
    <xf numFmtId="0" fontId="17" fillId="35" borderId="20" xfId="0" applyFont="1" applyFill="1" applyBorder="1" applyAlignment="1" applyProtection="1">
      <alignment horizontal="center"/>
    </xf>
    <xf numFmtId="0" fontId="17" fillId="35" borderId="43" xfId="0" applyFont="1" applyFill="1" applyBorder="1" applyAlignment="1" applyProtection="1">
      <alignment horizontal="center"/>
    </xf>
    <xf numFmtId="187" fontId="2" fillId="39" borderId="20" xfId="0" applyNumberFormat="1" applyFont="1" applyFill="1" applyBorder="1" applyAlignment="1" applyProtection="1">
      <alignment horizontal="right"/>
    </xf>
    <xf numFmtId="185" fontId="17" fillId="35" borderId="63" xfId="0" applyNumberFormat="1" applyFont="1" applyFill="1" applyBorder="1" applyAlignment="1" applyProtection="1">
      <alignment horizontal="center"/>
    </xf>
    <xf numFmtId="185" fontId="17" fillId="35" borderId="64" xfId="0" applyNumberFormat="1" applyFont="1" applyFill="1" applyBorder="1" applyAlignment="1" applyProtection="1">
      <alignment horizontal="center"/>
    </xf>
    <xf numFmtId="185" fontId="17" fillId="35" borderId="65" xfId="0" applyNumberFormat="1" applyFont="1" applyFill="1" applyBorder="1" applyAlignment="1" applyProtection="1">
      <alignment horizontal="center"/>
    </xf>
    <xf numFmtId="3" fontId="2" fillId="26" borderId="33" xfId="0" applyNumberFormat="1" applyFont="1" applyFill="1" applyBorder="1" applyAlignment="1" applyProtection="1">
      <alignment horizontal="right"/>
      <protection locked="0"/>
    </xf>
    <xf numFmtId="3" fontId="85" fillId="46" borderId="17" xfId="150" applyNumberFormat="1" applyFont="1" applyFill="1" applyBorder="1" applyAlignment="1" applyProtection="1">
      <alignment horizontal="center"/>
    </xf>
    <xf numFmtId="3" fontId="85" fillId="46" borderId="18" xfId="150" applyNumberFormat="1" applyFont="1" applyFill="1" applyBorder="1" applyAlignment="1" applyProtection="1">
      <alignment horizontal="center"/>
    </xf>
    <xf numFmtId="3" fontId="85" fillId="46" borderId="16" xfId="150" applyNumberFormat="1" applyFont="1" applyFill="1" applyBorder="1" applyAlignment="1" applyProtection="1">
      <alignment horizontal="center"/>
    </xf>
    <xf numFmtId="3" fontId="85" fillId="46" borderId="57" xfId="150" applyNumberFormat="1" applyFont="1" applyFill="1" applyBorder="1" applyAlignment="1" applyProtection="1">
      <alignment horizontal="center"/>
    </xf>
    <xf numFmtId="172" fontId="13" fillId="34" borderId="66" xfId="0" applyNumberFormat="1" applyFont="1" applyFill="1" applyBorder="1" applyAlignment="1" applyProtection="1">
      <alignment vertical="center"/>
    </xf>
    <xf numFmtId="169" fontId="2" fillId="26" borderId="0" xfId="0" applyNumberFormat="1" applyFont="1" applyFill="1" applyBorder="1" applyAlignment="1" applyProtection="1">
      <alignment horizontal="right"/>
      <protection locked="0"/>
    </xf>
    <xf numFmtId="10" fontId="3" fillId="35" borderId="47" xfId="1905" applyNumberFormat="1" applyFont="1" applyFill="1" applyBorder="1" applyAlignment="1" applyProtection="1">
      <alignment horizontal="center"/>
    </xf>
    <xf numFmtId="10" fontId="3" fillId="35" borderId="67" xfId="1905" applyNumberFormat="1" applyFont="1" applyFill="1" applyBorder="1" applyAlignment="1" applyProtection="1">
      <alignment horizontal="center"/>
    </xf>
    <xf numFmtId="3" fontId="3" fillId="39" borderId="20" xfId="150" applyNumberFormat="1" applyFont="1" applyFill="1" applyBorder="1" applyAlignment="1" applyProtection="1"/>
    <xf numFmtId="3" fontId="84" fillId="39" borderId="20" xfId="150" applyNumberFormat="1" applyFont="1" applyFill="1" applyBorder="1" applyAlignment="1" applyProtection="1"/>
    <xf numFmtId="0" fontId="3" fillId="0" borderId="0" xfId="0" applyFont="1" applyFill="1"/>
    <xf numFmtId="0" fontId="2" fillId="0" borderId="0" xfId="0" applyFont="1" applyFill="1"/>
    <xf numFmtId="0" fontId="2" fillId="26" borderId="40" xfId="0" applyFont="1" applyFill="1" applyBorder="1" applyAlignment="1">
      <alignment vertical="center" wrapText="1"/>
    </xf>
    <xf numFmtId="0" fontId="2" fillId="26" borderId="40" xfId="0" applyFont="1" applyFill="1" applyBorder="1" applyAlignment="1">
      <alignment vertical="center"/>
    </xf>
    <xf numFmtId="49" fontId="5" fillId="0" borderId="24" xfId="0" applyNumberFormat="1" applyFont="1" applyFill="1" applyBorder="1" applyProtection="1">
      <protection locked="0"/>
    </xf>
    <xf numFmtId="49" fontId="5" fillId="0" borderId="27" xfId="0" applyNumberFormat="1" applyFont="1" applyFill="1" applyBorder="1" applyProtection="1">
      <protection locked="0"/>
    </xf>
    <xf numFmtId="49" fontId="5" fillId="0" borderId="33" xfId="0" applyNumberFormat="1" applyFont="1" applyFill="1" applyBorder="1" applyProtection="1">
      <protection locked="0"/>
    </xf>
    <xf numFmtId="49" fontId="5" fillId="0" borderId="25" xfId="0" applyNumberFormat="1" applyFont="1" applyFill="1" applyBorder="1" applyProtection="1">
      <protection locked="0"/>
    </xf>
    <xf numFmtId="49" fontId="5" fillId="0" borderId="68" xfId="0" applyNumberFormat="1" applyFont="1" applyFill="1" applyBorder="1" applyProtection="1">
      <protection locked="0"/>
    </xf>
    <xf numFmtId="49" fontId="5" fillId="0" borderId="51" xfId="0" applyNumberFormat="1" applyFont="1" applyFill="1" applyBorder="1" applyProtection="1">
      <protection locked="0"/>
    </xf>
    <xf numFmtId="49" fontId="7" fillId="0" borderId="24" xfId="0" applyNumberFormat="1" applyFont="1" applyFill="1" applyBorder="1" applyProtection="1">
      <protection locked="0"/>
    </xf>
    <xf numFmtId="49" fontId="7" fillId="0" borderId="27" xfId="0" applyNumberFormat="1" applyFont="1" applyFill="1" applyBorder="1" applyProtection="1">
      <protection locked="0"/>
    </xf>
    <xf numFmtId="49" fontId="7" fillId="0" borderId="33" xfId="0" applyNumberFormat="1" applyFont="1" applyFill="1" applyBorder="1" applyProtection="1">
      <protection locked="0"/>
    </xf>
    <xf numFmtId="172" fontId="90" fillId="35" borderId="16" xfId="0" applyNumberFormat="1" applyFont="1" applyFill="1" applyBorder="1" applyAlignment="1" applyProtection="1"/>
    <xf numFmtId="49" fontId="2" fillId="41" borderId="66" xfId="0" applyNumberFormat="1" applyFont="1" applyFill="1" applyBorder="1" applyAlignment="1" applyProtection="1">
      <alignment horizontal="left"/>
      <protection locked="0"/>
    </xf>
    <xf numFmtId="3" fontId="81" fillId="41" borderId="20" xfId="150" applyNumberFormat="1" applyFont="1" applyFill="1" applyBorder="1" applyAlignment="1" applyProtection="1">
      <alignment horizontal="center"/>
      <protection locked="0"/>
    </xf>
    <xf numFmtId="172" fontId="6" fillId="34" borderId="54" xfId="0" applyNumberFormat="1" applyFont="1" applyFill="1" applyBorder="1" applyAlignment="1" applyProtection="1">
      <alignment horizontal="center" vertical="center"/>
    </xf>
    <xf numFmtId="172" fontId="6" fillId="34" borderId="69" xfId="0" applyNumberFormat="1" applyFont="1" applyFill="1" applyBorder="1" applyAlignment="1" applyProtection="1">
      <alignment horizontal="left"/>
    </xf>
    <xf numFmtId="186" fontId="4" fillId="39" borderId="18" xfId="150" applyNumberFormat="1" applyFont="1" applyFill="1" applyBorder="1" applyAlignment="1" applyProtection="1"/>
    <xf numFmtId="173" fontId="85" fillId="35" borderId="18" xfId="150" applyNumberFormat="1" applyFont="1" applyFill="1" applyBorder="1" applyAlignment="1" applyProtection="1"/>
    <xf numFmtId="186" fontId="4" fillId="0" borderId="18" xfId="150" applyNumberFormat="1" applyFont="1" applyFill="1" applyBorder="1" applyAlignment="1" applyProtection="1">
      <protection locked="0"/>
    </xf>
    <xf numFmtId="0" fontId="4" fillId="0" borderId="19" xfId="0" applyFont="1" applyFill="1" applyBorder="1" applyProtection="1"/>
    <xf numFmtId="186" fontId="4" fillId="39" borderId="20" xfId="150" applyNumberFormat="1" applyFont="1" applyFill="1" applyBorder="1" applyAlignment="1" applyProtection="1"/>
    <xf numFmtId="173" fontId="85" fillId="39" borderId="26" xfId="150" applyNumberFormat="1" applyFont="1" applyFill="1" applyBorder="1" applyAlignment="1" applyProtection="1"/>
    <xf numFmtId="173" fontId="85" fillId="39" borderId="19" xfId="150" applyNumberFormat="1" applyFont="1" applyFill="1" applyBorder="1" applyAlignment="1" applyProtection="1"/>
    <xf numFmtId="3" fontId="4" fillId="42" borderId="70" xfId="150" applyNumberFormat="1" applyFont="1" applyFill="1" applyBorder="1" applyAlignment="1" applyProtection="1"/>
    <xf numFmtId="3" fontId="4" fillId="42" borderId="58" xfId="150" applyNumberFormat="1" applyFont="1" applyFill="1" applyBorder="1" applyAlignment="1" applyProtection="1"/>
    <xf numFmtId="186" fontId="2" fillId="39" borderId="71" xfId="150" applyNumberFormat="1" applyFont="1" applyFill="1" applyBorder="1" applyAlignment="1" applyProtection="1"/>
    <xf numFmtId="3" fontId="3" fillId="39" borderId="17" xfId="150" applyNumberFormat="1" applyFont="1" applyFill="1" applyBorder="1" applyAlignment="1" applyProtection="1"/>
    <xf numFmtId="3" fontId="84" fillId="39" borderId="17" xfId="150" applyNumberFormat="1" applyFont="1" applyFill="1" applyBorder="1" applyAlignment="1" applyProtection="1"/>
    <xf numFmtId="10" fontId="3" fillId="39" borderId="16" xfId="1905" applyNumberFormat="1" applyFont="1" applyFill="1" applyBorder="1" applyAlignment="1" applyProtection="1"/>
    <xf numFmtId="10" fontId="84" fillId="39" borderId="16" xfId="1905" applyNumberFormat="1" applyFont="1" applyFill="1" applyBorder="1" applyAlignment="1" applyProtection="1"/>
    <xf numFmtId="10" fontId="3" fillId="39" borderId="18" xfId="1905" applyNumberFormat="1" applyFont="1" applyFill="1" applyBorder="1" applyAlignment="1" applyProtection="1"/>
    <xf numFmtId="10" fontId="84" fillId="39" borderId="18" xfId="1905" applyNumberFormat="1" applyFont="1" applyFill="1" applyBorder="1" applyAlignment="1" applyProtection="1"/>
    <xf numFmtId="3" fontId="3" fillId="39" borderId="17" xfId="0" applyNumberFormat="1" applyFont="1" applyFill="1" applyBorder="1" applyAlignment="1" applyProtection="1"/>
    <xf numFmtId="186" fontId="4" fillId="39" borderId="17" xfId="150" applyNumberFormat="1" applyFont="1" applyFill="1" applyBorder="1" applyAlignment="1" applyProtection="1"/>
    <xf numFmtId="186" fontId="2" fillId="39" borderId="17" xfId="150" applyNumberFormat="1" applyFont="1" applyFill="1" applyBorder="1" applyAlignment="1" applyProtection="1"/>
    <xf numFmtId="186" fontId="2" fillId="39" borderId="70" xfId="150" applyNumberFormat="1" applyFont="1" applyFill="1" applyBorder="1" applyAlignment="1" applyProtection="1"/>
    <xf numFmtId="3" fontId="3" fillId="39" borderId="20" xfId="150" applyNumberFormat="1" applyFont="1" applyFill="1" applyBorder="1" applyAlignment="1" applyProtection="1">
      <alignment horizontal="center"/>
    </xf>
    <xf numFmtId="0" fontId="12" fillId="0" borderId="0" xfId="0" applyFont="1" applyFill="1" applyAlignment="1" applyProtection="1">
      <alignment vertical="center" wrapText="1"/>
    </xf>
    <xf numFmtId="0" fontId="2" fillId="38" borderId="16" xfId="1860" applyFont="1" applyFill="1" applyBorder="1" applyAlignment="1">
      <alignment horizontal="left" vertical="center" wrapText="1" indent="1"/>
    </xf>
    <xf numFmtId="186" fontId="3" fillId="39" borderId="20" xfId="150" applyNumberFormat="1" applyFont="1" applyFill="1" applyBorder="1" applyAlignment="1" applyProtection="1"/>
    <xf numFmtId="186" fontId="84" fillId="39" borderId="20" xfId="150" applyNumberFormat="1" applyFont="1" applyFill="1" applyBorder="1" applyAlignment="1" applyProtection="1"/>
    <xf numFmtId="0" fontId="2" fillId="26" borderId="16" xfId="1117" applyFont="1" applyFill="1" applyBorder="1" applyAlignment="1">
      <alignment horizontal="left" vertical="top" wrapText="1" indent="3"/>
    </xf>
    <xf numFmtId="49" fontId="3" fillId="34" borderId="17" xfId="0" applyNumberFormat="1" applyFont="1" applyFill="1" applyBorder="1" applyAlignment="1" applyProtection="1">
      <alignment horizontal="center" vertical="top"/>
    </xf>
    <xf numFmtId="49" fontId="91" fillId="47" borderId="20" xfId="1117" applyNumberFormat="1" applyFont="1" applyFill="1" applyBorder="1" applyAlignment="1">
      <alignment wrapText="1"/>
    </xf>
    <xf numFmtId="190" fontId="92" fillId="48" borderId="20" xfId="1117" applyNumberFormat="1" applyFont="1" applyFill="1" applyBorder="1"/>
    <xf numFmtId="0" fontId="93" fillId="47" borderId="20" xfId="0" applyFont="1" applyFill="1" applyBorder="1"/>
    <xf numFmtId="49" fontId="92" fillId="48" borderId="20" xfId="1117" applyNumberFormat="1" applyFont="1" applyFill="1" applyBorder="1"/>
    <xf numFmtId="191" fontId="94" fillId="49" borderId="20" xfId="1117" applyNumberFormat="1" applyFont="1" applyFill="1" applyBorder="1"/>
    <xf numFmtId="188" fontId="94" fillId="49" borderId="20" xfId="150" applyNumberFormat="1" applyFont="1" applyFill="1" applyBorder="1"/>
    <xf numFmtId="168" fontId="94" fillId="49" borderId="20" xfId="150" applyFont="1" applyFill="1" applyBorder="1"/>
    <xf numFmtId="193" fontId="94" fillId="49" borderId="20" xfId="150" applyNumberFormat="1" applyFont="1" applyFill="1" applyBorder="1"/>
    <xf numFmtId="190" fontId="92" fillId="48" borderId="20" xfId="1117" applyNumberFormat="1" applyFont="1" applyFill="1" applyBorder="1" applyAlignment="1">
      <alignment wrapText="1"/>
    </xf>
    <xf numFmtId="0" fontId="0" fillId="0" borderId="26" xfId="0" applyBorder="1"/>
    <xf numFmtId="0" fontId="3" fillId="39" borderId="21" xfId="0" applyFont="1" applyFill="1" applyBorder="1" applyAlignment="1">
      <alignment horizontal="center"/>
    </xf>
    <xf numFmtId="2" fontId="35" fillId="39" borderId="51" xfId="0" applyNumberFormat="1" applyFont="1" applyFill="1" applyBorder="1" applyAlignment="1">
      <alignment horizontal="right" vertical="top" wrapText="1"/>
    </xf>
    <xf numFmtId="0" fontId="3" fillId="39" borderId="48" xfId="0" applyFont="1" applyFill="1" applyBorder="1" applyAlignment="1">
      <alignment horizontal="center"/>
    </xf>
    <xf numFmtId="189" fontId="1" fillId="0" borderId="54" xfId="0" applyNumberFormat="1" applyFont="1" applyFill="1" applyBorder="1" applyAlignment="1">
      <alignment horizontal="right" vertical="top" wrapText="1"/>
    </xf>
    <xf numFmtId="0" fontId="5" fillId="0" borderId="0" xfId="0" applyFont="1"/>
    <xf numFmtId="0" fontId="92" fillId="48" borderId="0" xfId="1117" applyNumberFormat="1" applyFont="1" applyFill="1" applyBorder="1" applyAlignment="1">
      <alignment horizontal="center"/>
    </xf>
    <xf numFmtId="0" fontId="92" fillId="48" borderId="10" xfId="1117" applyNumberFormat="1" applyFont="1" applyFill="1" applyBorder="1" applyAlignment="1">
      <alignment horizontal="center"/>
    </xf>
    <xf numFmtId="190" fontId="3" fillId="50" borderId="17" xfId="1117" applyNumberFormat="1" applyFont="1" applyFill="1" applyBorder="1" applyAlignment="1">
      <alignment horizontal="center" wrapText="1"/>
    </xf>
    <xf numFmtId="190" fontId="3" fillId="51" borderId="17" xfId="1117" applyNumberFormat="1" applyFont="1" applyFill="1" applyBorder="1" applyAlignment="1">
      <alignment horizontal="center" wrapText="1"/>
    </xf>
    <xf numFmtId="190" fontId="3" fillId="50" borderId="18" xfId="1117" applyNumberFormat="1" applyFont="1" applyFill="1" applyBorder="1" applyAlignment="1">
      <alignment horizontal="center" wrapText="1"/>
    </xf>
    <xf numFmtId="0" fontId="3" fillId="51" borderId="18" xfId="1117" applyNumberFormat="1" applyFont="1" applyFill="1" applyBorder="1" applyAlignment="1">
      <alignment horizontal="center" wrapText="1"/>
    </xf>
    <xf numFmtId="194" fontId="95" fillId="52" borderId="20" xfId="1117" applyNumberFormat="1" applyFont="1" applyFill="1" applyBorder="1"/>
    <xf numFmtId="188" fontId="95" fillId="52" borderId="20" xfId="150" applyNumberFormat="1" applyFont="1" applyFill="1" applyBorder="1"/>
    <xf numFmtId="168" fontId="95" fillId="52" borderId="20" xfId="150" applyFont="1" applyFill="1" applyBorder="1"/>
    <xf numFmtId="0" fontId="92" fillId="53" borderId="0" xfId="1117" applyNumberFormat="1" applyFont="1" applyFill="1" applyBorder="1" applyAlignment="1">
      <alignment horizontal="center"/>
    </xf>
    <xf numFmtId="0" fontId="92" fillId="48" borderId="61" xfId="1117" applyNumberFormat="1" applyFont="1" applyFill="1" applyBorder="1" applyAlignment="1">
      <alignment horizontal="center"/>
    </xf>
    <xf numFmtId="0" fontId="2" fillId="26" borderId="16" xfId="1117" quotePrefix="1" applyFont="1" applyFill="1" applyBorder="1" applyAlignment="1">
      <alignment horizontal="left" vertical="top" wrapText="1" indent="3"/>
    </xf>
    <xf numFmtId="49" fontId="70" fillId="50" borderId="20" xfId="1117" applyNumberFormat="1" applyFont="1" applyFill="1" applyBorder="1"/>
    <xf numFmtId="49" fontId="70" fillId="54" borderId="20" xfId="1117" applyNumberFormat="1" applyFont="1" applyFill="1" applyBorder="1"/>
    <xf numFmtId="0" fontId="0" fillId="42" borderId="0" xfId="0" applyFill="1" applyProtection="1"/>
    <xf numFmtId="189" fontId="35" fillId="39" borderId="45" xfId="0" applyNumberFormat="1" applyFont="1" applyFill="1" applyBorder="1" applyAlignment="1" applyProtection="1">
      <alignment horizontal="right" vertical="top" wrapText="1"/>
    </xf>
    <xf numFmtId="2" fontId="35" fillId="45" borderId="51" xfId="0" applyNumberFormat="1" applyFont="1" applyFill="1" applyBorder="1" applyAlignment="1" applyProtection="1">
      <alignment horizontal="right" vertical="top" wrapText="1"/>
    </xf>
    <xf numFmtId="0" fontId="96" fillId="36" borderId="16" xfId="1860" applyFont="1" applyFill="1" applyBorder="1" applyAlignment="1">
      <alignment vertical="center" wrapText="1"/>
    </xf>
    <xf numFmtId="194" fontId="95" fillId="55" borderId="20" xfId="1117" applyNumberFormat="1" applyFont="1" applyFill="1" applyBorder="1" applyAlignment="1" applyProtection="1">
      <alignment horizontal="right"/>
    </xf>
    <xf numFmtId="188" fontId="95" fillId="55" borderId="20" xfId="150" applyNumberFormat="1" applyFont="1" applyFill="1" applyBorder="1" applyAlignment="1" applyProtection="1">
      <alignment horizontal="right"/>
    </xf>
    <xf numFmtId="9" fontId="95" fillId="56" borderId="20" xfId="1905" applyFont="1" applyFill="1" applyBorder="1" applyAlignment="1" applyProtection="1">
      <alignment horizontal="right"/>
    </xf>
    <xf numFmtId="195" fontId="94" fillId="49" borderId="20" xfId="150" applyNumberFormat="1" applyFont="1" applyFill="1" applyBorder="1"/>
    <xf numFmtId="195" fontId="95" fillId="52" borderId="20" xfId="150" applyNumberFormat="1" applyFont="1" applyFill="1" applyBorder="1"/>
    <xf numFmtId="195" fontId="95" fillId="55" borderId="20" xfId="150" applyNumberFormat="1" applyFont="1" applyFill="1" applyBorder="1" applyAlignment="1" applyProtection="1">
      <alignment horizontal="right"/>
    </xf>
    <xf numFmtId="197" fontId="95" fillId="52" borderId="20" xfId="1117" applyNumberFormat="1" applyFont="1" applyFill="1" applyBorder="1"/>
    <xf numFmtId="197" fontId="95" fillId="55" borderId="20" xfId="1117" applyNumberFormat="1" applyFont="1" applyFill="1" applyBorder="1" applyAlignment="1" applyProtection="1">
      <alignment horizontal="right"/>
    </xf>
    <xf numFmtId="196" fontId="95" fillId="52" borderId="20" xfId="150" applyNumberFormat="1" applyFont="1" applyFill="1" applyBorder="1"/>
    <xf numFmtId="196" fontId="95" fillId="55" borderId="20" xfId="150" applyNumberFormat="1" applyFont="1" applyFill="1" applyBorder="1" applyAlignment="1" applyProtection="1">
      <alignment horizontal="right"/>
    </xf>
    <xf numFmtId="0" fontId="97" fillId="36" borderId="29" xfId="1117" applyFont="1" applyFill="1" applyBorder="1" applyAlignment="1" applyProtection="1">
      <alignment vertical="center" wrapText="1"/>
    </xf>
    <xf numFmtId="10" fontId="64" fillId="0" borderId="33" xfId="1905" applyNumberFormat="1" applyFont="1" applyFill="1" applyBorder="1" applyAlignment="1">
      <alignment vertical="top" wrapText="1"/>
    </xf>
    <xf numFmtId="10" fontId="64" fillId="0" borderId="24" xfId="1905" applyNumberFormat="1" applyFont="1" applyFill="1" applyBorder="1" applyAlignment="1">
      <alignment horizontal="center" vertical="top" wrapText="1"/>
    </xf>
    <xf numFmtId="185" fontId="64" fillId="0" borderId="33" xfId="1905" applyNumberFormat="1" applyFont="1" applyFill="1" applyBorder="1" applyAlignment="1">
      <alignment vertical="top" wrapText="1"/>
    </xf>
    <xf numFmtId="185" fontId="64" fillId="0" borderId="24" xfId="1905" applyNumberFormat="1" applyFont="1" applyFill="1" applyBorder="1" applyAlignment="1">
      <alignment horizontal="center" vertical="top" wrapText="1"/>
    </xf>
    <xf numFmtId="2" fontId="64" fillId="0" borderId="51" xfId="0" applyNumberFormat="1" applyFont="1" applyFill="1" applyBorder="1"/>
    <xf numFmtId="2" fontId="64" fillId="0" borderId="25" xfId="0" applyNumberFormat="1" applyFont="1" applyFill="1" applyBorder="1" applyAlignment="1">
      <alignment horizontal="center"/>
    </xf>
    <xf numFmtId="0" fontId="35" fillId="0" borderId="31" xfId="0" applyFont="1" applyFill="1" applyBorder="1"/>
    <xf numFmtId="0" fontId="35" fillId="43" borderId="31" xfId="0" applyFont="1" applyFill="1" applyBorder="1"/>
    <xf numFmtId="189" fontId="1" fillId="43" borderId="42" xfId="0" applyNumberFormat="1" applyFont="1" applyFill="1" applyBorder="1" applyAlignment="1">
      <alignment horizontal="right" vertical="top" wrapText="1"/>
    </xf>
    <xf numFmtId="2" fontId="1" fillId="43" borderId="33" xfId="0" applyNumberFormat="1" applyFont="1" applyFill="1" applyBorder="1" applyAlignment="1">
      <alignment horizontal="right" vertical="top" wrapText="1"/>
    </xf>
    <xf numFmtId="0" fontId="35" fillId="43" borderId="38" xfId="0" applyFont="1" applyFill="1" applyBorder="1"/>
    <xf numFmtId="187" fontId="35" fillId="0" borderId="72" xfId="0" applyNumberFormat="1" applyFont="1" applyFill="1" applyBorder="1" applyAlignment="1">
      <alignment vertical="top" wrapText="1"/>
    </xf>
    <xf numFmtId="2" fontId="35" fillId="43" borderId="31" xfId="0" applyNumberFormat="1" applyFont="1" applyFill="1" applyBorder="1"/>
    <xf numFmtId="2" fontId="35" fillId="0" borderId="31" xfId="0" applyNumberFormat="1" applyFont="1" applyFill="1" applyBorder="1" applyAlignment="1">
      <alignment vertical="top" wrapText="1"/>
    </xf>
    <xf numFmtId="185" fontId="35" fillId="43" borderId="31" xfId="1905" applyNumberFormat="1" applyFont="1" applyFill="1" applyBorder="1" applyAlignment="1">
      <alignment vertical="top" wrapText="1"/>
    </xf>
    <xf numFmtId="2" fontId="35" fillId="0" borderId="31" xfId="0" applyNumberFormat="1" applyFont="1" applyBorder="1"/>
    <xf numFmtId="10" fontId="35" fillId="0" borderId="31" xfId="1905" applyNumberFormat="1" applyFont="1" applyFill="1" applyBorder="1" applyAlignment="1">
      <alignment vertical="top" wrapText="1"/>
    </xf>
    <xf numFmtId="185" fontId="35" fillId="0" borderId="31" xfId="1905" applyNumberFormat="1" applyFont="1" applyFill="1" applyBorder="1" applyAlignment="1">
      <alignment vertical="top" wrapText="1"/>
    </xf>
    <xf numFmtId="2" fontId="35" fillId="0" borderId="32" xfId="0" applyNumberFormat="1" applyFont="1" applyFill="1" applyBorder="1"/>
    <xf numFmtId="191" fontId="105" fillId="49" borderId="20" xfId="1135" applyNumberFormat="1" applyFont="1" applyFill="1" applyBorder="1"/>
    <xf numFmtId="188" fontId="105" fillId="49" borderId="20" xfId="429" applyNumberFormat="1" applyFont="1" applyFill="1" applyBorder="1"/>
    <xf numFmtId="188" fontId="105" fillId="49" borderId="20" xfId="430" applyNumberFormat="1" applyFont="1" applyFill="1" applyBorder="1"/>
    <xf numFmtId="188" fontId="105" fillId="49" borderId="20" xfId="431" applyNumberFormat="1" applyFont="1" applyFill="1" applyBorder="1"/>
    <xf numFmtId="188" fontId="105" fillId="49" borderId="20" xfId="432" applyNumberFormat="1" applyFont="1" applyFill="1" applyBorder="1"/>
    <xf numFmtId="188" fontId="105" fillId="49" borderId="20" xfId="433" applyNumberFormat="1" applyFont="1" applyFill="1" applyBorder="1"/>
    <xf numFmtId="188" fontId="105" fillId="49" borderId="20" xfId="434" applyNumberFormat="1" applyFont="1" applyFill="1" applyBorder="1"/>
    <xf numFmtId="192" fontId="105" fillId="49" borderId="20" xfId="435" applyFont="1" applyFill="1" applyBorder="1"/>
    <xf numFmtId="193" fontId="105" fillId="49" borderId="20" xfId="435" applyNumberFormat="1" applyFont="1" applyFill="1" applyBorder="1"/>
    <xf numFmtId="188" fontId="105" fillId="49" borderId="20" xfId="435" applyNumberFormat="1" applyFont="1" applyFill="1" applyBorder="1"/>
    <xf numFmtId="172" fontId="6" fillId="73" borderId="20" xfId="0" applyNumberFormat="1" applyFont="1" applyFill="1" applyBorder="1" applyAlignment="1" applyProtection="1"/>
    <xf numFmtId="172" fontId="5" fillId="73" borderId="17" xfId="0" applyNumberFormat="1" applyFont="1" applyFill="1" applyBorder="1" applyAlignment="1" applyProtection="1"/>
    <xf numFmtId="172" fontId="5" fillId="73" borderId="16" xfId="0" applyNumberFormat="1" applyFont="1" applyFill="1" applyBorder="1" applyAlignment="1" applyProtection="1"/>
    <xf numFmtId="172" fontId="5" fillId="73" borderId="18" xfId="0" applyNumberFormat="1" applyFont="1" applyFill="1" applyBorder="1" applyAlignment="1" applyProtection="1"/>
    <xf numFmtId="172" fontId="5" fillId="73" borderId="20" xfId="0" applyNumberFormat="1" applyFont="1" applyFill="1" applyBorder="1" applyAlignment="1" applyProtection="1"/>
    <xf numFmtId="172" fontId="5" fillId="74" borderId="28" xfId="0" applyNumberFormat="1" applyFont="1" applyFill="1" applyBorder="1" applyAlignment="1" applyProtection="1"/>
    <xf numFmtId="172" fontId="5" fillId="74" borderId="61" xfId="0" applyNumberFormat="1" applyFont="1" applyFill="1" applyBorder="1" applyAlignment="1" applyProtection="1"/>
    <xf numFmtId="172" fontId="7" fillId="74" borderId="10" xfId="0" applyNumberFormat="1" applyFont="1" applyFill="1" applyBorder="1" applyAlignment="1" applyProtection="1"/>
    <xf numFmtId="172" fontId="5" fillId="74" borderId="18" xfId="0" applyNumberFormat="1" applyFont="1" applyFill="1" applyBorder="1" applyAlignment="1" applyProtection="1"/>
    <xf numFmtId="172" fontId="5" fillId="74" borderId="58" xfId="0" applyNumberFormat="1" applyFont="1" applyFill="1" applyBorder="1" applyAlignment="1" applyProtection="1"/>
    <xf numFmtId="172" fontId="7" fillId="75" borderId="71" xfId="0" applyNumberFormat="1" applyFont="1" applyFill="1" applyBorder="1" applyAlignment="1" applyProtection="1"/>
    <xf numFmtId="172" fontId="7" fillId="75" borderId="58" xfId="0" applyNumberFormat="1" applyFont="1" applyFill="1" applyBorder="1" applyAlignment="1" applyProtection="1"/>
    <xf numFmtId="172" fontId="6" fillId="74" borderId="70" xfId="0" applyNumberFormat="1" applyFont="1" applyFill="1" applyBorder="1" applyAlignment="1" applyProtection="1"/>
    <xf numFmtId="172" fontId="6" fillId="74" borderId="58" xfId="0" applyNumberFormat="1" applyFont="1" applyFill="1" applyBorder="1" applyAlignment="1" applyProtection="1"/>
    <xf numFmtId="172" fontId="6" fillId="74" borderId="17" xfId="0" applyNumberFormat="1" applyFont="1" applyFill="1" applyBorder="1" applyAlignment="1" applyProtection="1"/>
    <xf numFmtId="172" fontId="7" fillId="75" borderId="16" xfId="0" applyNumberFormat="1" applyFont="1" applyFill="1" applyBorder="1" applyAlignment="1" applyProtection="1"/>
    <xf numFmtId="172" fontId="7" fillId="75" borderId="18" xfId="0" applyNumberFormat="1" applyFont="1" applyFill="1" applyBorder="1" applyAlignment="1" applyProtection="1"/>
    <xf numFmtId="172" fontId="5" fillId="76" borderId="16" xfId="0" applyNumberFormat="1" applyFont="1" applyFill="1" applyBorder="1" applyAlignment="1" applyProtection="1"/>
    <xf numFmtId="172" fontId="5" fillId="76" borderId="10" xfId="0" applyNumberFormat="1" applyFont="1" applyFill="1" applyBorder="1" applyAlignment="1" applyProtection="1">
      <alignment horizontal="left"/>
    </xf>
    <xf numFmtId="172" fontId="5" fillId="76" borderId="10" xfId="0" applyNumberFormat="1" applyFont="1" applyFill="1" applyBorder="1" applyAlignment="1" applyProtection="1"/>
    <xf numFmtId="172" fontId="7" fillId="77" borderId="17" xfId="0" applyNumberFormat="1" applyFont="1" applyFill="1" applyBorder="1" applyAlignment="1" applyProtection="1"/>
    <xf numFmtId="172" fontId="7" fillId="77" borderId="16" xfId="0" applyNumberFormat="1" applyFont="1" applyFill="1" applyBorder="1" applyAlignment="1" applyProtection="1"/>
    <xf numFmtId="172" fontId="5" fillId="76" borderId="18" xfId="0" applyNumberFormat="1" applyFont="1" applyFill="1" applyBorder="1" applyAlignment="1" applyProtection="1"/>
    <xf numFmtId="172" fontId="5" fillId="76" borderId="17" xfId="0" applyNumberFormat="1" applyFont="1" applyFill="1" applyBorder="1" applyAlignment="1" applyProtection="1"/>
    <xf numFmtId="172" fontId="5" fillId="76" borderId="70" xfId="0" applyNumberFormat="1" applyFont="1" applyFill="1" applyBorder="1" applyAlignment="1" applyProtection="1"/>
    <xf numFmtId="172" fontId="5" fillId="76" borderId="64" xfId="0" applyNumberFormat="1" applyFont="1" applyFill="1" applyBorder="1" applyAlignment="1" applyProtection="1"/>
    <xf numFmtId="172" fontId="7" fillId="77" borderId="58" xfId="0" applyNumberFormat="1" applyFont="1" applyFill="1" applyBorder="1" applyAlignment="1" applyProtection="1"/>
    <xf numFmtId="172" fontId="142" fillId="78" borderId="61" xfId="0" applyNumberFormat="1" applyFont="1" applyFill="1" applyBorder="1" applyAlignment="1" applyProtection="1">
      <alignment horizontal="left" vertical="center" wrapText="1"/>
    </xf>
    <xf numFmtId="172" fontId="5" fillId="76" borderId="53" xfId="0" applyNumberFormat="1" applyFont="1" applyFill="1" applyBorder="1" applyAlignment="1" applyProtection="1">
      <alignment vertical="center" wrapText="1"/>
    </xf>
    <xf numFmtId="0" fontId="2" fillId="79" borderId="16" xfId="1860" applyFont="1" applyFill="1" applyBorder="1" applyAlignment="1">
      <alignment horizontal="left" vertical="center" wrapText="1" indent="1"/>
    </xf>
    <xf numFmtId="0" fontId="2" fillId="80" borderId="16" xfId="1860" quotePrefix="1" applyFont="1" applyFill="1" applyBorder="1" applyAlignment="1">
      <alignment horizontal="left" vertical="center" wrapText="1" indent="1"/>
    </xf>
    <xf numFmtId="0" fontId="2" fillId="81" borderId="16" xfId="1860" quotePrefix="1" applyFont="1" applyFill="1" applyBorder="1" applyAlignment="1">
      <alignment horizontal="left" vertical="center" wrapText="1" indent="1"/>
    </xf>
    <xf numFmtId="0" fontId="3" fillId="82" borderId="20" xfId="0" applyFont="1" applyFill="1" applyBorder="1" applyProtection="1"/>
    <xf numFmtId="0" fontId="3" fillId="83" borderId="20" xfId="0" applyFont="1" applyFill="1" applyBorder="1" applyProtection="1"/>
    <xf numFmtId="0" fontId="3" fillId="84" borderId="20" xfId="0" applyFont="1" applyFill="1" applyBorder="1" applyProtection="1"/>
    <xf numFmtId="172" fontId="6" fillId="75" borderId="54" xfId="0" applyNumberFormat="1" applyFont="1" applyFill="1" applyBorder="1" applyAlignment="1" applyProtection="1"/>
    <xf numFmtId="172" fontId="6" fillId="75" borderId="45" xfId="0" applyNumberFormat="1" applyFont="1" applyFill="1" applyBorder="1" applyAlignment="1" applyProtection="1"/>
    <xf numFmtId="172" fontId="7" fillId="85" borderId="42" xfId="0" applyNumberFormat="1" applyFont="1" applyFill="1" applyBorder="1" applyAlignment="1" applyProtection="1"/>
    <xf numFmtId="172" fontId="7" fillId="86" borderId="73" xfId="0" applyNumberFormat="1" applyFont="1" applyFill="1" applyBorder="1" applyAlignment="1" applyProtection="1"/>
    <xf numFmtId="172" fontId="7" fillId="85" borderId="74" xfId="0" applyNumberFormat="1" applyFont="1" applyFill="1" applyBorder="1" applyAlignment="1" applyProtection="1"/>
    <xf numFmtId="0" fontId="6" fillId="87" borderId="55" xfId="0" applyFont="1" applyFill="1" applyBorder="1" applyAlignment="1" applyProtection="1">
      <alignment horizontal="center" vertical="center" wrapText="1"/>
    </xf>
    <xf numFmtId="0" fontId="6" fillId="87" borderId="75" xfId="0" applyFont="1" applyFill="1" applyBorder="1" applyAlignment="1" applyProtection="1">
      <alignment horizontal="center" vertical="center" wrapText="1"/>
    </xf>
    <xf numFmtId="0" fontId="6" fillId="87" borderId="67" xfId="0" applyFont="1" applyFill="1" applyBorder="1" applyAlignment="1" applyProtection="1">
      <alignment horizontal="center" vertical="center" wrapText="1"/>
    </xf>
    <xf numFmtId="172" fontId="5" fillId="74" borderId="10" xfId="0" applyNumberFormat="1" applyFont="1" applyFill="1" applyBorder="1" applyAlignment="1" applyProtection="1"/>
    <xf numFmtId="172" fontId="5" fillId="74" borderId="10" xfId="0" applyNumberFormat="1" applyFont="1" applyFill="1" applyBorder="1" applyAlignment="1" applyProtection="1">
      <alignment horizontal="left"/>
    </xf>
    <xf numFmtId="172" fontId="5" fillId="73" borderId="20" xfId="0" applyNumberFormat="1" applyFont="1" applyFill="1" applyBorder="1" applyAlignment="1" applyProtection="1">
      <alignment horizontal="left"/>
    </xf>
    <xf numFmtId="0" fontId="4" fillId="36" borderId="76" xfId="1860" applyFont="1" applyFill="1" applyBorder="1" applyAlignment="1">
      <alignment horizontal="left" vertical="center" wrapText="1" indent="1"/>
    </xf>
    <xf numFmtId="0" fontId="4" fillId="36" borderId="16" xfId="1860" applyFont="1" applyFill="1" applyBorder="1" applyAlignment="1" applyProtection="1">
      <alignment horizontal="left" vertical="center" wrapText="1" indent="1"/>
      <protection locked="0"/>
    </xf>
    <xf numFmtId="0" fontId="3" fillId="34" borderId="77" xfId="0" applyFont="1" applyFill="1" applyBorder="1" applyProtection="1"/>
    <xf numFmtId="49" fontId="5" fillId="0" borderId="78" xfId="0" applyNumberFormat="1" applyFont="1" applyFill="1" applyBorder="1" applyAlignment="1" applyProtection="1">
      <alignment horizontal="left"/>
      <protection locked="0"/>
    </xf>
    <xf numFmtId="49" fontId="5" fillId="0" borderId="26" xfId="0" applyNumberFormat="1" applyFont="1" applyFill="1" applyBorder="1" applyAlignment="1" applyProtection="1">
      <alignment horizontal="left"/>
      <protection locked="0"/>
    </xf>
    <xf numFmtId="49" fontId="5" fillId="0" borderId="79" xfId="0" applyNumberFormat="1" applyFont="1" applyFill="1" applyBorder="1" applyAlignment="1" applyProtection="1">
      <alignment horizontal="left"/>
      <protection locked="0"/>
    </xf>
    <xf numFmtId="0" fontId="0" fillId="34" borderId="44" xfId="0" applyFill="1" applyBorder="1" applyProtection="1"/>
    <xf numFmtId="0" fontId="4" fillId="26" borderId="16" xfId="1117" applyFill="1" applyBorder="1"/>
    <xf numFmtId="0" fontId="12" fillId="36" borderId="16" xfId="1860" applyFont="1" applyFill="1" applyBorder="1" applyAlignment="1">
      <alignment horizontal="left" vertical="top" wrapText="1" indent="1"/>
    </xf>
    <xf numFmtId="188" fontId="94" fillId="49" borderId="20" xfId="150" applyNumberFormat="1" applyFont="1" applyFill="1" applyBorder="1" applyAlignment="1">
      <alignment horizontal="right"/>
    </xf>
    <xf numFmtId="3" fontId="85" fillId="39" borderId="61" xfId="150" applyNumberFormat="1" applyFont="1" applyFill="1" applyBorder="1" applyAlignment="1" applyProtection="1"/>
    <xf numFmtId="3" fontId="3" fillId="39" borderId="19" xfId="150" applyNumberFormat="1" applyFont="1" applyFill="1" applyBorder="1" applyAlignment="1" applyProtection="1"/>
    <xf numFmtId="172" fontId="13" fillId="34" borderId="19" xfId="0" applyNumberFormat="1" applyFont="1" applyFill="1" applyBorder="1" applyAlignment="1" applyProtection="1">
      <alignment vertical="center"/>
    </xf>
    <xf numFmtId="3" fontId="4" fillId="39" borderId="71" xfId="150" applyNumberFormat="1" applyFont="1" applyFill="1" applyBorder="1" applyAlignment="1" applyProtection="1"/>
    <xf numFmtId="3" fontId="4" fillId="39" borderId="70" xfId="150" applyNumberFormat="1" applyFont="1" applyFill="1" applyBorder="1" applyAlignment="1" applyProtection="1"/>
    <xf numFmtId="3" fontId="85" fillId="35" borderId="10" xfId="150" applyNumberFormat="1" applyFont="1" applyFill="1" applyBorder="1" applyAlignment="1" applyProtection="1"/>
    <xf numFmtId="3" fontId="2" fillId="0" borderId="16" xfId="150" applyNumberFormat="1" applyFont="1" applyFill="1" applyBorder="1" applyAlignment="1" applyProtection="1">
      <protection locked="0"/>
    </xf>
    <xf numFmtId="49" fontId="5" fillId="0" borderId="25" xfId="0" applyNumberFormat="1" applyFont="1" applyFill="1" applyBorder="1" applyProtection="1">
      <protection locked="0"/>
    </xf>
    <xf numFmtId="49" fontId="5" fillId="0" borderId="68" xfId="0" applyNumberFormat="1" applyFont="1" applyFill="1" applyBorder="1" applyProtection="1">
      <protection locked="0"/>
    </xf>
    <xf numFmtId="49" fontId="5" fillId="0" borderId="51" xfId="0" applyNumberFormat="1" applyFont="1" applyFill="1" applyBorder="1" applyProtection="1">
      <protection locked="0"/>
    </xf>
    <xf numFmtId="49" fontId="5" fillId="0" borderId="23" xfId="0" applyNumberFormat="1" applyFont="1" applyFill="1" applyBorder="1" applyProtection="1">
      <protection locked="0"/>
    </xf>
    <xf numFmtId="49" fontId="5" fillId="0" borderId="75" xfId="0" applyNumberFormat="1" applyFont="1" applyFill="1" applyBorder="1" applyProtection="1">
      <protection locked="0"/>
    </xf>
    <xf numFmtId="49" fontId="5" fillId="0" borderId="50" xfId="0" applyNumberFormat="1" applyFont="1" applyFill="1" applyBorder="1" applyProtection="1">
      <protection locked="0"/>
    </xf>
    <xf numFmtId="49" fontId="5" fillId="0" borderId="24" xfId="0" applyNumberFormat="1" applyFont="1" applyFill="1" applyBorder="1" applyProtection="1">
      <protection locked="0"/>
    </xf>
    <xf numFmtId="49" fontId="5" fillId="0" borderId="27" xfId="0" applyNumberFormat="1" applyFont="1" applyFill="1" applyBorder="1" applyProtection="1">
      <protection locked="0"/>
    </xf>
    <xf numFmtId="49" fontId="5" fillId="0" borderId="33" xfId="0" applyNumberFormat="1" applyFont="1" applyFill="1" applyBorder="1" applyProtection="1">
      <protection locked="0"/>
    </xf>
    <xf numFmtId="49" fontId="7" fillId="0" borderId="24" xfId="0" applyNumberFormat="1" applyFont="1" applyFill="1" applyBorder="1" applyProtection="1">
      <protection locked="0"/>
    </xf>
    <xf numFmtId="49" fontId="7" fillId="0" borderId="27" xfId="0" applyNumberFormat="1" applyFont="1" applyFill="1" applyBorder="1" applyProtection="1">
      <protection locked="0"/>
    </xf>
    <xf numFmtId="49" fontId="7" fillId="0" borderId="33" xfId="0" applyNumberFormat="1" applyFont="1" applyFill="1" applyBorder="1" applyProtection="1">
      <protection locked="0"/>
    </xf>
    <xf numFmtId="49" fontId="5" fillId="0" borderId="23" xfId="0" applyNumberFormat="1" applyFont="1" applyFill="1" applyBorder="1" applyAlignment="1" applyProtection="1">
      <alignment horizontal="left"/>
      <protection locked="0"/>
    </xf>
    <xf numFmtId="49" fontId="5" fillId="0" borderId="75" xfId="0" applyNumberFormat="1" applyFont="1" applyFill="1" applyBorder="1" applyAlignment="1" applyProtection="1">
      <alignment horizontal="left"/>
      <protection locked="0"/>
    </xf>
    <xf numFmtId="49" fontId="5" fillId="0" borderId="50" xfId="0" applyNumberFormat="1" applyFont="1" applyFill="1" applyBorder="1" applyAlignment="1" applyProtection="1">
      <alignment horizontal="left"/>
      <protection locked="0"/>
    </xf>
    <xf numFmtId="0" fontId="89" fillId="57" borderId="80" xfId="0" applyFont="1" applyFill="1" applyBorder="1" applyAlignment="1" applyProtection="1">
      <alignment horizontal="left"/>
    </xf>
    <xf numFmtId="0" fontId="89" fillId="57" borderId="81" xfId="0" applyFont="1" applyFill="1" applyBorder="1" applyAlignment="1" applyProtection="1">
      <alignment horizontal="left"/>
    </xf>
    <xf numFmtId="0" fontId="89" fillId="57" borderId="82" xfId="0" applyFont="1" applyFill="1" applyBorder="1" applyAlignment="1" applyProtection="1">
      <alignment horizontal="left"/>
    </xf>
    <xf numFmtId="0" fontId="69" fillId="34" borderId="80" xfId="0" applyFont="1" applyFill="1" applyBorder="1" applyAlignment="1" applyProtection="1">
      <alignment horizontal="left"/>
    </xf>
    <xf numFmtId="0" fontId="69" fillId="34" borderId="81" xfId="0" applyFont="1" applyFill="1" applyBorder="1" applyAlignment="1" applyProtection="1">
      <alignment horizontal="left"/>
    </xf>
    <xf numFmtId="0" fontId="69" fillId="34" borderId="82" xfId="0" applyFont="1" applyFill="1" applyBorder="1" applyAlignment="1" applyProtection="1">
      <alignment horizontal="left"/>
    </xf>
    <xf numFmtId="49" fontId="5" fillId="0" borderId="24" xfId="0" applyNumberFormat="1" applyFont="1" applyFill="1" applyBorder="1" applyAlignment="1" applyProtection="1">
      <alignment horizontal="left"/>
      <protection locked="0"/>
    </xf>
    <xf numFmtId="49" fontId="5" fillId="0" borderId="27" xfId="0" applyNumberFormat="1" applyFont="1" applyFill="1" applyBorder="1" applyAlignment="1" applyProtection="1">
      <alignment horizontal="left"/>
      <protection locked="0"/>
    </xf>
    <xf numFmtId="49" fontId="5" fillId="0" borderId="33" xfId="0" applyNumberFormat="1" applyFont="1" applyFill="1" applyBorder="1" applyAlignment="1" applyProtection="1">
      <alignment horizontal="left"/>
      <protection locked="0"/>
    </xf>
    <xf numFmtId="0" fontId="16" fillId="34" borderId="40" xfId="0" applyFont="1" applyFill="1" applyBorder="1" applyAlignment="1" applyProtection="1">
      <alignment horizontal="center" wrapText="1"/>
    </xf>
    <xf numFmtId="0" fontId="16" fillId="34" borderId="40" xfId="0" applyFont="1" applyFill="1" applyBorder="1" applyAlignment="1" applyProtection="1">
      <alignment horizontal="center"/>
    </xf>
    <xf numFmtId="0" fontId="3" fillId="34" borderId="53" xfId="0" applyFont="1" applyFill="1" applyBorder="1" applyAlignment="1" applyProtection="1">
      <alignment horizontal="center" vertical="top"/>
    </xf>
    <xf numFmtId="49" fontId="5" fillId="0" borderId="25" xfId="0" applyNumberFormat="1" applyFont="1" applyFill="1" applyBorder="1" applyAlignment="1" applyProtection="1">
      <alignment horizontal="left"/>
      <protection locked="0"/>
    </xf>
    <xf numFmtId="49" fontId="5" fillId="0" borderId="68" xfId="0" applyNumberFormat="1" applyFont="1" applyFill="1" applyBorder="1" applyAlignment="1" applyProtection="1">
      <alignment horizontal="left"/>
      <protection locked="0"/>
    </xf>
    <xf numFmtId="49" fontId="5" fillId="0" borderId="51" xfId="0" applyNumberFormat="1" applyFont="1" applyFill="1" applyBorder="1" applyAlignment="1" applyProtection="1">
      <alignment horizontal="left"/>
      <protection locked="0"/>
    </xf>
    <xf numFmtId="49" fontId="98" fillId="0" borderId="64" xfId="0" applyNumberFormat="1" applyFont="1" applyFill="1" applyBorder="1" applyAlignment="1" applyProtection="1">
      <alignment horizontal="center"/>
      <protection locked="0"/>
    </xf>
    <xf numFmtId="49" fontId="98" fillId="0" borderId="33" xfId="0" applyNumberFormat="1" applyFont="1" applyFill="1" applyBorder="1" applyAlignment="1" applyProtection="1">
      <alignment horizontal="center"/>
      <protection locked="0"/>
    </xf>
    <xf numFmtId="49" fontId="2" fillId="0" borderId="62" xfId="0" applyNumberFormat="1" applyFont="1" applyFill="1" applyBorder="1" applyAlignment="1" applyProtection="1">
      <alignment horizontal="center"/>
      <protection locked="0"/>
    </xf>
    <xf numFmtId="49" fontId="2" fillId="0" borderId="55" xfId="0" applyNumberFormat="1" applyFont="1" applyFill="1" applyBorder="1" applyAlignment="1" applyProtection="1">
      <alignment horizontal="center"/>
      <protection locked="0"/>
    </xf>
    <xf numFmtId="49" fontId="2" fillId="0" borderId="67" xfId="0" applyNumberFormat="1" applyFont="1" applyFill="1" applyBorder="1" applyAlignment="1" applyProtection="1">
      <alignment horizontal="center"/>
      <protection locked="0"/>
    </xf>
    <xf numFmtId="49" fontId="2" fillId="41" borderId="66" xfId="0" applyNumberFormat="1" applyFont="1" applyFill="1" applyBorder="1" applyAlignment="1" applyProtection="1">
      <alignment horizontal="center"/>
      <protection locked="0"/>
    </xf>
    <xf numFmtId="49" fontId="4" fillId="41" borderId="20" xfId="0" applyNumberFormat="1" applyFont="1" applyFill="1" applyBorder="1" applyAlignment="1" applyProtection="1">
      <alignment horizontal="center"/>
      <protection locked="0"/>
    </xf>
    <xf numFmtId="49" fontId="4" fillId="41" borderId="46" xfId="0" applyNumberFormat="1" applyFont="1" applyFill="1" applyBorder="1" applyAlignment="1" applyProtection="1">
      <alignment horizontal="center"/>
      <protection locked="0"/>
    </xf>
    <xf numFmtId="0" fontId="4" fillId="39" borderId="83" xfId="0" applyNumberFormat="1" applyFont="1" applyFill="1" applyBorder="1" applyAlignment="1" applyProtection="1">
      <alignment horizontal="center"/>
    </xf>
    <xf numFmtId="0" fontId="4" fillId="39" borderId="59" xfId="0" applyNumberFormat="1" applyFont="1" applyFill="1" applyBorder="1" applyAlignment="1" applyProtection="1">
      <alignment horizontal="center"/>
    </xf>
    <xf numFmtId="0" fontId="4" fillId="39" borderId="47" xfId="0" applyNumberFormat="1" applyFont="1" applyFill="1" applyBorder="1" applyAlignment="1" applyProtection="1">
      <alignment horizontal="center"/>
    </xf>
    <xf numFmtId="49" fontId="2" fillId="0" borderId="66" xfId="0" applyNumberFormat="1" applyFont="1" applyFill="1" applyBorder="1" applyAlignment="1" applyProtection="1">
      <alignment horizontal="center"/>
      <protection locked="0"/>
    </xf>
    <xf numFmtId="49" fontId="2" fillId="0" borderId="20" xfId="0" applyNumberFormat="1" applyFont="1" applyFill="1" applyBorder="1" applyAlignment="1" applyProtection="1">
      <alignment horizontal="center"/>
      <protection locked="0"/>
    </xf>
    <xf numFmtId="49" fontId="2" fillId="0" borderId="46" xfId="0" applyNumberFormat="1" applyFont="1" applyFill="1" applyBorder="1" applyAlignment="1" applyProtection="1">
      <alignment horizontal="center"/>
      <protection locked="0"/>
    </xf>
    <xf numFmtId="39" fontId="2" fillId="39" borderId="66" xfId="175" applyNumberFormat="1" applyFont="1" applyFill="1" applyBorder="1" applyAlignment="1" applyProtection="1">
      <alignment horizontal="center"/>
    </xf>
    <xf numFmtId="39" fontId="2" fillId="39" borderId="20" xfId="175" applyNumberFormat="1" applyFont="1" applyFill="1" applyBorder="1" applyAlignment="1" applyProtection="1">
      <alignment horizontal="center"/>
    </xf>
    <xf numFmtId="39" fontId="2" fillId="39" borderId="46" xfId="175" applyNumberFormat="1" applyFont="1" applyFill="1" applyBorder="1" applyAlignment="1" applyProtection="1">
      <alignment horizontal="center"/>
    </xf>
    <xf numFmtId="0" fontId="12" fillId="0" borderId="0" xfId="0" applyFont="1" applyFill="1" applyAlignment="1" applyProtection="1">
      <alignment horizontal="left" vertical="center" wrapText="1"/>
    </xf>
    <xf numFmtId="49" fontId="4" fillId="41" borderId="66" xfId="0" applyNumberFormat="1" applyFont="1" applyFill="1" applyBorder="1" applyAlignment="1" applyProtection="1">
      <alignment horizontal="center"/>
      <protection locked="0"/>
    </xf>
    <xf numFmtId="0" fontId="13" fillId="34" borderId="0" xfId="0" applyFont="1" applyFill="1" applyAlignment="1">
      <alignment horizontal="right"/>
    </xf>
    <xf numFmtId="0" fontId="99" fillId="35" borderId="0" xfId="0" applyFont="1" applyFill="1" applyAlignment="1" applyProtection="1">
      <alignment horizontal="left" wrapText="1"/>
    </xf>
    <xf numFmtId="0" fontId="100" fillId="26" borderId="29" xfId="1117" applyFont="1" applyFill="1" applyBorder="1" applyAlignment="1" applyProtection="1">
      <alignment horizontal="center" vertical="center" wrapText="1"/>
    </xf>
    <xf numFmtId="0" fontId="17" fillId="35" borderId="55" xfId="0" applyFont="1" applyFill="1" applyBorder="1" applyAlignment="1" applyProtection="1">
      <alignment horizontal="center"/>
    </xf>
    <xf numFmtId="0" fontId="17" fillId="35" borderId="67" xfId="0" applyFont="1" applyFill="1" applyBorder="1" applyAlignment="1" applyProtection="1">
      <alignment horizontal="center"/>
    </xf>
    <xf numFmtId="0" fontId="17" fillId="35" borderId="20" xfId="0" applyFont="1" applyFill="1" applyBorder="1" applyAlignment="1" applyProtection="1">
      <alignment horizontal="center"/>
    </xf>
    <xf numFmtId="0" fontId="17" fillId="35" borderId="46" xfId="0" applyFont="1" applyFill="1" applyBorder="1" applyAlignment="1" applyProtection="1">
      <alignment horizontal="center"/>
    </xf>
    <xf numFmtId="0" fontId="17" fillId="35" borderId="57" xfId="0" applyFont="1" applyFill="1" applyBorder="1" applyAlignment="1" applyProtection="1">
      <alignment horizontal="center"/>
    </xf>
    <xf numFmtId="0" fontId="17" fillId="35" borderId="84" xfId="0" applyFont="1" applyFill="1" applyBorder="1" applyAlignment="1" applyProtection="1">
      <alignment horizontal="center"/>
    </xf>
    <xf numFmtId="0" fontId="143" fillId="74" borderId="20" xfId="0" applyFont="1" applyFill="1" applyBorder="1" applyAlignment="1" applyProtection="1">
      <alignment horizontal="center" vertical="center" textRotation="75"/>
    </xf>
    <xf numFmtId="0" fontId="80" fillId="26" borderId="29" xfId="1117" applyFont="1" applyFill="1" applyBorder="1" applyAlignment="1" applyProtection="1">
      <alignment horizontal="left" vertical="center" wrapText="1"/>
    </xf>
    <xf numFmtId="0" fontId="101" fillId="34" borderId="28" xfId="0" applyFont="1" applyFill="1" applyBorder="1" applyAlignment="1" applyProtection="1">
      <alignment horizontal="center" vertical="center" textRotation="75" wrapText="1" readingOrder="1"/>
    </xf>
    <xf numFmtId="0" fontId="101" fillId="34" borderId="10" xfId="0" applyFont="1" applyFill="1" applyBorder="1" applyAlignment="1" applyProtection="1">
      <alignment horizontal="center" vertical="center" textRotation="75" wrapText="1" readingOrder="1"/>
    </xf>
    <xf numFmtId="0" fontId="101" fillId="34" borderId="19" xfId="0" applyFont="1" applyFill="1" applyBorder="1" applyAlignment="1" applyProtection="1">
      <alignment horizontal="center" vertical="center" textRotation="75" wrapText="1" readingOrder="1"/>
    </xf>
    <xf numFmtId="0" fontId="101" fillId="34" borderId="26" xfId="0" applyFont="1" applyFill="1" applyBorder="1" applyAlignment="1" applyProtection="1">
      <alignment horizontal="center" vertical="center" textRotation="75" wrapText="1"/>
    </xf>
    <xf numFmtId="0" fontId="101" fillId="34" borderId="0" xfId="0" applyFont="1" applyFill="1" applyBorder="1" applyAlignment="1" applyProtection="1">
      <alignment horizontal="center" vertical="center" textRotation="75" wrapText="1"/>
    </xf>
    <xf numFmtId="0" fontId="101" fillId="34" borderId="19" xfId="0" applyFont="1" applyFill="1" applyBorder="1" applyAlignment="1" applyProtection="1">
      <alignment horizontal="center" vertical="center" textRotation="75" wrapText="1"/>
    </xf>
    <xf numFmtId="0" fontId="101" fillId="34" borderId="17" xfId="0" applyFont="1" applyFill="1" applyBorder="1" applyAlignment="1" applyProtection="1">
      <alignment horizontal="center" vertical="center" textRotation="75" wrapText="1"/>
    </xf>
    <xf numFmtId="0" fontId="101" fillId="34" borderId="58" xfId="0" applyFont="1" applyFill="1" applyBorder="1" applyAlignment="1" applyProtection="1">
      <alignment horizontal="center" vertical="center" textRotation="75" wrapText="1"/>
    </xf>
    <xf numFmtId="0" fontId="101" fillId="34" borderId="16" xfId="0" applyFont="1" applyFill="1" applyBorder="1" applyAlignment="1" applyProtection="1">
      <alignment horizontal="center" vertical="center" textRotation="75" wrapText="1"/>
    </xf>
    <xf numFmtId="0" fontId="101" fillId="34" borderId="70" xfId="0" applyFont="1" applyFill="1" applyBorder="1" applyAlignment="1" applyProtection="1">
      <alignment horizontal="center" vertical="center" textRotation="75" wrapText="1"/>
    </xf>
    <xf numFmtId="172" fontId="68" fillId="35" borderId="64" xfId="0" applyNumberFormat="1" applyFont="1" applyFill="1" applyBorder="1" applyAlignment="1" applyProtection="1">
      <alignment horizontal="center"/>
    </xf>
    <xf numFmtId="172" fontId="68" fillId="35" borderId="66" xfId="0" applyNumberFormat="1" applyFont="1" applyFill="1" applyBorder="1" applyAlignment="1" applyProtection="1">
      <alignment horizontal="center"/>
    </xf>
    <xf numFmtId="0" fontId="144" fillId="78" borderId="58" xfId="0" applyFont="1" applyFill="1" applyBorder="1" applyAlignment="1" applyProtection="1">
      <alignment horizontal="center" textRotation="53" wrapText="1"/>
    </xf>
    <xf numFmtId="0" fontId="144" fillId="78" borderId="18" xfId="0" applyFont="1" applyFill="1" applyBorder="1" applyAlignment="1" applyProtection="1">
      <alignment horizontal="center" textRotation="53" wrapText="1"/>
    </xf>
    <xf numFmtId="9" fontId="4" fillId="58" borderId="0" xfId="150" applyNumberFormat="1" applyFont="1" applyFill="1" applyBorder="1" applyAlignment="1">
      <alignment horizontal="center" vertical="center"/>
    </xf>
    <xf numFmtId="9" fontId="4" fillId="35" borderId="0" xfId="150" applyNumberFormat="1" applyFont="1" applyFill="1" applyBorder="1" applyAlignment="1">
      <alignment horizontal="center" vertical="center"/>
    </xf>
    <xf numFmtId="0" fontId="4" fillId="26" borderId="90" xfId="0" applyFont="1" applyFill="1" applyBorder="1" applyAlignment="1">
      <alignment horizontal="center" vertical="center"/>
    </xf>
    <xf numFmtId="0" fontId="4" fillId="26" borderId="91" xfId="0" applyFont="1" applyFill="1" applyBorder="1" applyAlignment="1">
      <alignment horizontal="center" vertical="center"/>
    </xf>
    <xf numFmtId="0" fontId="4" fillId="26" borderId="92" xfId="0" applyFont="1" applyFill="1" applyBorder="1" applyAlignment="1">
      <alignment horizontal="center"/>
    </xf>
    <xf numFmtId="0" fontId="4" fillId="26" borderId="93" xfId="0" applyFont="1" applyFill="1" applyBorder="1" applyAlignment="1">
      <alignment horizontal="center"/>
    </xf>
    <xf numFmtId="0" fontId="4" fillId="26" borderId="94" xfId="0" applyFont="1" applyFill="1" applyBorder="1" applyAlignment="1">
      <alignment horizontal="center"/>
    </xf>
    <xf numFmtId="9" fontId="4" fillId="26" borderId="53" xfId="150" applyNumberFormat="1" applyFont="1" applyFill="1" applyBorder="1" applyAlignment="1">
      <alignment horizontal="center" vertical="center"/>
    </xf>
    <xf numFmtId="0" fontId="2" fillId="35" borderId="53" xfId="0" applyFont="1" applyFill="1" applyBorder="1" applyAlignment="1">
      <alignment horizontal="center"/>
    </xf>
    <xf numFmtId="0" fontId="0" fillId="35" borderId="53" xfId="0" applyFill="1" applyBorder="1" applyAlignment="1">
      <alignment horizontal="center"/>
    </xf>
    <xf numFmtId="0" fontId="0" fillId="35" borderId="44" xfId="0" applyFill="1" applyBorder="1" applyAlignment="1">
      <alignment horizontal="center"/>
    </xf>
    <xf numFmtId="9" fontId="4" fillId="26" borderId="0" xfId="150" applyNumberFormat="1" applyFont="1" applyFill="1" applyBorder="1" applyAlignment="1">
      <alignment horizontal="center" vertical="center"/>
    </xf>
    <xf numFmtId="0" fontId="2" fillId="35" borderId="0" xfId="0" applyFont="1" applyFill="1" applyBorder="1" applyAlignment="1">
      <alignment horizontal="center"/>
    </xf>
    <xf numFmtId="0" fontId="0" fillId="35" borderId="0" xfId="0" applyFill="1" applyBorder="1" applyAlignment="1">
      <alignment horizontal="center"/>
    </xf>
    <xf numFmtId="0" fontId="0" fillId="35" borderId="22" xfId="0" applyFill="1" applyBorder="1" applyAlignment="1">
      <alignment horizontal="center"/>
    </xf>
    <xf numFmtId="0" fontId="4" fillId="26" borderId="95" xfId="0" applyFont="1" applyFill="1" applyBorder="1" applyAlignment="1">
      <alignment horizontal="center" vertical="center"/>
    </xf>
    <xf numFmtId="0" fontId="4" fillId="26" borderId="40" xfId="0" applyFont="1" applyFill="1" applyBorder="1" applyAlignment="1">
      <alignment horizontal="center" vertical="center"/>
    </xf>
    <xf numFmtId="0" fontId="4" fillId="26" borderId="21" xfId="0" applyFont="1" applyFill="1" applyBorder="1" applyAlignment="1">
      <alignment horizontal="center" vertical="center"/>
    </xf>
    <xf numFmtId="0" fontId="4" fillId="26" borderId="96" xfId="0" applyFont="1" applyFill="1" applyBorder="1" applyAlignment="1">
      <alignment horizontal="center" vertical="center"/>
    </xf>
    <xf numFmtId="0" fontId="4" fillId="26" borderId="0" xfId="0" applyFont="1" applyFill="1" applyBorder="1" applyAlignment="1">
      <alignment horizontal="center" vertical="center"/>
    </xf>
    <xf numFmtId="0" fontId="4" fillId="26" borderId="22" xfId="0" applyFont="1" applyFill="1" applyBorder="1" applyAlignment="1">
      <alignment horizontal="center" vertical="center"/>
    </xf>
    <xf numFmtId="0" fontId="4" fillId="26" borderId="85" xfId="0" applyFont="1" applyFill="1" applyBorder="1" applyAlignment="1">
      <alignment horizontal="center" vertical="center"/>
    </xf>
    <xf numFmtId="0" fontId="4" fillId="26" borderId="86" xfId="0" applyFont="1" applyFill="1" applyBorder="1" applyAlignment="1">
      <alignment horizontal="center" vertical="center"/>
    </xf>
    <xf numFmtId="0" fontId="4" fillId="26" borderId="87" xfId="0" applyFont="1" applyFill="1" applyBorder="1" applyAlignment="1">
      <alignment horizontal="center"/>
    </xf>
    <xf numFmtId="0" fontId="4" fillId="26" borderId="88" xfId="0" applyFont="1" applyFill="1" applyBorder="1" applyAlignment="1">
      <alignment horizontal="center"/>
    </xf>
    <xf numFmtId="0" fontId="4" fillId="26" borderId="89" xfId="0" applyFont="1" applyFill="1" applyBorder="1" applyAlignment="1">
      <alignment horizontal="center"/>
    </xf>
    <xf numFmtId="188" fontId="4" fillId="58" borderId="40" xfId="150" applyNumberFormat="1" applyFont="1" applyFill="1" applyBorder="1" applyAlignment="1">
      <alignment horizontal="center" vertical="center"/>
    </xf>
    <xf numFmtId="188" fontId="4" fillId="35" borderId="40" xfId="150" applyNumberFormat="1" applyFont="1" applyFill="1" applyBorder="1" applyAlignment="1">
      <alignment horizontal="center" vertical="center"/>
    </xf>
    <xf numFmtId="188" fontId="4" fillId="58" borderId="0" xfId="150" applyNumberFormat="1" applyFont="1" applyFill="1" applyBorder="1" applyAlignment="1">
      <alignment horizontal="center" vertical="center"/>
    </xf>
    <xf numFmtId="188" fontId="4" fillId="35" borderId="0" xfId="150" applyNumberFormat="1" applyFont="1" applyFill="1" applyBorder="1" applyAlignment="1">
      <alignment horizontal="center" vertical="center"/>
    </xf>
    <xf numFmtId="188" fontId="2" fillId="58" borderId="0" xfId="150" applyNumberFormat="1" applyFont="1" applyFill="1" applyBorder="1" applyAlignment="1">
      <alignment horizontal="center" vertical="center"/>
    </xf>
    <xf numFmtId="188" fontId="2" fillId="35" borderId="0" xfId="150" applyNumberFormat="1" applyFont="1" applyFill="1" applyBorder="1" applyAlignment="1">
      <alignment horizontal="center" vertical="center"/>
    </xf>
    <xf numFmtId="0" fontId="3" fillId="35" borderId="36" xfId="0" applyFont="1" applyFill="1" applyBorder="1" applyAlignment="1">
      <alignment horizontal="center" vertical="center" wrapText="1"/>
    </xf>
    <xf numFmtId="0" fontId="3" fillId="35" borderId="35" xfId="0" applyFont="1" applyFill="1" applyBorder="1" applyAlignment="1">
      <alignment horizontal="center" vertical="center" wrapText="1"/>
    </xf>
    <xf numFmtId="0" fontId="3" fillId="35" borderId="36" xfId="0" applyFont="1" applyFill="1" applyBorder="1" applyAlignment="1">
      <alignment horizontal="center" vertical="center"/>
    </xf>
    <xf numFmtId="0" fontId="3" fillId="35" borderId="52" xfId="0" applyFont="1" applyFill="1" applyBorder="1" applyAlignment="1">
      <alignment horizontal="center" vertical="center"/>
    </xf>
    <xf numFmtId="0" fontId="17" fillId="26" borderId="0" xfId="0" applyFont="1" applyFill="1" applyAlignment="1">
      <alignment horizontal="left" vertical="center" wrapText="1"/>
    </xf>
    <xf numFmtId="0" fontId="17" fillId="35" borderId="0" xfId="0" applyFont="1" applyFill="1" applyAlignment="1">
      <alignment horizontal="left" vertical="center" wrapText="1"/>
    </xf>
    <xf numFmtId="0" fontId="3" fillId="34" borderId="39" xfId="0" applyFont="1" applyFill="1" applyBorder="1" applyAlignment="1">
      <alignment horizontal="center"/>
    </xf>
    <xf numFmtId="0" fontId="3" fillId="34" borderId="21" xfId="0" applyFont="1" applyFill="1" applyBorder="1" applyAlignment="1">
      <alignment horizontal="center"/>
    </xf>
    <xf numFmtId="0" fontId="3" fillId="39" borderId="39" xfId="0" applyFont="1" applyFill="1" applyBorder="1" applyAlignment="1">
      <alignment horizontal="center"/>
    </xf>
    <xf numFmtId="0" fontId="0" fillId="39" borderId="21" xfId="0" applyFill="1" applyBorder="1" applyAlignment="1">
      <alignment horizontal="center"/>
    </xf>
    <xf numFmtId="0" fontId="3" fillId="44" borderId="36" xfId="0" applyFont="1" applyFill="1" applyBorder="1" applyAlignment="1">
      <alignment horizontal="center" wrapText="1"/>
    </xf>
    <xf numFmtId="0" fontId="3" fillId="44" borderId="35" xfId="0" applyFont="1" applyFill="1" applyBorder="1" applyAlignment="1">
      <alignment horizontal="center" wrapText="1"/>
    </xf>
    <xf numFmtId="0" fontId="97" fillId="36" borderId="29" xfId="1117" applyFont="1" applyFill="1" applyBorder="1" applyAlignment="1" applyProtection="1">
      <alignment horizontal="left" vertical="center" wrapText="1"/>
    </xf>
    <xf numFmtId="49" fontId="102" fillId="47" borderId="0" xfId="1117" applyNumberFormat="1" applyFont="1" applyFill="1" applyBorder="1" applyAlignment="1">
      <alignment horizontal="center" wrapText="1"/>
    </xf>
    <xf numFmtId="49" fontId="102" fillId="47" borderId="19" xfId="1117" applyNumberFormat="1" applyFont="1" applyFill="1" applyBorder="1" applyAlignment="1">
      <alignment horizontal="center" wrapText="1"/>
    </xf>
    <xf numFmtId="49" fontId="102" fillId="47" borderId="17" xfId="1117" applyNumberFormat="1" applyFont="1" applyFill="1" applyBorder="1" applyAlignment="1">
      <alignment horizontal="center" wrapText="1"/>
    </xf>
    <xf numFmtId="49" fontId="102" fillId="47" borderId="18" xfId="1117" applyNumberFormat="1" applyFont="1" applyFill="1" applyBorder="1" applyAlignment="1">
      <alignment horizontal="center" wrapText="1"/>
    </xf>
    <xf numFmtId="190" fontId="102" fillId="48" borderId="20" xfId="1117" applyNumberFormat="1" applyFont="1" applyFill="1" applyBorder="1" applyAlignment="1">
      <alignment horizontal="center"/>
    </xf>
    <xf numFmtId="190" fontId="102" fillId="48" borderId="64" xfId="1117" applyNumberFormat="1" applyFont="1" applyFill="1" applyBorder="1" applyAlignment="1">
      <alignment horizontal="center"/>
    </xf>
    <xf numFmtId="190" fontId="102" fillId="53" borderId="20" xfId="1117" applyNumberFormat="1" applyFont="1" applyFill="1" applyBorder="1" applyAlignment="1">
      <alignment horizontal="center"/>
    </xf>
    <xf numFmtId="190" fontId="102" fillId="53" borderId="64" xfId="1117" applyNumberFormat="1" applyFont="1" applyFill="1" applyBorder="1" applyAlignment="1">
      <alignment horizontal="center"/>
    </xf>
    <xf numFmtId="190" fontId="92" fillId="48" borderId="71" xfId="1117" applyNumberFormat="1" applyFont="1" applyFill="1" applyBorder="1" applyAlignment="1">
      <alignment horizontal="center"/>
    </xf>
    <xf numFmtId="190" fontId="92" fillId="48" borderId="28" xfId="1117" applyNumberFormat="1" applyFont="1" applyFill="1" applyBorder="1" applyAlignment="1">
      <alignment horizontal="center"/>
    </xf>
    <xf numFmtId="190" fontId="92" fillId="48" borderId="58" xfId="1117" applyNumberFormat="1" applyFont="1" applyFill="1" applyBorder="1" applyAlignment="1">
      <alignment horizontal="center"/>
    </xf>
    <xf numFmtId="190" fontId="92" fillId="48" borderId="10" xfId="1117" applyNumberFormat="1" applyFont="1" applyFill="1" applyBorder="1" applyAlignment="1">
      <alignment horizontal="center"/>
    </xf>
    <xf numFmtId="190" fontId="92" fillId="48" borderId="58" xfId="1117" applyNumberFormat="1" applyFont="1" applyFill="1" applyBorder="1" applyAlignment="1">
      <alignment horizontal="center" vertical="top" wrapText="1"/>
    </xf>
    <xf numFmtId="190" fontId="92" fillId="48" borderId="10" xfId="1117" applyNumberFormat="1" applyFont="1" applyFill="1" applyBorder="1" applyAlignment="1">
      <alignment horizontal="center" vertical="top" wrapText="1"/>
    </xf>
    <xf numFmtId="190" fontId="89" fillId="48" borderId="17" xfId="1117" applyNumberFormat="1" applyFont="1" applyFill="1" applyBorder="1" applyAlignment="1">
      <alignment horizontal="center" wrapText="1"/>
    </xf>
    <xf numFmtId="190" fontId="89" fillId="48" borderId="18" xfId="1117" applyNumberFormat="1" applyFont="1" applyFill="1" applyBorder="1" applyAlignment="1">
      <alignment horizontal="center" wrapText="1"/>
    </xf>
    <xf numFmtId="190" fontId="92" fillId="48" borderId="70" xfId="1117" applyNumberFormat="1" applyFont="1" applyFill="1" applyBorder="1" applyAlignment="1">
      <alignment horizontal="center" vertical="top" wrapText="1"/>
    </xf>
    <xf numFmtId="190" fontId="92" fillId="48" borderId="61" xfId="1117" applyNumberFormat="1" applyFont="1" applyFill="1" applyBorder="1" applyAlignment="1">
      <alignment horizontal="center" vertical="top" wrapText="1"/>
    </xf>
    <xf numFmtId="190" fontId="103" fillId="48" borderId="17" xfId="1117" applyNumberFormat="1" applyFont="1" applyFill="1" applyBorder="1" applyAlignment="1">
      <alignment horizontal="center" vertical="center" textRotation="90" wrapText="1"/>
    </xf>
    <xf numFmtId="190" fontId="103" fillId="48" borderId="16" xfId="1117" applyNumberFormat="1" applyFont="1" applyFill="1" applyBorder="1" applyAlignment="1">
      <alignment horizontal="center" vertical="center" textRotation="90" wrapText="1"/>
    </xf>
    <xf numFmtId="190" fontId="103" fillId="48" borderId="18" xfId="1117" applyNumberFormat="1" applyFont="1" applyFill="1" applyBorder="1" applyAlignment="1">
      <alignment horizontal="center" vertical="center" textRotation="90" wrapText="1"/>
    </xf>
    <xf numFmtId="190" fontId="92" fillId="53" borderId="71" xfId="1117" applyNumberFormat="1" applyFont="1" applyFill="1" applyBorder="1" applyAlignment="1">
      <alignment horizontal="center"/>
    </xf>
    <xf numFmtId="190" fontId="92" fillId="53" borderId="28" xfId="1117" applyNumberFormat="1" applyFont="1" applyFill="1" applyBorder="1" applyAlignment="1">
      <alignment horizontal="center"/>
    </xf>
    <xf numFmtId="190" fontId="92" fillId="53" borderId="58" xfId="1117" applyNumberFormat="1" applyFont="1" applyFill="1" applyBorder="1" applyAlignment="1">
      <alignment horizontal="center"/>
    </xf>
    <xf numFmtId="190" fontId="92" fillId="53" borderId="10" xfId="1117" applyNumberFormat="1" applyFont="1" applyFill="1" applyBorder="1" applyAlignment="1">
      <alignment horizontal="center"/>
    </xf>
    <xf numFmtId="190" fontId="92" fillId="53" borderId="58" xfId="1117" applyNumberFormat="1" applyFont="1" applyFill="1" applyBorder="1" applyAlignment="1">
      <alignment horizontal="center" vertical="top" wrapText="1"/>
    </xf>
    <xf numFmtId="190" fontId="92" fillId="53" borderId="10" xfId="1117" applyNumberFormat="1" applyFont="1" applyFill="1" applyBorder="1" applyAlignment="1">
      <alignment horizontal="center" vertical="top" wrapText="1"/>
    </xf>
    <xf numFmtId="190" fontId="92" fillId="53" borderId="70" xfId="1117" applyNumberFormat="1" applyFont="1" applyFill="1" applyBorder="1" applyAlignment="1">
      <alignment horizontal="center" vertical="top" wrapText="1"/>
    </xf>
    <xf numFmtId="190" fontId="92" fillId="53" borderId="61" xfId="1117" applyNumberFormat="1" applyFont="1" applyFill="1" applyBorder="1" applyAlignment="1">
      <alignment horizontal="center" vertical="top" wrapText="1"/>
    </xf>
    <xf numFmtId="190" fontId="89" fillId="53" borderId="17" xfId="1117" applyNumberFormat="1" applyFont="1" applyFill="1" applyBorder="1" applyAlignment="1">
      <alignment horizontal="center" wrapText="1"/>
    </xf>
    <xf numFmtId="190" fontId="89" fillId="53" borderId="18" xfId="1117" applyNumberFormat="1" applyFont="1" applyFill="1" applyBorder="1" applyAlignment="1">
      <alignment horizontal="center" wrapText="1"/>
    </xf>
  </cellXfs>
  <cellStyles count="2636">
    <cellStyle name="20% - Accent1 2" xfId="2" xr:uid="{00000000-0005-0000-0000-000001000000}"/>
    <cellStyle name="20% - Accent1 3" xfId="3" xr:uid="{00000000-0005-0000-0000-000002000000}"/>
    <cellStyle name="20% - Accent1 4" xfId="4" xr:uid="{00000000-0005-0000-0000-000003000000}"/>
    <cellStyle name="20% - Accent2 2" xfId="6" xr:uid="{00000000-0005-0000-0000-000005000000}"/>
    <cellStyle name="20% - Accent2 3" xfId="7" xr:uid="{00000000-0005-0000-0000-000006000000}"/>
    <cellStyle name="20% - Accent2 4" xfId="8" xr:uid="{00000000-0005-0000-0000-000007000000}"/>
    <cellStyle name="20% - Accent3 2" xfId="10" xr:uid="{00000000-0005-0000-0000-000009000000}"/>
    <cellStyle name="20% - Accent3 3" xfId="11" xr:uid="{00000000-0005-0000-0000-00000A000000}"/>
    <cellStyle name="20% - Accent4 2" xfId="13" xr:uid="{00000000-0005-0000-0000-00000C000000}"/>
    <cellStyle name="20% - Accent4 3" xfId="14" xr:uid="{00000000-0005-0000-0000-00000D000000}"/>
    <cellStyle name="20% - Accent4 4" xfId="15" xr:uid="{00000000-0005-0000-0000-00000E000000}"/>
    <cellStyle name="20% - Accent5 2" xfId="17" xr:uid="{00000000-0005-0000-0000-000010000000}"/>
    <cellStyle name="20% - Accent5 3" xfId="18" xr:uid="{00000000-0005-0000-0000-000011000000}"/>
    <cellStyle name="20% - Accent6 2" xfId="20" xr:uid="{00000000-0005-0000-0000-000013000000}"/>
    <cellStyle name="20% - Accent6 3" xfId="21" xr:uid="{00000000-0005-0000-0000-000014000000}"/>
    <cellStyle name="20% - Accent6 4" xfId="22" xr:uid="{00000000-0005-0000-0000-000015000000}"/>
    <cellStyle name="20% - Akzent1" xfId="23" xr:uid="{00000000-0005-0000-0000-000016000000}"/>
    <cellStyle name="20% - Akzent1 2" xfId="24" xr:uid="{00000000-0005-0000-0000-000017000000}"/>
    <cellStyle name="20% - Akzent1 3" xfId="25" xr:uid="{00000000-0005-0000-0000-000018000000}"/>
    <cellStyle name="20% - Akzent2" xfId="26" xr:uid="{00000000-0005-0000-0000-000019000000}"/>
    <cellStyle name="20% - Akzent2 2" xfId="27" xr:uid="{00000000-0005-0000-0000-00001A000000}"/>
    <cellStyle name="20% - Akzent2 3" xfId="28" xr:uid="{00000000-0005-0000-0000-00001B000000}"/>
    <cellStyle name="20% - Akzent3" xfId="29" xr:uid="{00000000-0005-0000-0000-00001C000000}"/>
    <cellStyle name="20% - Akzent3 2" xfId="30" xr:uid="{00000000-0005-0000-0000-00001D000000}"/>
    <cellStyle name="20% - Akzent3 3" xfId="31" xr:uid="{00000000-0005-0000-0000-00001E000000}"/>
    <cellStyle name="20% - Akzent4" xfId="32" xr:uid="{00000000-0005-0000-0000-00001F000000}"/>
    <cellStyle name="20% - Akzent4 2" xfId="33" xr:uid="{00000000-0005-0000-0000-000020000000}"/>
    <cellStyle name="20% - Akzent4 3" xfId="34" xr:uid="{00000000-0005-0000-0000-000021000000}"/>
    <cellStyle name="20% - Akzent5" xfId="35" xr:uid="{00000000-0005-0000-0000-000022000000}"/>
    <cellStyle name="20% - Akzent5 2" xfId="36" xr:uid="{00000000-0005-0000-0000-000023000000}"/>
    <cellStyle name="20% - Akzent5 3" xfId="37" xr:uid="{00000000-0005-0000-0000-000024000000}"/>
    <cellStyle name="20% - Akzent6" xfId="38" xr:uid="{00000000-0005-0000-0000-000025000000}"/>
    <cellStyle name="20% - Akzent6 2" xfId="39" xr:uid="{00000000-0005-0000-0000-000026000000}"/>
    <cellStyle name="20% - Akzent6 3" xfId="40" xr:uid="{00000000-0005-0000-0000-000027000000}"/>
    <cellStyle name="20% - Énfasis1" xfId="1" builtinId="30" customBuiltin="1"/>
    <cellStyle name="20% - Énfasis2" xfId="5" builtinId="34" customBuiltin="1"/>
    <cellStyle name="20% - Énfasis3" xfId="9" builtinId="38" customBuiltin="1"/>
    <cellStyle name="20% - Énfasis4" xfId="12" builtinId="42" customBuiltin="1"/>
    <cellStyle name="20% - Énfasis5" xfId="16" builtinId="46" customBuiltin="1"/>
    <cellStyle name="20% - Énfasis6" xfId="19" builtinId="50" customBuiltin="1"/>
    <cellStyle name="40% - Accent1 2" xfId="42" xr:uid="{00000000-0005-0000-0000-000029000000}"/>
    <cellStyle name="40% - Accent1 3" xfId="43" xr:uid="{00000000-0005-0000-0000-00002A000000}"/>
    <cellStyle name="40% - Accent1 4" xfId="44" xr:uid="{00000000-0005-0000-0000-00002B000000}"/>
    <cellStyle name="40% - Accent2 2" xfId="46" xr:uid="{00000000-0005-0000-0000-00002D000000}"/>
    <cellStyle name="40% - Accent2 3" xfId="47" xr:uid="{00000000-0005-0000-0000-00002E000000}"/>
    <cellStyle name="40% - Accent3 2" xfId="49" xr:uid="{00000000-0005-0000-0000-000030000000}"/>
    <cellStyle name="40% - Accent3 3" xfId="50" xr:uid="{00000000-0005-0000-0000-000031000000}"/>
    <cellStyle name="40% - Accent4 2" xfId="52" xr:uid="{00000000-0005-0000-0000-000033000000}"/>
    <cellStyle name="40% - Accent4 3" xfId="53" xr:uid="{00000000-0005-0000-0000-000034000000}"/>
    <cellStyle name="40% - Accent4 4" xfId="54" xr:uid="{00000000-0005-0000-0000-000035000000}"/>
    <cellStyle name="40% - Accent5 2" xfId="56" xr:uid="{00000000-0005-0000-0000-000037000000}"/>
    <cellStyle name="40% - Accent5 3" xfId="57" xr:uid="{00000000-0005-0000-0000-000038000000}"/>
    <cellStyle name="40% - Accent6 2" xfId="59" xr:uid="{00000000-0005-0000-0000-00003A000000}"/>
    <cellStyle name="40% - Accent6 3" xfId="60" xr:uid="{00000000-0005-0000-0000-00003B000000}"/>
    <cellStyle name="40% - Accent6 4" xfId="61" xr:uid="{00000000-0005-0000-0000-00003C000000}"/>
    <cellStyle name="40% - Akzent1" xfId="62" xr:uid="{00000000-0005-0000-0000-00003D000000}"/>
    <cellStyle name="40% - Akzent1 2" xfId="63" xr:uid="{00000000-0005-0000-0000-00003E000000}"/>
    <cellStyle name="40% - Akzent1 3" xfId="64" xr:uid="{00000000-0005-0000-0000-00003F000000}"/>
    <cellStyle name="40% - Akzent2" xfId="65" xr:uid="{00000000-0005-0000-0000-000040000000}"/>
    <cellStyle name="40% - Akzent2 2" xfId="66" xr:uid="{00000000-0005-0000-0000-000041000000}"/>
    <cellStyle name="40% - Akzent2 3" xfId="67" xr:uid="{00000000-0005-0000-0000-000042000000}"/>
    <cellStyle name="40% - Akzent3" xfId="68" xr:uid="{00000000-0005-0000-0000-000043000000}"/>
    <cellStyle name="40% - Akzent3 2" xfId="69" xr:uid="{00000000-0005-0000-0000-000044000000}"/>
    <cellStyle name="40% - Akzent3 3" xfId="70" xr:uid="{00000000-0005-0000-0000-000045000000}"/>
    <cellStyle name="40% - Akzent4" xfId="71" xr:uid="{00000000-0005-0000-0000-000046000000}"/>
    <cellStyle name="40% - Akzent4 2" xfId="72" xr:uid="{00000000-0005-0000-0000-000047000000}"/>
    <cellStyle name="40% - Akzent4 3" xfId="73" xr:uid="{00000000-0005-0000-0000-000048000000}"/>
    <cellStyle name="40% - Akzent5" xfId="74" xr:uid="{00000000-0005-0000-0000-000049000000}"/>
    <cellStyle name="40% - Akzent5 2" xfId="75" xr:uid="{00000000-0005-0000-0000-00004A000000}"/>
    <cellStyle name="40% - Akzent5 3" xfId="76" xr:uid="{00000000-0005-0000-0000-00004B000000}"/>
    <cellStyle name="40% - Akzent6" xfId="77" xr:uid="{00000000-0005-0000-0000-00004C000000}"/>
    <cellStyle name="40% - Akzent6 2" xfId="78" xr:uid="{00000000-0005-0000-0000-00004D000000}"/>
    <cellStyle name="40% - Akzent6 3" xfId="79" xr:uid="{00000000-0005-0000-0000-00004E000000}"/>
    <cellStyle name="40% - Énfasis1" xfId="41" builtinId="31" customBuiltin="1"/>
    <cellStyle name="40% - Énfasis2" xfId="45" builtinId="35" customBuiltin="1"/>
    <cellStyle name="40% - Énfasis3" xfId="48" builtinId="39" customBuiltin="1"/>
    <cellStyle name="40% - Énfasis4" xfId="51" builtinId="43" customBuiltin="1"/>
    <cellStyle name="40% - Énfasis5" xfId="55" builtinId="47" customBuiltin="1"/>
    <cellStyle name="40% - Énfasis6" xfId="58" builtinId="51" customBuiltin="1"/>
    <cellStyle name="60% - Accent1 2" xfId="81" xr:uid="{00000000-0005-0000-0000-000050000000}"/>
    <cellStyle name="60% - Accent1 3" xfId="82" xr:uid="{00000000-0005-0000-0000-000051000000}"/>
    <cellStyle name="60% - Accent2 2" xfId="84" xr:uid="{00000000-0005-0000-0000-000053000000}"/>
    <cellStyle name="60% - Accent3 2" xfId="86" xr:uid="{00000000-0005-0000-0000-000055000000}"/>
    <cellStyle name="60% - Accent4 2" xfId="88" xr:uid="{00000000-0005-0000-0000-000057000000}"/>
    <cellStyle name="60% - Accent5 2" xfId="90" xr:uid="{00000000-0005-0000-0000-000059000000}"/>
    <cellStyle name="60% - Accent6 2" xfId="92" xr:uid="{00000000-0005-0000-0000-00005B000000}"/>
    <cellStyle name="60% - Accent6 3" xfId="93" xr:uid="{00000000-0005-0000-0000-00005C000000}"/>
    <cellStyle name="60% - Akzent1" xfId="94" xr:uid="{00000000-0005-0000-0000-00005D000000}"/>
    <cellStyle name="60% - Akzent2" xfId="95" xr:uid="{00000000-0005-0000-0000-00005E000000}"/>
    <cellStyle name="60% - Akzent3" xfId="96" xr:uid="{00000000-0005-0000-0000-00005F000000}"/>
    <cellStyle name="60% - Akzent4" xfId="97" xr:uid="{00000000-0005-0000-0000-000060000000}"/>
    <cellStyle name="60% - Akzent5" xfId="98" xr:uid="{00000000-0005-0000-0000-000061000000}"/>
    <cellStyle name="60% - Akzent6" xfId="99" xr:uid="{00000000-0005-0000-0000-000062000000}"/>
    <cellStyle name="60% - Énfasis1" xfId="80" builtinId="32" customBuiltin="1"/>
    <cellStyle name="60% - Énfasis2" xfId="83" builtinId="36" customBuiltin="1"/>
    <cellStyle name="60% - Énfasis3" xfId="85" builtinId="40" customBuiltin="1"/>
    <cellStyle name="60% - Énfasis4" xfId="87" builtinId="44" customBuiltin="1"/>
    <cellStyle name="60% - Énfasis5" xfId="89" builtinId="48" customBuiltin="1"/>
    <cellStyle name="60% - Énfasis6" xfId="91" builtinId="52" customBuiltin="1"/>
    <cellStyle name="Accent1 2" xfId="101" xr:uid="{00000000-0005-0000-0000-000064000000}"/>
    <cellStyle name="Accent1 3" xfId="102" xr:uid="{00000000-0005-0000-0000-000065000000}"/>
    <cellStyle name="Accent2 2" xfId="104" xr:uid="{00000000-0005-0000-0000-000067000000}"/>
    <cellStyle name="Accent3 2" xfId="106" xr:uid="{00000000-0005-0000-0000-000069000000}"/>
    <cellStyle name="Accent4 2" xfId="108" xr:uid="{00000000-0005-0000-0000-00006B000000}"/>
    <cellStyle name="Accent4 3" xfId="109" xr:uid="{00000000-0005-0000-0000-00006C000000}"/>
    <cellStyle name="Accent5 2" xfId="111" xr:uid="{00000000-0005-0000-0000-00006E000000}"/>
    <cellStyle name="Accent6 2" xfId="113" xr:uid="{00000000-0005-0000-0000-000070000000}"/>
    <cellStyle name="Akzent1" xfId="114" xr:uid="{00000000-0005-0000-0000-000071000000}"/>
    <cellStyle name="Akzent2" xfId="115" xr:uid="{00000000-0005-0000-0000-000072000000}"/>
    <cellStyle name="Akzent3" xfId="116" xr:uid="{00000000-0005-0000-0000-000073000000}"/>
    <cellStyle name="Akzent4" xfId="117" xr:uid="{00000000-0005-0000-0000-000074000000}"/>
    <cellStyle name="Akzent5" xfId="118" xr:uid="{00000000-0005-0000-0000-000075000000}"/>
    <cellStyle name="Akzent6" xfId="119" xr:uid="{00000000-0005-0000-0000-000076000000}"/>
    <cellStyle name="Ausgabe" xfId="120" xr:uid="{00000000-0005-0000-0000-000077000000}"/>
    <cellStyle name="Ausgabe 10" xfId="121" xr:uid="{00000000-0005-0000-0000-000078000000}"/>
    <cellStyle name="Ausgabe 11" xfId="122" xr:uid="{00000000-0005-0000-0000-000079000000}"/>
    <cellStyle name="Ausgabe 2" xfId="123" xr:uid="{00000000-0005-0000-0000-00007A000000}"/>
    <cellStyle name="Ausgabe 3" xfId="124" xr:uid="{00000000-0005-0000-0000-00007B000000}"/>
    <cellStyle name="Ausgabe 4" xfId="125" xr:uid="{00000000-0005-0000-0000-00007C000000}"/>
    <cellStyle name="Ausgabe 5" xfId="126" xr:uid="{00000000-0005-0000-0000-00007D000000}"/>
    <cellStyle name="Ausgabe 6" xfId="127" xr:uid="{00000000-0005-0000-0000-00007E000000}"/>
    <cellStyle name="Ausgabe 7" xfId="128" xr:uid="{00000000-0005-0000-0000-00007F000000}"/>
    <cellStyle name="Ausgabe 8" xfId="129" xr:uid="{00000000-0005-0000-0000-000080000000}"/>
    <cellStyle name="Ausgabe 9" xfId="130" xr:uid="{00000000-0005-0000-0000-000081000000}"/>
    <cellStyle name="Bad 2" xfId="132" xr:uid="{00000000-0005-0000-0000-000083000000}"/>
    <cellStyle name="Berechnung" xfId="133" xr:uid="{00000000-0005-0000-0000-000084000000}"/>
    <cellStyle name="Berechnung 10" xfId="134" xr:uid="{00000000-0005-0000-0000-000085000000}"/>
    <cellStyle name="Berechnung 11" xfId="135" xr:uid="{00000000-0005-0000-0000-000086000000}"/>
    <cellStyle name="Berechnung 2" xfId="136" xr:uid="{00000000-0005-0000-0000-000087000000}"/>
    <cellStyle name="Berechnung 3" xfId="137" xr:uid="{00000000-0005-0000-0000-000088000000}"/>
    <cellStyle name="Berechnung 4" xfId="138" xr:uid="{00000000-0005-0000-0000-000089000000}"/>
    <cellStyle name="Berechnung 5" xfId="139" xr:uid="{00000000-0005-0000-0000-00008A000000}"/>
    <cellStyle name="Berechnung 6" xfId="140" xr:uid="{00000000-0005-0000-0000-00008B000000}"/>
    <cellStyle name="Berechnung 7" xfId="141" xr:uid="{00000000-0005-0000-0000-00008C000000}"/>
    <cellStyle name="Berechnung 8" xfId="142" xr:uid="{00000000-0005-0000-0000-00008D000000}"/>
    <cellStyle name="Berechnung 9" xfId="143" xr:uid="{00000000-0005-0000-0000-00008E000000}"/>
    <cellStyle name="Bueno" xfId="870" builtinId="26" customBuiltin="1"/>
    <cellStyle name="Calculation 2" xfId="145" xr:uid="{00000000-0005-0000-0000-000090000000}"/>
    <cellStyle name="Calculation 3" xfId="146" xr:uid="{00000000-0005-0000-0000-000091000000}"/>
    <cellStyle name="Cálculo" xfId="144" builtinId="22" customBuiltin="1"/>
    <cellStyle name="Celda de comprobación" xfId="148" builtinId="23" customBuiltin="1"/>
    <cellStyle name="Celda vinculada" xfId="913" builtinId="24" customBuiltin="1"/>
    <cellStyle name="Century" xfId="147" xr:uid="{00000000-0005-0000-0000-000092000000}"/>
    <cellStyle name="Check Cell 2" xfId="149" xr:uid="{00000000-0005-0000-0000-000094000000}"/>
    <cellStyle name="Comma [0] 10" xfId="151" xr:uid="{00000000-0005-0000-0000-000096000000}"/>
    <cellStyle name="Comma [0] 12" xfId="152" xr:uid="{00000000-0005-0000-0000-000097000000}"/>
    <cellStyle name="Comma [0] 2" xfId="153" xr:uid="{00000000-0005-0000-0000-000098000000}"/>
    <cellStyle name="Comma [0] 2 2" xfId="154" xr:uid="{00000000-0005-0000-0000-000099000000}"/>
    <cellStyle name="Comma [0] 3" xfId="155" xr:uid="{00000000-0005-0000-0000-00009A000000}"/>
    <cellStyle name="Comma [0] 4" xfId="156" xr:uid="{00000000-0005-0000-0000-00009B000000}"/>
    <cellStyle name="Comma 10" xfId="157" xr:uid="{00000000-0005-0000-0000-00009C000000}"/>
    <cellStyle name="Comma 10 2" xfId="158" xr:uid="{00000000-0005-0000-0000-00009D000000}"/>
    <cellStyle name="Comma 10 3" xfId="159" xr:uid="{00000000-0005-0000-0000-00009E000000}"/>
    <cellStyle name="Comma 11" xfId="160" xr:uid="{00000000-0005-0000-0000-00009F000000}"/>
    <cellStyle name="Comma 11 2" xfId="161" xr:uid="{00000000-0005-0000-0000-0000A0000000}"/>
    <cellStyle name="Comma 11 3" xfId="162" xr:uid="{00000000-0005-0000-0000-0000A1000000}"/>
    <cellStyle name="Comma 12" xfId="163" xr:uid="{00000000-0005-0000-0000-0000A2000000}"/>
    <cellStyle name="Comma 13" xfId="164" xr:uid="{00000000-0005-0000-0000-0000A3000000}"/>
    <cellStyle name="Comma 13 2" xfId="165" xr:uid="{00000000-0005-0000-0000-0000A4000000}"/>
    <cellStyle name="Comma 13 3" xfId="166" xr:uid="{00000000-0005-0000-0000-0000A5000000}"/>
    <cellStyle name="Comma 14" xfId="167" xr:uid="{00000000-0005-0000-0000-0000A6000000}"/>
    <cellStyle name="Comma 14 2" xfId="168" xr:uid="{00000000-0005-0000-0000-0000A7000000}"/>
    <cellStyle name="Comma 15" xfId="169" xr:uid="{00000000-0005-0000-0000-0000A8000000}"/>
    <cellStyle name="Comma 15 2" xfId="170" xr:uid="{00000000-0005-0000-0000-0000A9000000}"/>
    <cellStyle name="Comma 16" xfId="171" xr:uid="{00000000-0005-0000-0000-0000AA000000}"/>
    <cellStyle name="Comma 17" xfId="172" xr:uid="{00000000-0005-0000-0000-0000AB000000}"/>
    <cellStyle name="Comma 18" xfId="173" xr:uid="{00000000-0005-0000-0000-0000AC000000}"/>
    <cellStyle name="Comma 19" xfId="174" xr:uid="{00000000-0005-0000-0000-0000AD000000}"/>
    <cellStyle name="Comma 2" xfId="175" xr:uid="{00000000-0005-0000-0000-0000AE000000}"/>
    <cellStyle name="Comma 2 10" xfId="176" xr:uid="{00000000-0005-0000-0000-0000AF000000}"/>
    <cellStyle name="Comma 2 10 2" xfId="177" xr:uid="{00000000-0005-0000-0000-0000B0000000}"/>
    <cellStyle name="Comma 2 11" xfId="178" xr:uid="{00000000-0005-0000-0000-0000B1000000}"/>
    <cellStyle name="Comma 2 11 2" xfId="179" xr:uid="{00000000-0005-0000-0000-0000B2000000}"/>
    <cellStyle name="Comma 2 12" xfId="180" xr:uid="{00000000-0005-0000-0000-0000B3000000}"/>
    <cellStyle name="Comma 2 12 2" xfId="181" xr:uid="{00000000-0005-0000-0000-0000B4000000}"/>
    <cellStyle name="Comma 2 13" xfId="182" xr:uid="{00000000-0005-0000-0000-0000B5000000}"/>
    <cellStyle name="Comma 2 13 2" xfId="183" xr:uid="{00000000-0005-0000-0000-0000B6000000}"/>
    <cellStyle name="Comma 2 14" xfId="184" xr:uid="{00000000-0005-0000-0000-0000B7000000}"/>
    <cellStyle name="Comma 2 14 2" xfId="185" xr:uid="{00000000-0005-0000-0000-0000B8000000}"/>
    <cellStyle name="Comma 2 15" xfId="186" xr:uid="{00000000-0005-0000-0000-0000B9000000}"/>
    <cellStyle name="Comma 2 15 2" xfId="187" xr:uid="{00000000-0005-0000-0000-0000BA000000}"/>
    <cellStyle name="Comma 2 15 2 2" xfId="188" xr:uid="{00000000-0005-0000-0000-0000BB000000}"/>
    <cellStyle name="Comma 2 15 2 3" xfId="189" xr:uid="{00000000-0005-0000-0000-0000BC000000}"/>
    <cellStyle name="Comma 2 16" xfId="190" xr:uid="{00000000-0005-0000-0000-0000BD000000}"/>
    <cellStyle name="Comma 2 17" xfId="191" xr:uid="{00000000-0005-0000-0000-0000BE000000}"/>
    <cellStyle name="Comma 2 18" xfId="192" xr:uid="{00000000-0005-0000-0000-0000BF000000}"/>
    <cellStyle name="Comma 2 19" xfId="193" xr:uid="{00000000-0005-0000-0000-0000C0000000}"/>
    <cellStyle name="Comma 2 2" xfId="194" xr:uid="{00000000-0005-0000-0000-0000C1000000}"/>
    <cellStyle name="Comma 2 2 10" xfId="195" xr:uid="{00000000-0005-0000-0000-0000C2000000}"/>
    <cellStyle name="Comma 2 2 10 2" xfId="196" xr:uid="{00000000-0005-0000-0000-0000C3000000}"/>
    <cellStyle name="Comma 2 2 11" xfId="197" xr:uid="{00000000-0005-0000-0000-0000C4000000}"/>
    <cellStyle name="Comma 2 2 11 2" xfId="198" xr:uid="{00000000-0005-0000-0000-0000C5000000}"/>
    <cellStyle name="Comma 2 2 12" xfId="199" xr:uid="{00000000-0005-0000-0000-0000C6000000}"/>
    <cellStyle name="Comma 2 2 12 2" xfId="200" xr:uid="{00000000-0005-0000-0000-0000C7000000}"/>
    <cellStyle name="Comma 2 2 13" xfId="201" xr:uid="{00000000-0005-0000-0000-0000C8000000}"/>
    <cellStyle name="Comma 2 2 13 2" xfId="202" xr:uid="{00000000-0005-0000-0000-0000C9000000}"/>
    <cellStyle name="Comma 2 2 14" xfId="203" xr:uid="{00000000-0005-0000-0000-0000CA000000}"/>
    <cellStyle name="Comma 2 2 15" xfId="204" xr:uid="{00000000-0005-0000-0000-0000CB000000}"/>
    <cellStyle name="Comma 2 2 15 2" xfId="205" xr:uid="{00000000-0005-0000-0000-0000CC000000}"/>
    <cellStyle name="Comma 2 2 16" xfId="206" xr:uid="{00000000-0005-0000-0000-0000CD000000}"/>
    <cellStyle name="Comma 2 2 17" xfId="207" xr:uid="{00000000-0005-0000-0000-0000CE000000}"/>
    <cellStyle name="Comma 2 2 18" xfId="208" xr:uid="{00000000-0005-0000-0000-0000CF000000}"/>
    <cellStyle name="Comma 2 2 2" xfId="209" xr:uid="{00000000-0005-0000-0000-0000D0000000}"/>
    <cellStyle name="Comma 2 2 2 2" xfId="210" xr:uid="{00000000-0005-0000-0000-0000D1000000}"/>
    <cellStyle name="Comma 2 2 2 2 2" xfId="211" xr:uid="{00000000-0005-0000-0000-0000D2000000}"/>
    <cellStyle name="Comma 2 2 2 3" xfId="212" xr:uid="{00000000-0005-0000-0000-0000D3000000}"/>
    <cellStyle name="Comma 2 2 2 3 2" xfId="213" xr:uid="{00000000-0005-0000-0000-0000D4000000}"/>
    <cellStyle name="Comma 2 2 2 4" xfId="214" xr:uid="{00000000-0005-0000-0000-0000D5000000}"/>
    <cellStyle name="Comma 2 2 2 4 2" xfId="215" xr:uid="{00000000-0005-0000-0000-0000D6000000}"/>
    <cellStyle name="Comma 2 2 2 5" xfId="216" xr:uid="{00000000-0005-0000-0000-0000D7000000}"/>
    <cellStyle name="Comma 2 2 2 5 2" xfId="217" xr:uid="{00000000-0005-0000-0000-0000D8000000}"/>
    <cellStyle name="Comma 2 2 2 6" xfId="218" xr:uid="{00000000-0005-0000-0000-0000D9000000}"/>
    <cellStyle name="Comma 2 2 2 6 2" xfId="219" xr:uid="{00000000-0005-0000-0000-0000DA000000}"/>
    <cellStyle name="Comma 2 2 2 7" xfId="220" xr:uid="{00000000-0005-0000-0000-0000DB000000}"/>
    <cellStyle name="Comma 2 2 3" xfId="221" xr:uid="{00000000-0005-0000-0000-0000DC000000}"/>
    <cellStyle name="Comma 2 2 3 2" xfId="222" xr:uid="{00000000-0005-0000-0000-0000DD000000}"/>
    <cellStyle name="Comma 2 2 3 2 2" xfId="223" xr:uid="{00000000-0005-0000-0000-0000DE000000}"/>
    <cellStyle name="Comma 2 2 3 3" xfId="224" xr:uid="{00000000-0005-0000-0000-0000DF000000}"/>
    <cellStyle name="Comma 2 2 3 3 2" xfId="225" xr:uid="{00000000-0005-0000-0000-0000E0000000}"/>
    <cellStyle name="Comma 2 2 3 4" xfId="226" xr:uid="{00000000-0005-0000-0000-0000E1000000}"/>
    <cellStyle name="Comma 2 2 3 4 2" xfId="227" xr:uid="{00000000-0005-0000-0000-0000E2000000}"/>
    <cellStyle name="Comma 2 2 3 5" xfId="228" xr:uid="{00000000-0005-0000-0000-0000E3000000}"/>
    <cellStyle name="Comma 2 2 3 5 2" xfId="229" xr:uid="{00000000-0005-0000-0000-0000E4000000}"/>
    <cellStyle name="Comma 2 2 3 6" xfId="230" xr:uid="{00000000-0005-0000-0000-0000E5000000}"/>
    <cellStyle name="Comma 2 2 3 6 2" xfId="231" xr:uid="{00000000-0005-0000-0000-0000E6000000}"/>
    <cellStyle name="Comma 2 2 3 7" xfId="232" xr:uid="{00000000-0005-0000-0000-0000E7000000}"/>
    <cellStyle name="Comma 2 2 4" xfId="233" xr:uid="{00000000-0005-0000-0000-0000E8000000}"/>
    <cellStyle name="Comma 2 2 4 2" xfId="234" xr:uid="{00000000-0005-0000-0000-0000E9000000}"/>
    <cellStyle name="Comma 2 2 5" xfId="235" xr:uid="{00000000-0005-0000-0000-0000EA000000}"/>
    <cellStyle name="Comma 2 2 5 2" xfId="236" xr:uid="{00000000-0005-0000-0000-0000EB000000}"/>
    <cellStyle name="Comma 2 2 6" xfId="237" xr:uid="{00000000-0005-0000-0000-0000EC000000}"/>
    <cellStyle name="Comma 2 2 6 2" xfId="238" xr:uid="{00000000-0005-0000-0000-0000ED000000}"/>
    <cellStyle name="Comma 2 2 7" xfId="239" xr:uid="{00000000-0005-0000-0000-0000EE000000}"/>
    <cellStyle name="Comma 2 2 7 2" xfId="240" xr:uid="{00000000-0005-0000-0000-0000EF000000}"/>
    <cellStyle name="Comma 2 2 8" xfId="241" xr:uid="{00000000-0005-0000-0000-0000F0000000}"/>
    <cellStyle name="Comma 2 2 8 2" xfId="242" xr:uid="{00000000-0005-0000-0000-0000F1000000}"/>
    <cellStyle name="Comma 2 2 9" xfId="243" xr:uid="{00000000-0005-0000-0000-0000F2000000}"/>
    <cellStyle name="Comma 2 2 9 2" xfId="244" xr:uid="{00000000-0005-0000-0000-0000F3000000}"/>
    <cellStyle name="Comma 2 2_Form 1-2012" xfId="245" xr:uid="{00000000-0005-0000-0000-0000F4000000}"/>
    <cellStyle name="Comma 2 20" xfId="246" xr:uid="{00000000-0005-0000-0000-0000F5000000}"/>
    <cellStyle name="Comma 2 21" xfId="247" xr:uid="{00000000-0005-0000-0000-0000F6000000}"/>
    <cellStyle name="Comma 2 22" xfId="248" xr:uid="{00000000-0005-0000-0000-0000F7000000}"/>
    <cellStyle name="Comma 2 23" xfId="249" xr:uid="{00000000-0005-0000-0000-0000F8000000}"/>
    <cellStyle name="Comma 2 24" xfId="250" xr:uid="{00000000-0005-0000-0000-0000F9000000}"/>
    <cellStyle name="Comma 2 25" xfId="251" xr:uid="{00000000-0005-0000-0000-0000FA000000}"/>
    <cellStyle name="Comma 2 26" xfId="252" xr:uid="{00000000-0005-0000-0000-0000FB000000}"/>
    <cellStyle name="Comma 2 27" xfId="253" xr:uid="{00000000-0005-0000-0000-0000FC000000}"/>
    <cellStyle name="Comma 2 28" xfId="254" xr:uid="{00000000-0005-0000-0000-0000FD000000}"/>
    <cellStyle name="Comma 2 29" xfId="255" xr:uid="{00000000-0005-0000-0000-0000FE000000}"/>
    <cellStyle name="Comma 2 3" xfId="256" xr:uid="{00000000-0005-0000-0000-0000FF000000}"/>
    <cellStyle name="Comma 2 3 2" xfId="257" xr:uid="{00000000-0005-0000-0000-000000010000}"/>
    <cellStyle name="Comma 2 3 2 2" xfId="258" xr:uid="{00000000-0005-0000-0000-000001010000}"/>
    <cellStyle name="Comma 2 3 3" xfId="259" xr:uid="{00000000-0005-0000-0000-000002010000}"/>
    <cellStyle name="Comma 2 3 3 2" xfId="260" xr:uid="{00000000-0005-0000-0000-000003010000}"/>
    <cellStyle name="Comma 2 3 4" xfId="261" xr:uid="{00000000-0005-0000-0000-000004010000}"/>
    <cellStyle name="Comma 2 3 4 2" xfId="262" xr:uid="{00000000-0005-0000-0000-000005010000}"/>
    <cellStyle name="Comma 2 3 5" xfId="263" xr:uid="{00000000-0005-0000-0000-000006010000}"/>
    <cellStyle name="Comma 2 3 5 2" xfId="264" xr:uid="{00000000-0005-0000-0000-000007010000}"/>
    <cellStyle name="Comma 2 3 6" xfId="265" xr:uid="{00000000-0005-0000-0000-000008010000}"/>
    <cellStyle name="Comma 2 3 6 2" xfId="266" xr:uid="{00000000-0005-0000-0000-000009010000}"/>
    <cellStyle name="Comma 2 3 7" xfId="267" xr:uid="{00000000-0005-0000-0000-00000A010000}"/>
    <cellStyle name="Comma 2 3 8" xfId="268" xr:uid="{00000000-0005-0000-0000-00000B010000}"/>
    <cellStyle name="Comma 2 30" xfId="269" xr:uid="{00000000-0005-0000-0000-00000C010000}"/>
    <cellStyle name="Comma 2 31" xfId="270" xr:uid="{00000000-0005-0000-0000-00000D010000}"/>
    <cellStyle name="Comma 2 32" xfId="271" xr:uid="{00000000-0005-0000-0000-00000E010000}"/>
    <cellStyle name="Comma 2 33" xfId="272" xr:uid="{00000000-0005-0000-0000-00000F010000}"/>
    <cellStyle name="Comma 2 34" xfId="273" xr:uid="{00000000-0005-0000-0000-000010010000}"/>
    <cellStyle name="Comma 2 4" xfId="274" xr:uid="{00000000-0005-0000-0000-000011010000}"/>
    <cellStyle name="Comma 2 4 2" xfId="275" xr:uid="{00000000-0005-0000-0000-000012010000}"/>
    <cellStyle name="Comma 2 4 2 2" xfId="276" xr:uid="{00000000-0005-0000-0000-000013010000}"/>
    <cellStyle name="Comma 2 4 3" xfId="277" xr:uid="{00000000-0005-0000-0000-000014010000}"/>
    <cellStyle name="Comma 2 4 3 2" xfId="278" xr:uid="{00000000-0005-0000-0000-000015010000}"/>
    <cellStyle name="Comma 2 4 4" xfId="279" xr:uid="{00000000-0005-0000-0000-000016010000}"/>
    <cellStyle name="Comma 2 4 4 2" xfId="280" xr:uid="{00000000-0005-0000-0000-000017010000}"/>
    <cellStyle name="Comma 2 4 5" xfId="281" xr:uid="{00000000-0005-0000-0000-000018010000}"/>
    <cellStyle name="Comma 2 4 5 2" xfId="282" xr:uid="{00000000-0005-0000-0000-000019010000}"/>
    <cellStyle name="Comma 2 4 6" xfId="283" xr:uid="{00000000-0005-0000-0000-00001A010000}"/>
    <cellStyle name="Comma 2 4 6 2" xfId="284" xr:uid="{00000000-0005-0000-0000-00001B010000}"/>
    <cellStyle name="Comma 2 4 7" xfId="285" xr:uid="{00000000-0005-0000-0000-00001C010000}"/>
    <cellStyle name="Comma 2 4 8" xfId="286" xr:uid="{00000000-0005-0000-0000-00001D010000}"/>
    <cellStyle name="Comma 2 5" xfId="287" xr:uid="{00000000-0005-0000-0000-00001E010000}"/>
    <cellStyle name="Comma 2 5 2" xfId="288" xr:uid="{00000000-0005-0000-0000-00001F010000}"/>
    <cellStyle name="Comma 2 6" xfId="289" xr:uid="{00000000-0005-0000-0000-000020010000}"/>
    <cellStyle name="Comma 2 6 2" xfId="290" xr:uid="{00000000-0005-0000-0000-000021010000}"/>
    <cellStyle name="Comma 2 7" xfId="291" xr:uid="{00000000-0005-0000-0000-000022010000}"/>
    <cellStyle name="Comma 2 7 2" xfId="292" xr:uid="{00000000-0005-0000-0000-000023010000}"/>
    <cellStyle name="Comma 2 8" xfId="293" xr:uid="{00000000-0005-0000-0000-000024010000}"/>
    <cellStyle name="Comma 2 8 2" xfId="294" xr:uid="{00000000-0005-0000-0000-000025010000}"/>
    <cellStyle name="Comma 2 9" xfId="295" xr:uid="{00000000-0005-0000-0000-000026010000}"/>
    <cellStyle name="Comma 2 9 2" xfId="296" xr:uid="{00000000-0005-0000-0000-000027010000}"/>
    <cellStyle name="Comma 2_Form 1-2012" xfId="297" xr:uid="{00000000-0005-0000-0000-000028010000}"/>
    <cellStyle name="Comma 20" xfId="298" xr:uid="{00000000-0005-0000-0000-000029010000}"/>
    <cellStyle name="Comma 20 2" xfId="299" xr:uid="{00000000-0005-0000-0000-00002A010000}"/>
    <cellStyle name="Comma 21" xfId="300" xr:uid="{00000000-0005-0000-0000-00002B010000}"/>
    <cellStyle name="Comma 22" xfId="301" xr:uid="{00000000-0005-0000-0000-00002C010000}"/>
    <cellStyle name="Comma 23" xfId="302" xr:uid="{00000000-0005-0000-0000-00002D010000}"/>
    <cellStyle name="Comma 24" xfId="303" xr:uid="{00000000-0005-0000-0000-00002E010000}"/>
    <cellStyle name="Comma 25" xfId="304" xr:uid="{00000000-0005-0000-0000-00002F010000}"/>
    <cellStyle name="Comma 26" xfId="305" xr:uid="{00000000-0005-0000-0000-000030010000}"/>
    <cellStyle name="Comma 27" xfId="306" xr:uid="{00000000-0005-0000-0000-000031010000}"/>
    <cellStyle name="Comma 28" xfId="307" xr:uid="{00000000-0005-0000-0000-000032010000}"/>
    <cellStyle name="Comma 29" xfId="308" xr:uid="{00000000-0005-0000-0000-000033010000}"/>
    <cellStyle name="Comma 3" xfId="309" xr:uid="{00000000-0005-0000-0000-000034010000}"/>
    <cellStyle name="Comma 3 10" xfId="310" xr:uid="{00000000-0005-0000-0000-000035010000}"/>
    <cellStyle name="Comma 3 10 2" xfId="311" xr:uid="{00000000-0005-0000-0000-000036010000}"/>
    <cellStyle name="Comma 3 11" xfId="312" xr:uid="{00000000-0005-0000-0000-000037010000}"/>
    <cellStyle name="Comma 3 11 2" xfId="313" xr:uid="{00000000-0005-0000-0000-000038010000}"/>
    <cellStyle name="Comma 3 12" xfId="314" xr:uid="{00000000-0005-0000-0000-000039010000}"/>
    <cellStyle name="Comma 3 12 2" xfId="315" xr:uid="{00000000-0005-0000-0000-00003A010000}"/>
    <cellStyle name="Comma 3 13" xfId="316" xr:uid="{00000000-0005-0000-0000-00003B010000}"/>
    <cellStyle name="Comma 3 13 2" xfId="317" xr:uid="{00000000-0005-0000-0000-00003C010000}"/>
    <cellStyle name="Comma 3 14" xfId="318" xr:uid="{00000000-0005-0000-0000-00003D010000}"/>
    <cellStyle name="Comma 3 15" xfId="319" xr:uid="{00000000-0005-0000-0000-00003E010000}"/>
    <cellStyle name="Comma 3 16" xfId="320" xr:uid="{00000000-0005-0000-0000-00003F010000}"/>
    <cellStyle name="Comma 3 17" xfId="321" xr:uid="{00000000-0005-0000-0000-000040010000}"/>
    <cellStyle name="Comma 3 18" xfId="322" xr:uid="{00000000-0005-0000-0000-000041010000}"/>
    <cellStyle name="Comma 3 19" xfId="323" xr:uid="{00000000-0005-0000-0000-000042010000}"/>
    <cellStyle name="Comma 3 2" xfId="324" xr:uid="{00000000-0005-0000-0000-000043010000}"/>
    <cellStyle name="Comma 3 2 2" xfId="325" xr:uid="{00000000-0005-0000-0000-000044010000}"/>
    <cellStyle name="Comma 3 2 2 2" xfId="326" xr:uid="{00000000-0005-0000-0000-000045010000}"/>
    <cellStyle name="Comma 3 2 3" xfId="327" xr:uid="{00000000-0005-0000-0000-000046010000}"/>
    <cellStyle name="Comma 3 2 3 2" xfId="328" xr:uid="{00000000-0005-0000-0000-000047010000}"/>
    <cellStyle name="Comma 3 2 4" xfId="329" xr:uid="{00000000-0005-0000-0000-000048010000}"/>
    <cellStyle name="Comma 3 2 4 2" xfId="330" xr:uid="{00000000-0005-0000-0000-000049010000}"/>
    <cellStyle name="Comma 3 2 5" xfId="331" xr:uid="{00000000-0005-0000-0000-00004A010000}"/>
    <cellStyle name="Comma 3 2 5 2" xfId="332" xr:uid="{00000000-0005-0000-0000-00004B010000}"/>
    <cellStyle name="Comma 3 2 6" xfId="333" xr:uid="{00000000-0005-0000-0000-00004C010000}"/>
    <cellStyle name="Comma 3 2 6 2" xfId="334" xr:uid="{00000000-0005-0000-0000-00004D010000}"/>
    <cellStyle name="Comma 3 2 7" xfId="335" xr:uid="{00000000-0005-0000-0000-00004E010000}"/>
    <cellStyle name="Comma 3 2 8" xfId="336" xr:uid="{00000000-0005-0000-0000-00004F010000}"/>
    <cellStyle name="Comma 3 3" xfId="337" xr:uid="{00000000-0005-0000-0000-000050010000}"/>
    <cellStyle name="Comma 3 3 2" xfId="338" xr:uid="{00000000-0005-0000-0000-000051010000}"/>
    <cellStyle name="Comma 3 3 2 2" xfId="339" xr:uid="{00000000-0005-0000-0000-000052010000}"/>
    <cellStyle name="Comma 3 3 3" xfId="340" xr:uid="{00000000-0005-0000-0000-000053010000}"/>
    <cellStyle name="Comma 3 3 3 2" xfId="341" xr:uid="{00000000-0005-0000-0000-000054010000}"/>
    <cellStyle name="Comma 3 3 4" xfId="342" xr:uid="{00000000-0005-0000-0000-000055010000}"/>
    <cellStyle name="Comma 3 3 4 2" xfId="343" xr:uid="{00000000-0005-0000-0000-000056010000}"/>
    <cellStyle name="Comma 3 3 5" xfId="344" xr:uid="{00000000-0005-0000-0000-000057010000}"/>
    <cellStyle name="Comma 3 3 5 2" xfId="345" xr:uid="{00000000-0005-0000-0000-000058010000}"/>
    <cellStyle name="Comma 3 3 6" xfId="346" xr:uid="{00000000-0005-0000-0000-000059010000}"/>
    <cellStyle name="Comma 3 3 6 2" xfId="347" xr:uid="{00000000-0005-0000-0000-00005A010000}"/>
    <cellStyle name="Comma 3 3 7" xfId="348" xr:uid="{00000000-0005-0000-0000-00005B010000}"/>
    <cellStyle name="Comma 3 4" xfId="349" xr:uid="{00000000-0005-0000-0000-00005C010000}"/>
    <cellStyle name="Comma 3 4 2" xfId="350" xr:uid="{00000000-0005-0000-0000-00005D010000}"/>
    <cellStyle name="Comma 3 5" xfId="351" xr:uid="{00000000-0005-0000-0000-00005E010000}"/>
    <cellStyle name="Comma 3 5 2" xfId="352" xr:uid="{00000000-0005-0000-0000-00005F010000}"/>
    <cellStyle name="Comma 3 6" xfId="353" xr:uid="{00000000-0005-0000-0000-000060010000}"/>
    <cellStyle name="Comma 3 6 2" xfId="354" xr:uid="{00000000-0005-0000-0000-000061010000}"/>
    <cellStyle name="Comma 3 7" xfId="355" xr:uid="{00000000-0005-0000-0000-000062010000}"/>
    <cellStyle name="Comma 3 7 2" xfId="356" xr:uid="{00000000-0005-0000-0000-000063010000}"/>
    <cellStyle name="Comma 3 8" xfId="357" xr:uid="{00000000-0005-0000-0000-000064010000}"/>
    <cellStyle name="Comma 3 8 2" xfId="358" xr:uid="{00000000-0005-0000-0000-000065010000}"/>
    <cellStyle name="Comma 3 9" xfId="359" xr:uid="{00000000-0005-0000-0000-000066010000}"/>
    <cellStyle name="Comma 3 9 2" xfId="360" xr:uid="{00000000-0005-0000-0000-000067010000}"/>
    <cellStyle name="Comma 30" xfId="361" xr:uid="{00000000-0005-0000-0000-000068010000}"/>
    <cellStyle name="Comma 31" xfId="362" xr:uid="{00000000-0005-0000-0000-000069010000}"/>
    <cellStyle name="Comma 32" xfId="363" xr:uid="{00000000-0005-0000-0000-00006A010000}"/>
    <cellStyle name="Comma 33" xfId="364" xr:uid="{00000000-0005-0000-0000-00006B010000}"/>
    <cellStyle name="Comma 34" xfId="365" xr:uid="{00000000-0005-0000-0000-00006C010000}"/>
    <cellStyle name="Comma 35" xfId="366" xr:uid="{00000000-0005-0000-0000-00006D010000}"/>
    <cellStyle name="Comma 36" xfId="367" xr:uid="{00000000-0005-0000-0000-00006E010000}"/>
    <cellStyle name="Comma 37" xfId="368" xr:uid="{00000000-0005-0000-0000-00006F010000}"/>
    <cellStyle name="Comma 38" xfId="369" xr:uid="{00000000-0005-0000-0000-000070010000}"/>
    <cellStyle name="Comma 39" xfId="370" xr:uid="{00000000-0005-0000-0000-000071010000}"/>
    <cellStyle name="Comma 4" xfId="371" xr:uid="{00000000-0005-0000-0000-000072010000}"/>
    <cellStyle name="Comma 4 2" xfId="372" xr:uid="{00000000-0005-0000-0000-000073010000}"/>
    <cellStyle name="Comma 4 2 2" xfId="373" xr:uid="{00000000-0005-0000-0000-000074010000}"/>
    <cellStyle name="Comma 4 2 3" xfId="374" xr:uid="{00000000-0005-0000-0000-000075010000}"/>
    <cellStyle name="Comma 4 3" xfId="375" xr:uid="{00000000-0005-0000-0000-000076010000}"/>
    <cellStyle name="Comma 4 4" xfId="376" xr:uid="{00000000-0005-0000-0000-000077010000}"/>
    <cellStyle name="Comma 40" xfId="377" xr:uid="{00000000-0005-0000-0000-000078010000}"/>
    <cellStyle name="Comma 41" xfId="378" xr:uid="{00000000-0005-0000-0000-000079010000}"/>
    <cellStyle name="Comma 42" xfId="379" xr:uid="{00000000-0005-0000-0000-00007A010000}"/>
    <cellStyle name="Comma 43" xfId="380" xr:uid="{00000000-0005-0000-0000-00007B010000}"/>
    <cellStyle name="Comma 44" xfId="381" xr:uid="{00000000-0005-0000-0000-00007C010000}"/>
    <cellStyle name="Comma 45" xfId="382" xr:uid="{00000000-0005-0000-0000-00007D010000}"/>
    <cellStyle name="Comma 46" xfId="383" xr:uid="{00000000-0005-0000-0000-00007E010000}"/>
    <cellStyle name="Comma 47" xfId="384" xr:uid="{00000000-0005-0000-0000-00007F010000}"/>
    <cellStyle name="Comma 48" xfId="385" xr:uid="{00000000-0005-0000-0000-000080010000}"/>
    <cellStyle name="Comma 49" xfId="386" xr:uid="{00000000-0005-0000-0000-000081010000}"/>
    <cellStyle name="Comma 5" xfId="387" xr:uid="{00000000-0005-0000-0000-000082010000}"/>
    <cellStyle name="Comma 5 2" xfId="388" xr:uid="{00000000-0005-0000-0000-000083010000}"/>
    <cellStyle name="Comma 50" xfId="389" xr:uid="{00000000-0005-0000-0000-000084010000}"/>
    <cellStyle name="Comma 51" xfId="390" xr:uid="{00000000-0005-0000-0000-000085010000}"/>
    <cellStyle name="Comma 52" xfId="391" xr:uid="{00000000-0005-0000-0000-000086010000}"/>
    <cellStyle name="Comma 53" xfId="392" xr:uid="{00000000-0005-0000-0000-000087010000}"/>
    <cellStyle name="Comma 54" xfId="393" xr:uid="{00000000-0005-0000-0000-000088010000}"/>
    <cellStyle name="Comma 55" xfId="394" xr:uid="{00000000-0005-0000-0000-000089010000}"/>
    <cellStyle name="Comma 56" xfId="395" xr:uid="{00000000-0005-0000-0000-00008A010000}"/>
    <cellStyle name="Comma 57" xfId="396" xr:uid="{00000000-0005-0000-0000-00008B010000}"/>
    <cellStyle name="Comma 57 2" xfId="397" xr:uid="{00000000-0005-0000-0000-00008C010000}"/>
    <cellStyle name="Comma 58" xfId="398" xr:uid="{00000000-0005-0000-0000-00008D010000}"/>
    <cellStyle name="Comma 58 2" xfId="399" xr:uid="{00000000-0005-0000-0000-00008E010000}"/>
    <cellStyle name="Comma 59" xfId="400" xr:uid="{00000000-0005-0000-0000-00008F010000}"/>
    <cellStyle name="Comma 59 2" xfId="401" xr:uid="{00000000-0005-0000-0000-000090010000}"/>
    <cellStyle name="Comma 6" xfId="402" xr:uid="{00000000-0005-0000-0000-000091010000}"/>
    <cellStyle name="Comma 6 2" xfId="403" xr:uid="{00000000-0005-0000-0000-000092010000}"/>
    <cellStyle name="Comma 6 2 2" xfId="404" xr:uid="{00000000-0005-0000-0000-000093010000}"/>
    <cellStyle name="Comma 6 2 3" xfId="405" xr:uid="{00000000-0005-0000-0000-000094010000}"/>
    <cellStyle name="Comma 6 2 4" xfId="406" xr:uid="{00000000-0005-0000-0000-000095010000}"/>
    <cellStyle name="Comma 6 2 5" xfId="407" xr:uid="{00000000-0005-0000-0000-000096010000}"/>
    <cellStyle name="Comma 6 3" xfId="408" xr:uid="{00000000-0005-0000-0000-000097010000}"/>
    <cellStyle name="Comma 6 3 2" xfId="409" xr:uid="{00000000-0005-0000-0000-000098010000}"/>
    <cellStyle name="Comma 6 4" xfId="410" xr:uid="{00000000-0005-0000-0000-000099010000}"/>
    <cellStyle name="Comma 6 5" xfId="411" xr:uid="{00000000-0005-0000-0000-00009A010000}"/>
    <cellStyle name="Comma 60" xfId="412" xr:uid="{00000000-0005-0000-0000-00009B010000}"/>
    <cellStyle name="Comma 60 2" xfId="413" xr:uid="{00000000-0005-0000-0000-00009C010000}"/>
    <cellStyle name="Comma 61" xfId="414" xr:uid="{00000000-0005-0000-0000-00009D010000}"/>
    <cellStyle name="Comma 62" xfId="415" xr:uid="{00000000-0005-0000-0000-00009E010000}"/>
    <cellStyle name="Comma 63" xfId="416" xr:uid="{00000000-0005-0000-0000-00009F010000}"/>
    <cellStyle name="Comma 64" xfId="417" xr:uid="{00000000-0005-0000-0000-0000A0010000}"/>
    <cellStyle name="Comma 65" xfId="418" xr:uid="{00000000-0005-0000-0000-0000A1010000}"/>
    <cellStyle name="Comma 66" xfId="419" xr:uid="{00000000-0005-0000-0000-0000A2010000}"/>
    <cellStyle name="Comma 67" xfId="420" xr:uid="{00000000-0005-0000-0000-0000A3010000}"/>
    <cellStyle name="Comma 68" xfId="421" xr:uid="{00000000-0005-0000-0000-0000A4010000}"/>
    <cellStyle name="Comma 69" xfId="422" xr:uid="{00000000-0005-0000-0000-0000A5010000}"/>
    <cellStyle name="Comma 7" xfId="423" xr:uid="{00000000-0005-0000-0000-0000A6010000}"/>
    <cellStyle name="Comma 7 2" xfId="424" xr:uid="{00000000-0005-0000-0000-0000A7010000}"/>
    <cellStyle name="Comma 7 2 2" xfId="425" xr:uid="{00000000-0005-0000-0000-0000A8010000}"/>
    <cellStyle name="Comma 7 3" xfId="426" xr:uid="{00000000-0005-0000-0000-0000A9010000}"/>
    <cellStyle name="Comma 7 4" xfId="427" xr:uid="{00000000-0005-0000-0000-0000AA010000}"/>
    <cellStyle name="Comma 70" xfId="428" xr:uid="{00000000-0005-0000-0000-0000AB010000}"/>
    <cellStyle name="Comma 71" xfId="429" xr:uid="{00000000-0005-0000-0000-0000AC010000}"/>
    <cellStyle name="Comma 72" xfId="430" xr:uid="{00000000-0005-0000-0000-0000AD010000}"/>
    <cellStyle name="Comma 73" xfId="431" xr:uid="{00000000-0005-0000-0000-0000AE010000}"/>
    <cellStyle name="Comma 74" xfId="432" xr:uid="{00000000-0005-0000-0000-0000AF010000}"/>
    <cellStyle name="Comma 75" xfId="433" xr:uid="{00000000-0005-0000-0000-0000B0010000}"/>
    <cellStyle name="Comma 76" xfId="434" xr:uid="{00000000-0005-0000-0000-0000B1010000}"/>
    <cellStyle name="Comma 77" xfId="435" xr:uid="{00000000-0005-0000-0000-0000B2010000}"/>
    <cellStyle name="Comma 8" xfId="436" xr:uid="{00000000-0005-0000-0000-0000B3010000}"/>
    <cellStyle name="Comma 8 2" xfId="437" xr:uid="{00000000-0005-0000-0000-0000B4010000}"/>
    <cellStyle name="Comma 8 2 2" xfId="438" xr:uid="{00000000-0005-0000-0000-0000B5010000}"/>
    <cellStyle name="Comma 8 3" xfId="439" xr:uid="{00000000-0005-0000-0000-0000B6010000}"/>
    <cellStyle name="Comma 8 4" xfId="440" xr:uid="{00000000-0005-0000-0000-0000B7010000}"/>
    <cellStyle name="Comma 9" xfId="441" xr:uid="{00000000-0005-0000-0000-0000B8010000}"/>
    <cellStyle name="Comma 9 10" xfId="442" xr:uid="{00000000-0005-0000-0000-0000B9010000}"/>
    <cellStyle name="Comma 9 11" xfId="443" xr:uid="{00000000-0005-0000-0000-0000BA010000}"/>
    <cellStyle name="Comma 9 12" xfId="444" xr:uid="{00000000-0005-0000-0000-0000BB010000}"/>
    <cellStyle name="Comma 9 13" xfId="445" xr:uid="{00000000-0005-0000-0000-0000BC010000}"/>
    <cellStyle name="Comma 9 13 2" xfId="446" xr:uid="{00000000-0005-0000-0000-0000BD010000}"/>
    <cellStyle name="Comma 9 13 3" xfId="447" xr:uid="{00000000-0005-0000-0000-0000BE010000}"/>
    <cellStyle name="Comma 9 13 4" xfId="448" xr:uid="{00000000-0005-0000-0000-0000BF010000}"/>
    <cellStyle name="Comma 9 13 5" xfId="449" xr:uid="{00000000-0005-0000-0000-0000C0010000}"/>
    <cellStyle name="Comma 9 14" xfId="450" xr:uid="{00000000-0005-0000-0000-0000C1010000}"/>
    <cellStyle name="Comma 9 15" xfId="451" xr:uid="{00000000-0005-0000-0000-0000C2010000}"/>
    <cellStyle name="Comma 9 2" xfId="452" xr:uid="{00000000-0005-0000-0000-0000C3010000}"/>
    <cellStyle name="Comma 9 2 10" xfId="453" xr:uid="{00000000-0005-0000-0000-0000C4010000}"/>
    <cellStyle name="Comma 9 2 11" xfId="454" xr:uid="{00000000-0005-0000-0000-0000C5010000}"/>
    <cellStyle name="Comma 9 2 11 2" xfId="455" xr:uid="{00000000-0005-0000-0000-0000C6010000}"/>
    <cellStyle name="Comma 9 2 11 3" xfId="456" xr:uid="{00000000-0005-0000-0000-0000C7010000}"/>
    <cellStyle name="Comma 9 2 11 4" xfId="457" xr:uid="{00000000-0005-0000-0000-0000C8010000}"/>
    <cellStyle name="Comma 9 2 11 5" xfId="458" xr:uid="{00000000-0005-0000-0000-0000C9010000}"/>
    <cellStyle name="Comma 9 2 12" xfId="459" xr:uid="{00000000-0005-0000-0000-0000CA010000}"/>
    <cellStyle name="Comma 9 2 13" xfId="460" xr:uid="{00000000-0005-0000-0000-0000CB010000}"/>
    <cellStyle name="Comma 9 2 2" xfId="461" xr:uid="{00000000-0005-0000-0000-0000CC010000}"/>
    <cellStyle name="Comma 9 2 2 2" xfId="462" xr:uid="{00000000-0005-0000-0000-0000CD010000}"/>
    <cellStyle name="Comma 9 2 2 3" xfId="463" xr:uid="{00000000-0005-0000-0000-0000CE010000}"/>
    <cellStyle name="Comma 9 2 2 4" xfId="464" xr:uid="{00000000-0005-0000-0000-0000CF010000}"/>
    <cellStyle name="Comma 9 2 3" xfId="465" xr:uid="{00000000-0005-0000-0000-0000D0010000}"/>
    <cellStyle name="Comma 9 2 3 2" xfId="466" xr:uid="{00000000-0005-0000-0000-0000D1010000}"/>
    <cellStyle name="Comma 9 2 4" xfId="467" xr:uid="{00000000-0005-0000-0000-0000D2010000}"/>
    <cellStyle name="Comma 9 2 4 2" xfId="468" xr:uid="{00000000-0005-0000-0000-0000D3010000}"/>
    <cellStyle name="Comma 9 2 4 3" xfId="469" xr:uid="{00000000-0005-0000-0000-0000D4010000}"/>
    <cellStyle name="Comma 9 2 4 4" xfId="470" xr:uid="{00000000-0005-0000-0000-0000D5010000}"/>
    <cellStyle name="Comma 9 2 5" xfId="471" xr:uid="{00000000-0005-0000-0000-0000D6010000}"/>
    <cellStyle name="Comma 9 2 6" xfId="472" xr:uid="{00000000-0005-0000-0000-0000D7010000}"/>
    <cellStyle name="Comma 9 2 7" xfId="473" xr:uid="{00000000-0005-0000-0000-0000D8010000}"/>
    <cellStyle name="Comma 9 2 8" xfId="474" xr:uid="{00000000-0005-0000-0000-0000D9010000}"/>
    <cellStyle name="Comma 9 2 9" xfId="475" xr:uid="{00000000-0005-0000-0000-0000DA010000}"/>
    <cellStyle name="Comma 9 3" xfId="476" xr:uid="{00000000-0005-0000-0000-0000DB010000}"/>
    <cellStyle name="Comma 9 3 2" xfId="477" xr:uid="{00000000-0005-0000-0000-0000DC010000}"/>
    <cellStyle name="Comma 9 3 2 2" xfId="478" xr:uid="{00000000-0005-0000-0000-0000DD010000}"/>
    <cellStyle name="Comma 9 3 3" xfId="479" xr:uid="{00000000-0005-0000-0000-0000DE010000}"/>
    <cellStyle name="Comma 9 3 4" xfId="480" xr:uid="{00000000-0005-0000-0000-0000DF010000}"/>
    <cellStyle name="Comma 9 3 5" xfId="481" xr:uid="{00000000-0005-0000-0000-0000E0010000}"/>
    <cellStyle name="Comma 9 3 6" xfId="482" xr:uid="{00000000-0005-0000-0000-0000E1010000}"/>
    <cellStyle name="Comma 9 4" xfId="483" xr:uid="{00000000-0005-0000-0000-0000E2010000}"/>
    <cellStyle name="Comma 9 4 2" xfId="484" xr:uid="{00000000-0005-0000-0000-0000E3010000}"/>
    <cellStyle name="Comma 9 4 3" xfId="485" xr:uid="{00000000-0005-0000-0000-0000E4010000}"/>
    <cellStyle name="Comma 9 5" xfId="486" xr:uid="{00000000-0005-0000-0000-0000E5010000}"/>
    <cellStyle name="Comma 9 5 2" xfId="487" xr:uid="{00000000-0005-0000-0000-0000E6010000}"/>
    <cellStyle name="Comma 9 6" xfId="488" xr:uid="{00000000-0005-0000-0000-0000E7010000}"/>
    <cellStyle name="Comma 9 6 2" xfId="489" xr:uid="{00000000-0005-0000-0000-0000E8010000}"/>
    <cellStyle name="Comma 9 6 3" xfId="490" xr:uid="{00000000-0005-0000-0000-0000E9010000}"/>
    <cellStyle name="Comma 9 6 4" xfId="491" xr:uid="{00000000-0005-0000-0000-0000EA010000}"/>
    <cellStyle name="Comma 9 7" xfId="492" xr:uid="{00000000-0005-0000-0000-0000EB010000}"/>
    <cellStyle name="Comma 9 8" xfId="493" xr:uid="{00000000-0005-0000-0000-0000EC010000}"/>
    <cellStyle name="Comma 9 9" xfId="494" xr:uid="{00000000-0005-0000-0000-0000ED010000}"/>
    <cellStyle name="Currency 10" xfId="495" xr:uid="{00000000-0005-0000-0000-0000EE010000}"/>
    <cellStyle name="Currency 11" xfId="496" xr:uid="{00000000-0005-0000-0000-0000EF010000}"/>
    <cellStyle name="Currency 12" xfId="497" xr:uid="{00000000-0005-0000-0000-0000F0010000}"/>
    <cellStyle name="Currency 2" xfId="498" xr:uid="{00000000-0005-0000-0000-0000F1010000}"/>
    <cellStyle name="Currency 2 10" xfId="499" xr:uid="{00000000-0005-0000-0000-0000F2010000}"/>
    <cellStyle name="Currency 2 11" xfId="500" xr:uid="{00000000-0005-0000-0000-0000F3010000}"/>
    <cellStyle name="Currency 2 12" xfId="501" xr:uid="{00000000-0005-0000-0000-0000F4010000}"/>
    <cellStyle name="Currency 2 2" xfId="502" xr:uid="{00000000-0005-0000-0000-0000F5010000}"/>
    <cellStyle name="Currency 2 2 2" xfId="503" xr:uid="{00000000-0005-0000-0000-0000F6010000}"/>
    <cellStyle name="Currency 2 3" xfId="504" xr:uid="{00000000-0005-0000-0000-0000F7010000}"/>
    <cellStyle name="Currency 2 3 2" xfId="505" xr:uid="{00000000-0005-0000-0000-0000F8010000}"/>
    <cellStyle name="Currency 2 4" xfId="506" xr:uid="{00000000-0005-0000-0000-0000F9010000}"/>
    <cellStyle name="Currency 2 4 2" xfId="507" xr:uid="{00000000-0005-0000-0000-0000FA010000}"/>
    <cellStyle name="Currency 2 5" xfId="508" xr:uid="{00000000-0005-0000-0000-0000FB010000}"/>
    <cellStyle name="Currency 2 5 2" xfId="509" xr:uid="{00000000-0005-0000-0000-0000FC010000}"/>
    <cellStyle name="Currency 2 6" xfId="510" xr:uid="{00000000-0005-0000-0000-0000FD010000}"/>
    <cellStyle name="Currency 2 6 2" xfId="511" xr:uid="{00000000-0005-0000-0000-0000FE010000}"/>
    <cellStyle name="Currency 2 7" xfId="512" xr:uid="{00000000-0005-0000-0000-0000FF010000}"/>
    <cellStyle name="Currency 2 7 2" xfId="513" xr:uid="{00000000-0005-0000-0000-000000020000}"/>
    <cellStyle name="Currency 2 8" xfId="514" xr:uid="{00000000-0005-0000-0000-000001020000}"/>
    <cellStyle name="Currency 2 9" xfId="515" xr:uid="{00000000-0005-0000-0000-000002020000}"/>
    <cellStyle name="Currency 3" xfId="516" xr:uid="{00000000-0005-0000-0000-000003020000}"/>
    <cellStyle name="Currency 3 10" xfId="517" xr:uid="{00000000-0005-0000-0000-000004020000}"/>
    <cellStyle name="Currency 3 10 2" xfId="518" xr:uid="{00000000-0005-0000-0000-000005020000}"/>
    <cellStyle name="Currency 3 11" xfId="519" xr:uid="{00000000-0005-0000-0000-000006020000}"/>
    <cellStyle name="Currency 3 11 2" xfId="520" xr:uid="{00000000-0005-0000-0000-000007020000}"/>
    <cellStyle name="Currency 3 12" xfId="521" xr:uid="{00000000-0005-0000-0000-000008020000}"/>
    <cellStyle name="Currency 3 12 2" xfId="522" xr:uid="{00000000-0005-0000-0000-000009020000}"/>
    <cellStyle name="Currency 3 13" xfId="523" xr:uid="{00000000-0005-0000-0000-00000A020000}"/>
    <cellStyle name="Currency 3 13 2" xfId="524" xr:uid="{00000000-0005-0000-0000-00000B020000}"/>
    <cellStyle name="Currency 3 14" xfId="525" xr:uid="{00000000-0005-0000-0000-00000C020000}"/>
    <cellStyle name="Currency 3 15" xfId="526" xr:uid="{00000000-0005-0000-0000-00000D020000}"/>
    <cellStyle name="Currency 3 16" xfId="527" xr:uid="{00000000-0005-0000-0000-00000E020000}"/>
    <cellStyle name="Currency 3 17" xfId="528" xr:uid="{00000000-0005-0000-0000-00000F020000}"/>
    <cellStyle name="Currency 3 2" xfId="529" xr:uid="{00000000-0005-0000-0000-000010020000}"/>
    <cellStyle name="Currency 3 2 2" xfId="530" xr:uid="{00000000-0005-0000-0000-000011020000}"/>
    <cellStyle name="Currency 3 2 2 2" xfId="531" xr:uid="{00000000-0005-0000-0000-000012020000}"/>
    <cellStyle name="Currency 3 2 3" xfId="532" xr:uid="{00000000-0005-0000-0000-000013020000}"/>
    <cellStyle name="Currency 3 2 3 2" xfId="533" xr:uid="{00000000-0005-0000-0000-000014020000}"/>
    <cellStyle name="Currency 3 2 4" xfId="534" xr:uid="{00000000-0005-0000-0000-000015020000}"/>
    <cellStyle name="Currency 3 2 4 2" xfId="535" xr:uid="{00000000-0005-0000-0000-000016020000}"/>
    <cellStyle name="Currency 3 2 5" xfId="536" xr:uid="{00000000-0005-0000-0000-000017020000}"/>
    <cellStyle name="Currency 3 2 5 2" xfId="537" xr:uid="{00000000-0005-0000-0000-000018020000}"/>
    <cellStyle name="Currency 3 2 6" xfId="538" xr:uid="{00000000-0005-0000-0000-000019020000}"/>
    <cellStyle name="Currency 3 2 6 2" xfId="539" xr:uid="{00000000-0005-0000-0000-00001A020000}"/>
    <cellStyle name="Currency 3 2 7" xfId="540" xr:uid="{00000000-0005-0000-0000-00001B020000}"/>
    <cellStyle name="Currency 3 3" xfId="541" xr:uid="{00000000-0005-0000-0000-00001C020000}"/>
    <cellStyle name="Currency 3 3 2" xfId="542" xr:uid="{00000000-0005-0000-0000-00001D020000}"/>
    <cellStyle name="Currency 3 3 2 2" xfId="543" xr:uid="{00000000-0005-0000-0000-00001E020000}"/>
    <cellStyle name="Currency 3 3 3" xfId="544" xr:uid="{00000000-0005-0000-0000-00001F020000}"/>
    <cellStyle name="Currency 3 3 3 2" xfId="545" xr:uid="{00000000-0005-0000-0000-000020020000}"/>
    <cellStyle name="Currency 3 3 4" xfId="546" xr:uid="{00000000-0005-0000-0000-000021020000}"/>
    <cellStyle name="Currency 3 3 4 2" xfId="547" xr:uid="{00000000-0005-0000-0000-000022020000}"/>
    <cellStyle name="Currency 3 3 5" xfId="548" xr:uid="{00000000-0005-0000-0000-000023020000}"/>
    <cellStyle name="Currency 3 3 5 2" xfId="549" xr:uid="{00000000-0005-0000-0000-000024020000}"/>
    <cellStyle name="Currency 3 3 6" xfId="550" xr:uid="{00000000-0005-0000-0000-000025020000}"/>
    <cellStyle name="Currency 3 3 6 2" xfId="551" xr:uid="{00000000-0005-0000-0000-000026020000}"/>
    <cellStyle name="Currency 3 3 7" xfId="552" xr:uid="{00000000-0005-0000-0000-000027020000}"/>
    <cellStyle name="Currency 3 4" xfId="553" xr:uid="{00000000-0005-0000-0000-000028020000}"/>
    <cellStyle name="Currency 3 4 2" xfId="554" xr:uid="{00000000-0005-0000-0000-000029020000}"/>
    <cellStyle name="Currency 3 5" xfId="555" xr:uid="{00000000-0005-0000-0000-00002A020000}"/>
    <cellStyle name="Currency 3 5 2" xfId="556" xr:uid="{00000000-0005-0000-0000-00002B020000}"/>
    <cellStyle name="Currency 3 6" xfId="557" xr:uid="{00000000-0005-0000-0000-00002C020000}"/>
    <cellStyle name="Currency 3 6 2" xfId="558" xr:uid="{00000000-0005-0000-0000-00002D020000}"/>
    <cellStyle name="Currency 3 7" xfId="559" xr:uid="{00000000-0005-0000-0000-00002E020000}"/>
    <cellStyle name="Currency 3 7 2" xfId="560" xr:uid="{00000000-0005-0000-0000-00002F020000}"/>
    <cellStyle name="Currency 3 8" xfId="561" xr:uid="{00000000-0005-0000-0000-000030020000}"/>
    <cellStyle name="Currency 3 8 2" xfId="562" xr:uid="{00000000-0005-0000-0000-000031020000}"/>
    <cellStyle name="Currency 3 9" xfId="563" xr:uid="{00000000-0005-0000-0000-000032020000}"/>
    <cellStyle name="Currency 3 9 2" xfId="564" xr:uid="{00000000-0005-0000-0000-000033020000}"/>
    <cellStyle name="Currency 4" xfId="565" xr:uid="{00000000-0005-0000-0000-000034020000}"/>
    <cellStyle name="Currency 4 10" xfId="566" xr:uid="{00000000-0005-0000-0000-000035020000}"/>
    <cellStyle name="Currency 4 10 2" xfId="567" xr:uid="{00000000-0005-0000-0000-000036020000}"/>
    <cellStyle name="Currency 4 10 2 2" xfId="568" xr:uid="{00000000-0005-0000-0000-000037020000}"/>
    <cellStyle name="Currency 4 10 2 3" xfId="569" xr:uid="{00000000-0005-0000-0000-000038020000}"/>
    <cellStyle name="Currency 4 11" xfId="570" xr:uid="{00000000-0005-0000-0000-000039020000}"/>
    <cellStyle name="Currency 4 11 2" xfId="571" xr:uid="{00000000-0005-0000-0000-00003A020000}"/>
    <cellStyle name="Currency 4 11 2 2" xfId="572" xr:uid="{00000000-0005-0000-0000-00003B020000}"/>
    <cellStyle name="Currency 4 11 2 3" xfId="573" xr:uid="{00000000-0005-0000-0000-00003C020000}"/>
    <cellStyle name="Currency 4 12" xfId="574" xr:uid="{00000000-0005-0000-0000-00003D020000}"/>
    <cellStyle name="Currency 4 12 2" xfId="575" xr:uid="{00000000-0005-0000-0000-00003E020000}"/>
    <cellStyle name="Currency 4 12 2 2" xfId="576" xr:uid="{00000000-0005-0000-0000-00003F020000}"/>
    <cellStyle name="Currency 4 12 2 3" xfId="577" xr:uid="{00000000-0005-0000-0000-000040020000}"/>
    <cellStyle name="Currency 4 13" xfId="578" xr:uid="{00000000-0005-0000-0000-000041020000}"/>
    <cellStyle name="Currency 4 13 2" xfId="579" xr:uid="{00000000-0005-0000-0000-000042020000}"/>
    <cellStyle name="Currency 4 13 2 2" xfId="580" xr:uid="{00000000-0005-0000-0000-000043020000}"/>
    <cellStyle name="Currency 4 13 2 3" xfId="581" xr:uid="{00000000-0005-0000-0000-000044020000}"/>
    <cellStyle name="Currency 4 14" xfId="582" xr:uid="{00000000-0005-0000-0000-000045020000}"/>
    <cellStyle name="Currency 4 14 2" xfId="583" xr:uid="{00000000-0005-0000-0000-000046020000}"/>
    <cellStyle name="Currency 4 14 2 2" xfId="584" xr:uid="{00000000-0005-0000-0000-000047020000}"/>
    <cellStyle name="Currency 4 14 2 3" xfId="585" xr:uid="{00000000-0005-0000-0000-000048020000}"/>
    <cellStyle name="Currency 4 15" xfId="586" xr:uid="{00000000-0005-0000-0000-000049020000}"/>
    <cellStyle name="Currency 4 15 2" xfId="587" xr:uid="{00000000-0005-0000-0000-00004A020000}"/>
    <cellStyle name="Currency 4 15 3" xfId="588" xr:uid="{00000000-0005-0000-0000-00004B020000}"/>
    <cellStyle name="Currency 4 2" xfId="589" xr:uid="{00000000-0005-0000-0000-00004C020000}"/>
    <cellStyle name="Currency 4 2 10" xfId="590" xr:uid="{00000000-0005-0000-0000-00004D020000}"/>
    <cellStyle name="Currency 4 2 10 2" xfId="591" xr:uid="{00000000-0005-0000-0000-00004E020000}"/>
    <cellStyle name="Currency 4 2 11" xfId="592" xr:uid="{00000000-0005-0000-0000-00004F020000}"/>
    <cellStyle name="Currency 4 2 11 2" xfId="593" xr:uid="{00000000-0005-0000-0000-000050020000}"/>
    <cellStyle name="Currency 4 2 12" xfId="594" xr:uid="{00000000-0005-0000-0000-000051020000}"/>
    <cellStyle name="Currency 4 2 12 2" xfId="595" xr:uid="{00000000-0005-0000-0000-000052020000}"/>
    <cellStyle name="Currency 4 2 13" xfId="596" xr:uid="{00000000-0005-0000-0000-000053020000}"/>
    <cellStyle name="Currency 4 2 13 2" xfId="597" xr:uid="{00000000-0005-0000-0000-000054020000}"/>
    <cellStyle name="Currency 4 2 14" xfId="598" xr:uid="{00000000-0005-0000-0000-000055020000}"/>
    <cellStyle name="Currency 4 2 2" xfId="599" xr:uid="{00000000-0005-0000-0000-000056020000}"/>
    <cellStyle name="Currency 4 2 2 2" xfId="600" xr:uid="{00000000-0005-0000-0000-000057020000}"/>
    <cellStyle name="Currency 4 2 2 2 2" xfId="601" xr:uid="{00000000-0005-0000-0000-000058020000}"/>
    <cellStyle name="Currency 4 2 2 3" xfId="602" xr:uid="{00000000-0005-0000-0000-000059020000}"/>
    <cellStyle name="Currency 4 2 2 3 2" xfId="603" xr:uid="{00000000-0005-0000-0000-00005A020000}"/>
    <cellStyle name="Currency 4 2 2 4" xfId="604" xr:uid="{00000000-0005-0000-0000-00005B020000}"/>
    <cellStyle name="Currency 4 2 2 4 2" xfId="605" xr:uid="{00000000-0005-0000-0000-00005C020000}"/>
    <cellStyle name="Currency 4 2 2 5" xfId="606" xr:uid="{00000000-0005-0000-0000-00005D020000}"/>
    <cellStyle name="Currency 4 2 2 5 2" xfId="607" xr:uid="{00000000-0005-0000-0000-00005E020000}"/>
    <cellStyle name="Currency 4 2 2 6" xfId="608" xr:uid="{00000000-0005-0000-0000-00005F020000}"/>
    <cellStyle name="Currency 4 2 2 6 2" xfId="609" xr:uid="{00000000-0005-0000-0000-000060020000}"/>
    <cellStyle name="Currency 4 2 2 7" xfId="610" xr:uid="{00000000-0005-0000-0000-000061020000}"/>
    <cellStyle name="Currency 4 2 3" xfId="611" xr:uid="{00000000-0005-0000-0000-000062020000}"/>
    <cellStyle name="Currency 4 2 3 2" xfId="612" xr:uid="{00000000-0005-0000-0000-000063020000}"/>
    <cellStyle name="Currency 4 2 3 2 2" xfId="613" xr:uid="{00000000-0005-0000-0000-000064020000}"/>
    <cellStyle name="Currency 4 2 3 3" xfId="614" xr:uid="{00000000-0005-0000-0000-000065020000}"/>
    <cellStyle name="Currency 4 2 3 3 2" xfId="615" xr:uid="{00000000-0005-0000-0000-000066020000}"/>
    <cellStyle name="Currency 4 2 3 4" xfId="616" xr:uid="{00000000-0005-0000-0000-000067020000}"/>
    <cellStyle name="Currency 4 2 3 4 2" xfId="617" xr:uid="{00000000-0005-0000-0000-000068020000}"/>
    <cellStyle name="Currency 4 2 3 5" xfId="618" xr:uid="{00000000-0005-0000-0000-000069020000}"/>
    <cellStyle name="Currency 4 2 3 5 2" xfId="619" xr:uid="{00000000-0005-0000-0000-00006A020000}"/>
    <cellStyle name="Currency 4 2 3 6" xfId="620" xr:uid="{00000000-0005-0000-0000-00006B020000}"/>
    <cellStyle name="Currency 4 2 3 6 2" xfId="621" xr:uid="{00000000-0005-0000-0000-00006C020000}"/>
    <cellStyle name="Currency 4 2 3 7" xfId="622" xr:uid="{00000000-0005-0000-0000-00006D020000}"/>
    <cellStyle name="Currency 4 2 4" xfId="623" xr:uid="{00000000-0005-0000-0000-00006E020000}"/>
    <cellStyle name="Currency 4 2 4 2" xfId="624" xr:uid="{00000000-0005-0000-0000-00006F020000}"/>
    <cellStyle name="Currency 4 2 5" xfId="625" xr:uid="{00000000-0005-0000-0000-000070020000}"/>
    <cellStyle name="Currency 4 2 5 2" xfId="626" xr:uid="{00000000-0005-0000-0000-000071020000}"/>
    <cellStyle name="Currency 4 2 6" xfId="627" xr:uid="{00000000-0005-0000-0000-000072020000}"/>
    <cellStyle name="Currency 4 2 6 2" xfId="628" xr:uid="{00000000-0005-0000-0000-000073020000}"/>
    <cellStyle name="Currency 4 2 7" xfId="629" xr:uid="{00000000-0005-0000-0000-000074020000}"/>
    <cellStyle name="Currency 4 2 7 2" xfId="630" xr:uid="{00000000-0005-0000-0000-000075020000}"/>
    <cellStyle name="Currency 4 2 8" xfId="631" xr:uid="{00000000-0005-0000-0000-000076020000}"/>
    <cellStyle name="Currency 4 2 8 2" xfId="632" xr:uid="{00000000-0005-0000-0000-000077020000}"/>
    <cellStyle name="Currency 4 2 9" xfId="633" xr:uid="{00000000-0005-0000-0000-000078020000}"/>
    <cellStyle name="Currency 4 2 9 2" xfId="634" xr:uid="{00000000-0005-0000-0000-000079020000}"/>
    <cellStyle name="Currency 4 3" xfId="635" xr:uid="{00000000-0005-0000-0000-00007A020000}"/>
    <cellStyle name="Currency 4 3 2" xfId="636" xr:uid="{00000000-0005-0000-0000-00007B020000}"/>
    <cellStyle name="Currency 4 3 2 2" xfId="637" xr:uid="{00000000-0005-0000-0000-00007C020000}"/>
    <cellStyle name="Currency 4 3 2 2 2" xfId="638" xr:uid="{00000000-0005-0000-0000-00007D020000}"/>
    <cellStyle name="Currency 4 3 2 2 3" xfId="639" xr:uid="{00000000-0005-0000-0000-00007E020000}"/>
    <cellStyle name="Currency 4 3 3" xfId="640" xr:uid="{00000000-0005-0000-0000-00007F020000}"/>
    <cellStyle name="Currency 4 3 3 2" xfId="641" xr:uid="{00000000-0005-0000-0000-000080020000}"/>
    <cellStyle name="Currency 4 3 3 2 2" xfId="642" xr:uid="{00000000-0005-0000-0000-000081020000}"/>
    <cellStyle name="Currency 4 3 3 2 3" xfId="643" xr:uid="{00000000-0005-0000-0000-000082020000}"/>
    <cellStyle name="Currency 4 3 4" xfId="644" xr:uid="{00000000-0005-0000-0000-000083020000}"/>
    <cellStyle name="Currency 4 3 4 2" xfId="645" xr:uid="{00000000-0005-0000-0000-000084020000}"/>
    <cellStyle name="Currency 4 3 4 2 2" xfId="646" xr:uid="{00000000-0005-0000-0000-000085020000}"/>
    <cellStyle name="Currency 4 3 4 2 3" xfId="647" xr:uid="{00000000-0005-0000-0000-000086020000}"/>
    <cellStyle name="Currency 4 3 5" xfId="648" xr:uid="{00000000-0005-0000-0000-000087020000}"/>
    <cellStyle name="Currency 4 3 5 2" xfId="649" xr:uid="{00000000-0005-0000-0000-000088020000}"/>
    <cellStyle name="Currency 4 3 5 2 2" xfId="650" xr:uid="{00000000-0005-0000-0000-000089020000}"/>
    <cellStyle name="Currency 4 3 5 2 3" xfId="651" xr:uid="{00000000-0005-0000-0000-00008A020000}"/>
    <cellStyle name="Currency 4 3 6" xfId="652" xr:uid="{00000000-0005-0000-0000-00008B020000}"/>
    <cellStyle name="Currency 4 3 6 2" xfId="653" xr:uid="{00000000-0005-0000-0000-00008C020000}"/>
    <cellStyle name="Currency 4 3 6 2 2" xfId="654" xr:uid="{00000000-0005-0000-0000-00008D020000}"/>
    <cellStyle name="Currency 4 3 6 2 3" xfId="655" xr:uid="{00000000-0005-0000-0000-00008E020000}"/>
    <cellStyle name="Currency 4 3 7" xfId="656" xr:uid="{00000000-0005-0000-0000-00008F020000}"/>
    <cellStyle name="Currency 4 3 7 2" xfId="657" xr:uid="{00000000-0005-0000-0000-000090020000}"/>
    <cellStyle name="Currency 4 3 7 3" xfId="658" xr:uid="{00000000-0005-0000-0000-000091020000}"/>
    <cellStyle name="Currency 4 4" xfId="659" xr:uid="{00000000-0005-0000-0000-000092020000}"/>
    <cellStyle name="Currency 4 4 2" xfId="660" xr:uid="{00000000-0005-0000-0000-000093020000}"/>
    <cellStyle name="Currency 4 4 2 2" xfId="661" xr:uid="{00000000-0005-0000-0000-000094020000}"/>
    <cellStyle name="Currency 4 4 2 2 2" xfId="662" xr:uid="{00000000-0005-0000-0000-000095020000}"/>
    <cellStyle name="Currency 4 4 2 2 3" xfId="663" xr:uid="{00000000-0005-0000-0000-000096020000}"/>
    <cellStyle name="Currency 4 4 3" xfId="664" xr:uid="{00000000-0005-0000-0000-000097020000}"/>
    <cellStyle name="Currency 4 4 3 2" xfId="665" xr:uid="{00000000-0005-0000-0000-000098020000}"/>
    <cellStyle name="Currency 4 4 3 2 2" xfId="666" xr:uid="{00000000-0005-0000-0000-000099020000}"/>
    <cellStyle name="Currency 4 4 3 2 3" xfId="667" xr:uid="{00000000-0005-0000-0000-00009A020000}"/>
    <cellStyle name="Currency 4 4 4" xfId="668" xr:uid="{00000000-0005-0000-0000-00009B020000}"/>
    <cellStyle name="Currency 4 4 4 2" xfId="669" xr:uid="{00000000-0005-0000-0000-00009C020000}"/>
    <cellStyle name="Currency 4 4 4 2 2" xfId="670" xr:uid="{00000000-0005-0000-0000-00009D020000}"/>
    <cellStyle name="Currency 4 4 4 2 3" xfId="671" xr:uid="{00000000-0005-0000-0000-00009E020000}"/>
    <cellStyle name="Currency 4 4 5" xfId="672" xr:uid="{00000000-0005-0000-0000-00009F020000}"/>
    <cellStyle name="Currency 4 4 5 2" xfId="673" xr:uid="{00000000-0005-0000-0000-0000A0020000}"/>
    <cellStyle name="Currency 4 4 5 2 2" xfId="674" xr:uid="{00000000-0005-0000-0000-0000A1020000}"/>
    <cellStyle name="Currency 4 4 5 2 3" xfId="675" xr:uid="{00000000-0005-0000-0000-0000A2020000}"/>
    <cellStyle name="Currency 4 4 6" xfId="676" xr:uid="{00000000-0005-0000-0000-0000A3020000}"/>
    <cellStyle name="Currency 4 4 6 2" xfId="677" xr:uid="{00000000-0005-0000-0000-0000A4020000}"/>
    <cellStyle name="Currency 4 4 6 2 2" xfId="678" xr:uid="{00000000-0005-0000-0000-0000A5020000}"/>
    <cellStyle name="Currency 4 4 6 2 3" xfId="679" xr:uid="{00000000-0005-0000-0000-0000A6020000}"/>
    <cellStyle name="Currency 4 4 7" xfId="680" xr:uid="{00000000-0005-0000-0000-0000A7020000}"/>
    <cellStyle name="Currency 4 4 7 2" xfId="681" xr:uid="{00000000-0005-0000-0000-0000A8020000}"/>
    <cellStyle name="Currency 4 4 7 3" xfId="682" xr:uid="{00000000-0005-0000-0000-0000A9020000}"/>
    <cellStyle name="Currency 4 5" xfId="683" xr:uid="{00000000-0005-0000-0000-0000AA020000}"/>
    <cellStyle name="Currency 4 5 2" xfId="684" xr:uid="{00000000-0005-0000-0000-0000AB020000}"/>
    <cellStyle name="Currency 4 5 2 2" xfId="685" xr:uid="{00000000-0005-0000-0000-0000AC020000}"/>
    <cellStyle name="Currency 4 5 2 3" xfId="686" xr:uid="{00000000-0005-0000-0000-0000AD020000}"/>
    <cellStyle name="Currency 4 6" xfId="687" xr:uid="{00000000-0005-0000-0000-0000AE020000}"/>
    <cellStyle name="Currency 4 6 2" xfId="688" xr:uid="{00000000-0005-0000-0000-0000AF020000}"/>
    <cellStyle name="Currency 4 6 2 2" xfId="689" xr:uid="{00000000-0005-0000-0000-0000B0020000}"/>
    <cellStyle name="Currency 4 6 2 3" xfId="690" xr:uid="{00000000-0005-0000-0000-0000B1020000}"/>
    <cellStyle name="Currency 4 7" xfId="691" xr:uid="{00000000-0005-0000-0000-0000B2020000}"/>
    <cellStyle name="Currency 4 7 2" xfId="692" xr:uid="{00000000-0005-0000-0000-0000B3020000}"/>
    <cellStyle name="Currency 4 7 2 2" xfId="693" xr:uid="{00000000-0005-0000-0000-0000B4020000}"/>
    <cellStyle name="Currency 4 7 2 3" xfId="694" xr:uid="{00000000-0005-0000-0000-0000B5020000}"/>
    <cellStyle name="Currency 4 8" xfId="695" xr:uid="{00000000-0005-0000-0000-0000B6020000}"/>
    <cellStyle name="Currency 4 8 2" xfId="696" xr:uid="{00000000-0005-0000-0000-0000B7020000}"/>
    <cellStyle name="Currency 4 8 2 2" xfId="697" xr:uid="{00000000-0005-0000-0000-0000B8020000}"/>
    <cellStyle name="Currency 4 8 2 3" xfId="698" xr:uid="{00000000-0005-0000-0000-0000B9020000}"/>
    <cellStyle name="Currency 4 9" xfId="699" xr:uid="{00000000-0005-0000-0000-0000BA020000}"/>
    <cellStyle name="Currency 4 9 2" xfId="700" xr:uid="{00000000-0005-0000-0000-0000BB020000}"/>
    <cellStyle name="Currency 4 9 2 2" xfId="701" xr:uid="{00000000-0005-0000-0000-0000BC020000}"/>
    <cellStyle name="Currency 4 9 2 3" xfId="702" xr:uid="{00000000-0005-0000-0000-0000BD020000}"/>
    <cellStyle name="Currency 5" xfId="703" xr:uid="{00000000-0005-0000-0000-0000BE020000}"/>
    <cellStyle name="Currency 5 10" xfId="704" xr:uid="{00000000-0005-0000-0000-0000BF020000}"/>
    <cellStyle name="Currency 5 10 2" xfId="705" xr:uid="{00000000-0005-0000-0000-0000C0020000}"/>
    <cellStyle name="Currency 5 11" xfId="706" xr:uid="{00000000-0005-0000-0000-0000C1020000}"/>
    <cellStyle name="Currency 5 11 2" xfId="707" xr:uid="{00000000-0005-0000-0000-0000C2020000}"/>
    <cellStyle name="Currency 5 12" xfId="708" xr:uid="{00000000-0005-0000-0000-0000C3020000}"/>
    <cellStyle name="Currency 5 12 2" xfId="709" xr:uid="{00000000-0005-0000-0000-0000C4020000}"/>
    <cellStyle name="Currency 5 13" xfId="710" xr:uid="{00000000-0005-0000-0000-0000C5020000}"/>
    <cellStyle name="Currency 5 13 2" xfId="711" xr:uid="{00000000-0005-0000-0000-0000C6020000}"/>
    <cellStyle name="Currency 5 14" xfId="712" xr:uid="{00000000-0005-0000-0000-0000C7020000}"/>
    <cellStyle name="Currency 5 2" xfId="713" xr:uid="{00000000-0005-0000-0000-0000C8020000}"/>
    <cellStyle name="Currency 5 2 2" xfId="714" xr:uid="{00000000-0005-0000-0000-0000C9020000}"/>
    <cellStyle name="Currency 5 2 2 2" xfId="715" xr:uid="{00000000-0005-0000-0000-0000CA020000}"/>
    <cellStyle name="Currency 5 2 3" xfId="716" xr:uid="{00000000-0005-0000-0000-0000CB020000}"/>
    <cellStyle name="Currency 5 2 3 2" xfId="717" xr:uid="{00000000-0005-0000-0000-0000CC020000}"/>
    <cellStyle name="Currency 5 2 4" xfId="718" xr:uid="{00000000-0005-0000-0000-0000CD020000}"/>
    <cellStyle name="Currency 5 2 4 2" xfId="719" xr:uid="{00000000-0005-0000-0000-0000CE020000}"/>
    <cellStyle name="Currency 5 2 5" xfId="720" xr:uid="{00000000-0005-0000-0000-0000CF020000}"/>
    <cellStyle name="Currency 5 2 5 2" xfId="721" xr:uid="{00000000-0005-0000-0000-0000D0020000}"/>
    <cellStyle name="Currency 5 2 6" xfId="722" xr:uid="{00000000-0005-0000-0000-0000D1020000}"/>
    <cellStyle name="Currency 5 2 6 2" xfId="723" xr:uid="{00000000-0005-0000-0000-0000D2020000}"/>
    <cellStyle name="Currency 5 2 7" xfId="724" xr:uid="{00000000-0005-0000-0000-0000D3020000}"/>
    <cellStyle name="Currency 5 3" xfId="725" xr:uid="{00000000-0005-0000-0000-0000D4020000}"/>
    <cellStyle name="Currency 5 3 2" xfId="726" xr:uid="{00000000-0005-0000-0000-0000D5020000}"/>
    <cellStyle name="Currency 5 3 2 2" xfId="727" xr:uid="{00000000-0005-0000-0000-0000D6020000}"/>
    <cellStyle name="Currency 5 3 3" xfId="728" xr:uid="{00000000-0005-0000-0000-0000D7020000}"/>
    <cellStyle name="Currency 5 3 3 2" xfId="729" xr:uid="{00000000-0005-0000-0000-0000D8020000}"/>
    <cellStyle name="Currency 5 3 4" xfId="730" xr:uid="{00000000-0005-0000-0000-0000D9020000}"/>
    <cellStyle name="Currency 5 3 4 2" xfId="731" xr:uid="{00000000-0005-0000-0000-0000DA020000}"/>
    <cellStyle name="Currency 5 3 5" xfId="732" xr:uid="{00000000-0005-0000-0000-0000DB020000}"/>
    <cellStyle name="Currency 5 3 5 2" xfId="733" xr:uid="{00000000-0005-0000-0000-0000DC020000}"/>
    <cellStyle name="Currency 5 3 6" xfId="734" xr:uid="{00000000-0005-0000-0000-0000DD020000}"/>
    <cellStyle name="Currency 5 3 6 2" xfId="735" xr:uid="{00000000-0005-0000-0000-0000DE020000}"/>
    <cellStyle name="Currency 5 3 7" xfId="736" xr:uid="{00000000-0005-0000-0000-0000DF020000}"/>
    <cellStyle name="Currency 5 4" xfId="737" xr:uid="{00000000-0005-0000-0000-0000E0020000}"/>
    <cellStyle name="Currency 5 4 2" xfId="738" xr:uid="{00000000-0005-0000-0000-0000E1020000}"/>
    <cellStyle name="Currency 5 5" xfId="739" xr:uid="{00000000-0005-0000-0000-0000E2020000}"/>
    <cellStyle name="Currency 5 5 2" xfId="740" xr:uid="{00000000-0005-0000-0000-0000E3020000}"/>
    <cellStyle name="Currency 5 6" xfId="741" xr:uid="{00000000-0005-0000-0000-0000E4020000}"/>
    <cellStyle name="Currency 5 6 2" xfId="742" xr:uid="{00000000-0005-0000-0000-0000E5020000}"/>
    <cellStyle name="Currency 5 7" xfId="743" xr:uid="{00000000-0005-0000-0000-0000E6020000}"/>
    <cellStyle name="Currency 5 7 2" xfId="744" xr:uid="{00000000-0005-0000-0000-0000E7020000}"/>
    <cellStyle name="Currency 5 8" xfId="745" xr:uid="{00000000-0005-0000-0000-0000E8020000}"/>
    <cellStyle name="Currency 5 8 2" xfId="746" xr:uid="{00000000-0005-0000-0000-0000E9020000}"/>
    <cellStyle name="Currency 5 9" xfId="747" xr:uid="{00000000-0005-0000-0000-0000EA020000}"/>
    <cellStyle name="Currency 5 9 2" xfId="748" xr:uid="{00000000-0005-0000-0000-0000EB020000}"/>
    <cellStyle name="Currency 6" xfId="749" xr:uid="{00000000-0005-0000-0000-0000EC020000}"/>
    <cellStyle name="Currency 6 10" xfId="750" xr:uid="{00000000-0005-0000-0000-0000ED020000}"/>
    <cellStyle name="Currency 6 10 2" xfId="751" xr:uid="{00000000-0005-0000-0000-0000EE020000}"/>
    <cellStyle name="Currency 6 11" xfId="752" xr:uid="{00000000-0005-0000-0000-0000EF020000}"/>
    <cellStyle name="Currency 6 11 2" xfId="753" xr:uid="{00000000-0005-0000-0000-0000F0020000}"/>
    <cellStyle name="Currency 6 12" xfId="754" xr:uid="{00000000-0005-0000-0000-0000F1020000}"/>
    <cellStyle name="Currency 6 12 2" xfId="755" xr:uid="{00000000-0005-0000-0000-0000F2020000}"/>
    <cellStyle name="Currency 6 13" xfId="756" xr:uid="{00000000-0005-0000-0000-0000F3020000}"/>
    <cellStyle name="Currency 6 13 2" xfId="757" xr:uid="{00000000-0005-0000-0000-0000F4020000}"/>
    <cellStyle name="Currency 6 14" xfId="758" xr:uid="{00000000-0005-0000-0000-0000F5020000}"/>
    <cellStyle name="Currency 6 2" xfId="759" xr:uid="{00000000-0005-0000-0000-0000F6020000}"/>
    <cellStyle name="Currency 6 2 2" xfId="760" xr:uid="{00000000-0005-0000-0000-0000F7020000}"/>
    <cellStyle name="Currency 6 2 2 2" xfId="761" xr:uid="{00000000-0005-0000-0000-0000F8020000}"/>
    <cellStyle name="Currency 6 2 3" xfId="762" xr:uid="{00000000-0005-0000-0000-0000F9020000}"/>
    <cellStyle name="Currency 6 2 3 2" xfId="763" xr:uid="{00000000-0005-0000-0000-0000FA020000}"/>
    <cellStyle name="Currency 6 2 4" xfId="764" xr:uid="{00000000-0005-0000-0000-0000FB020000}"/>
    <cellStyle name="Currency 6 2 4 2" xfId="765" xr:uid="{00000000-0005-0000-0000-0000FC020000}"/>
    <cellStyle name="Currency 6 2 5" xfId="766" xr:uid="{00000000-0005-0000-0000-0000FD020000}"/>
    <cellStyle name="Currency 6 2 5 2" xfId="767" xr:uid="{00000000-0005-0000-0000-0000FE020000}"/>
    <cellStyle name="Currency 6 2 6" xfId="768" xr:uid="{00000000-0005-0000-0000-0000FF020000}"/>
    <cellStyle name="Currency 6 2 6 2" xfId="769" xr:uid="{00000000-0005-0000-0000-000000030000}"/>
    <cellStyle name="Currency 6 2 7" xfId="770" xr:uid="{00000000-0005-0000-0000-000001030000}"/>
    <cellStyle name="Currency 6 3" xfId="771" xr:uid="{00000000-0005-0000-0000-000002030000}"/>
    <cellStyle name="Currency 6 3 2" xfId="772" xr:uid="{00000000-0005-0000-0000-000003030000}"/>
    <cellStyle name="Currency 6 3 2 2" xfId="773" xr:uid="{00000000-0005-0000-0000-000004030000}"/>
    <cellStyle name="Currency 6 3 3" xfId="774" xr:uid="{00000000-0005-0000-0000-000005030000}"/>
    <cellStyle name="Currency 6 3 3 2" xfId="775" xr:uid="{00000000-0005-0000-0000-000006030000}"/>
    <cellStyle name="Currency 6 3 4" xfId="776" xr:uid="{00000000-0005-0000-0000-000007030000}"/>
    <cellStyle name="Currency 6 3 4 2" xfId="777" xr:uid="{00000000-0005-0000-0000-000008030000}"/>
    <cellStyle name="Currency 6 3 5" xfId="778" xr:uid="{00000000-0005-0000-0000-000009030000}"/>
    <cellStyle name="Currency 6 3 5 2" xfId="779" xr:uid="{00000000-0005-0000-0000-00000A030000}"/>
    <cellStyle name="Currency 6 3 6" xfId="780" xr:uid="{00000000-0005-0000-0000-00000B030000}"/>
    <cellStyle name="Currency 6 3 6 2" xfId="781" xr:uid="{00000000-0005-0000-0000-00000C030000}"/>
    <cellStyle name="Currency 6 3 7" xfId="782" xr:uid="{00000000-0005-0000-0000-00000D030000}"/>
    <cellStyle name="Currency 6 4" xfId="783" xr:uid="{00000000-0005-0000-0000-00000E030000}"/>
    <cellStyle name="Currency 6 4 2" xfId="784" xr:uid="{00000000-0005-0000-0000-00000F030000}"/>
    <cellStyle name="Currency 6 5" xfId="785" xr:uid="{00000000-0005-0000-0000-000010030000}"/>
    <cellStyle name="Currency 6 5 2" xfId="786" xr:uid="{00000000-0005-0000-0000-000011030000}"/>
    <cellStyle name="Currency 6 6" xfId="787" xr:uid="{00000000-0005-0000-0000-000012030000}"/>
    <cellStyle name="Currency 6 6 2" xfId="788" xr:uid="{00000000-0005-0000-0000-000013030000}"/>
    <cellStyle name="Currency 6 7" xfId="789" xr:uid="{00000000-0005-0000-0000-000014030000}"/>
    <cellStyle name="Currency 6 7 2" xfId="790" xr:uid="{00000000-0005-0000-0000-000015030000}"/>
    <cellStyle name="Currency 6 8" xfId="791" xr:uid="{00000000-0005-0000-0000-000016030000}"/>
    <cellStyle name="Currency 6 8 2" xfId="792" xr:uid="{00000000-0005-0000-0000-000017030000}"/>
    <cellStyle name="Currency 6 9" xfId="793" xr:uid="{00000000-0005-0000-0000-000018030000}"/>
    <cellStyle name="Currency 6 9 2" xfId="794" xr:uid="{00000000-0005-0000-0000-000019030000}"/>
    <cellStyle name="Currency 7" xfId="795" xr:uid="{00000000-0005-0000-0000-00001A030000}"/>
    <cellStyle name="Currency 7 10" xfId="796" xr:uid="{00000000-0005-0000-0000-00001B030000}"/>
    <cellStyle name="Currency 7 10 2" xfId="797" xr:uid="{00000000-0005-0000-0000-00001C030000}"/>
    <cellStyle name="Currency 7 11" xfId="798" xr:uid="{00000000-0005-0000-0000-00001D030000}"/>
    <cellStyle name="Currency 7 11 2" xfId="799" xr:uid="{00000000-0005-0000-0000-00001E030000}"/>
    <cellStyle name="Currency 7 12" xfId="800" xr:uid="{00000000-0005-0000-0000-00001F030000}"/>
    <cellStyle name="Currency 7 12 2" xfId="801" xr:uid="{00000000-0005-0000-0000-000020030000}"/>
    <cellStyle name="Currency 7 13" xfId="802" xr:uid="{00000000-0005-0000-0000-000021030000}"/>
    <cellStyle name="Currency 7 13 2" xfId="803" xr:uid="{00000000-0005-0000-0000-000022030000}"/>
    <cellStyle name="Currency 7 14" xfId="804" xr:uid="{00000000-0005-0000-0000-000023030000}"/>
    <cellStyle name="Currency 7 2" xfId="805" xr:uid="{00000000-0005-0000-0000-000024030000}"/>
    <cellStyle name="Currency 7 2 2" xfId="806" xr:uid="{00000000-0005-0000-0000-000025030000}"/>
    <cellStyle name="Currency 7 2 2 2" xfId="807" xr:uid="{00000000-0005-0000-0000-000026030000}"/>
    <cellStyle name="Currency 7 2 3" xfId="808" xr:uid="{00000000-0005-0000-0000-000027030000}"/>
    <cellStyle name="Currency 7 2 3 2" xfId="809" xr:uid="{00000000-0005-0000-0000-000028030000}"/>
    <cellStyle name="Currency 7 2 4" xfId="810" xr:uid="{00000000-0005-0000-0000-000029030000}"/>
    <cellStyle name="Currency 7 2 4 2" xfId="811" xr:uid="{00000000-0005-0000-0000-00002A030000}"/>
    <cellStyle name="Currency 7 2 5" xfId="812" xr:uid="{00000000-0005-0000-0000-00002B030000}"/>
    <cellStyle name="Currency 7 2 5 2" xfId="813" xr:uid="{00000000-0005-0000-0000-00002C030000}"/>
    <cellStyle name="Currency 7 2 6" xfId="814" xr:uid="{00000000-0005-0000-0000-00002D030000}"/>
    <cellStyle name="Currency 7 2 6 2" xfId="815" xr:uid="{00000000-0005-0000-0000-00002E030000}"/>
    <cellStyle name="Currency 7 2 7" xfId="816" xr:uid="{00000000-0005-0000-0000-00002F030000}"/>
    <cellStyle name="Currency 7 3" xfId="817" xr:uid="{00000000-0005-0000-0000-000030030000}"/>
    <cellStyle name="Currency 7 3 2" xfId="818" xr:uid="{00000000-0005-0000-0000-000031030000}"/>
    <cellStyle name="Currency 7 3 2 2" xfId="819" xr:uid="{00000000-0005-0000-0000-000032030000}"/>
    <cellStyle name="Currency 7 3 3" xfId="820" xr:uid="{00000000-0005-0000-0000-000033030000}"/>
    <cellStyle name="Currency 7 3 3 2" xfId="821" xr:uid="{00000000-0005-0000-0000-000034030000}"/>
    <cellStyle name="Currency 7 3 4" xfId="822" xr:uid="{00000000-0005-0000-0000-000035030000}"/>
    <cellStyle name="Currency 7 3 4 2" xfId="823" xr:uid="{00000000-0005-0000-0000-000036030000}"/>
    <cellStyle name="Currency 7 3 5" xfId="824" xr:uid="{00000000-0005-0000-0000-000037030000}"/>
    <cellStyle name="Currency 7 3 5 2" xfId="825" xr:uid="{00000000-0005-0000-0000-000038030000}"/>
    <cellStyle name="Currency 7 3 6" xfId="826" xr:uid="{00000000-0005-0000-0000-000039030000}"/>
    <cellStyle name="Currency 7 3 6 2" xfId="827" xr:uid="{00000000-0005-0000-0000-00003A030000}"/>
    <cellStyle name="Currency 7 3 7" xfId="828" xr:uid="{00000000-0005-0000-0000-00003B030000}"/>
    <cellStyle name="Currency 7 4" xfId="829" xr:uid="{00000000-0005-0000-0000-00003C030000}"/>
    <cellStyle name="Currency 7 4 2" xfId="830" xr:uid="{00000000-0005-0000-0000-00003D030000}"/>
    <cellStyle name="Currency 7 5" xfId="831" xr:uid="{00000000-0005-0000-0000-00003E030000}"/>
    <cellStyle name="Currency 7 5 2" xfId="832" xr:uid="{00000000-0005-0000-0000-00003F030000}"/>
    <cellStyle name="Currency 7 6" xfId="833" xr:uid="{00000000-0005-0000-0000-000040030000}"/>
    <cellStyle name="Currency 7 6 2" xfId="834" xr:uid="{00000000-0005-0000-0000-000041030000}"/>
    <cellStyle name="Currency 7 7" xfId="835" xr:uid="{00000000-0005-0000-0000-000042030000}"/>
    <cellStyle name="Currency 7 7 2" xfId="836" xr:uid="{00000000-0005-0000-0000-000043030000}"/>
    <cellStyle name="Currency 7 8" xfId="837" xr:uid="{00000000-0005-0000-0000-000044030000}"/>
    <cellStyle name="Currency 7 8 2" xfId="838" xr:uid="{00000000-0005-0000-0000-000045030000}"/>
    <cellStyle name="Currency 7 9" xfId="839" xr:uid="{00000000-0005-0000-0000-000046030000}"/>
    <cellStyle name="Currency 7 9 2" xfId="840" xr:uid="{00000000-0005-0000-0000-000047030000}"/>
    <cellStyle name="Currency 8" xfId="841" xr:uid="{00000000-0005-0000-0000-000048030000}"/>
    <cellStyle name="Currency 9" xfId="842" xr:uid="{00000000-0005-0000-0000-000049030000}"/>
    <cellStyle name="Eingabe" xfId="843" xr:uid="{00000000-0005-0000-0000-00004A030000}"/>
    <cellStyle name="Eingabe 10" xfId="844" xr:uid="{00000000-0005-0000-0000-00004B030000}"/>
    <cellStyle name="Eingabe 11" xfId="845" xr:uid="{00000000-0005-0000-0000-00004C030000}"/>
    <cellStyle name="Eingabe 2" xfId="846" xr:uid="{00000000-0005-0000-0000-00004D030000}"/>
    <cellStyle name="Eingabe 3" xfId="847" xr:uid="{00000000-0005-0000-0000-00004E030000}"/>
    <cellStyle name="Eingabe 4" xfId="848" xr:uid="{00000000-0005-0000-0000-00004F030000}"/>
    <cellStyle name="Eingabe 5" xfId="849" xr:uid="{00000000-0005-0000-0000-000050030000}"/>
    <cellStyle name="Eingabe 6" xfId="850" xr:uid="{00000000-0005-0000-0000-000051030000}"/>
    <cellStyle name="Eingabe 7" xfId="851" xr:uid="{00000000-0005-0000-0000-000052030000}"/>
    <cellStyle name="Eingabe 8" xfId="852" xr:uid="{00000000-0005-0000-0000-000053030000}"/>
    <cellStyle name="Eingabe 9" xfId="853" xr:uid="{00000000-0005-0000-0000-000054030000}"/>
    <cellStyle name="Encabezado 1" xfId="874" builtinId="16" customBuiltin="1"/>
    <cellStyle name="Encabezado 4" xfId="893" builtinId="19" customBuiltin="1"/>
    <cellStyle name="Énfasis1" xfId="100" builtinId="29" customBuiltin="1"/>
    <cellStyle name="Énfasis2" xfId="103" builtinId="33" customBuiltin="1"/>
    <cellStyle name="Énfasis3" xfId="105" builtinId="37" customBuiltin="1"/>
    <cellStyle name="Énfasis4" xfId="107" builtinId="41" customBuiltin="1"/>
    <cellStyle name="Énfasis5" xfId="110" builtinId="45" customBuiltin="1"/>
    <cellStyle name="Énfasis6" xfId="112" builtinId="49" customBuiltin="1"/>
    <cellStyle name="Entrada" xfId="904" builtinId="20" customBuiltin="1"/>
    <cellStyle name="Ergebnis" xfId="854" xr:uid="{00000000-0005-0000-0000-000055030000}"/>
    <cellStyle name="Ergebnis 10" xfId="855" xr:uid="{00000000-0005-0000-0000-000056030000}"/>
    <cellStyle name="Ergebnis 11" xfId="856" xr:uid="{00000000-0005-0000-0000-000057030000}"/>
    <cellStyle name="Ergebnis 2" xfId="857" xr:uid="{00000000-0005-0000-0000-000058030000}"/>
    <cellStyle name="Ergebnis 3" xfId="858" xr:uid="{00000000-0005-0000-0000-000059030000}"/>
    <cellStyle name="Ergebnis 4" xfId="859" xr:uid="{00000000-0005-0000-0000-00005A030000}"/>
    <cellStyle name="Ergebnis 5" xfId="860" xr:uid="{00000000-0005-0000-0000-00005B030000}"/>
    <cellStyle name="Ergebnis 6" xfId="861" xr:uid="{00000000-0005-0000-0000-00005C030000}"/>
    <cellStyle name="Ergebnis 7" xfId="862" xr:uid="{00000000-0005-0000-0000-00005D030000}"/>
    <cellStyle name="Ergebnis 8" xfId="863" xr:uid="{00000000-0005-0000-0000-00005E030000}"/>
    <cellStyle name="Ergebnis 9" xfId="864" xr:uid="{00000000-0005-0000-0000-00005F030000}"/>
    <cellStyle name="Erklärender Text" xfId="865" xr:uid="{00000000-0005-0000-0000-000060030000}"/>
    <cellStyle name="Euro" xfId="866" xr:uid="{00000000-0005-0000-0000-000061030000}"/>
    <cellStyle name="Explanatory Text 2" xfId="868" xr:uid="{00000000-0005-0000-0000-000063030000}"/>
    <cellStyle name="F" xfId="869" xr:uid="{00000000-0005-0000-0000-000064030000}"/>
    <cellStyle name="Good 2" xfId="871" xr:uid="{00000000-0005-0000-0000-000066030000}"/>
    <cellStyle name="Grey" xfId="872" xr:uid="{00000000-0005-0000-0000-000067030000}"/>
    <cellStyle name="Gut" xfId="873" xr:uid="{00000000-0005-0000-0000-000068030000}"/>
    <cellStyle name="Heading 1 2" xfId="875" xr:uid="{00000000-0005-0000-0000-00006A030000}"/>
    <cellStyle name="Heading 1 3" xfId="876" xr:uid="{00000000-0005-0000-0000-00006B030000}"/>
    <cellStyle name="Heading 1 4" xfId="877" xr:uid="{00000000-0005-0000-0000-00006C030000}"/>
    <cellStyle name="Heading 1 4 2" xfId="878" xr:uid="{00000000-0005-0000-0000-00006D030000}"/>
    <cellStyle name="Heading 1 4 3" xfId="879" xr:uid="{00000000-0005-0000-0000-00006E030000}"/>
    <cellStyle name="Heading 1 4 4" xfId="880" xr:uid="{00000000-0005-0000-0000-00006F030000}"/>
    <cellStyle name="Heading 1 4 5" xfId="881" xr:uid="{00000000-0005-0000-0000-000070030000}"/>
    <cellStyle name="Heading 2 2" xfId="883" xr:uid="{00000000-0005-0000-0000-000072030000}"/>
    <cellStyle name="Heading 2 3" xfId="884" xr:uid="{00000000-0005-0000-0000-000073030000}"/>
    <cellStyle name="Heading 3 2" xfId="886" xr:uid="{00000000-0005-0000-0000-000075030000}"/>
    <cellStyle name="Heading 3 3" xfId="887" xr:uid="{00000000-0005-0000-0000-000076030000}"/>
    <cellStyle name="Heading 3 4" xfId="888" xr:uid="{00000000-0005-0000-0000-000077030000}"/>
    <cellStyle name="Heading 3 4 2" xfId="889" xr:uid="{00000000-0005-0000-0000-000078030000}"/>
    <cellStyle name="Heading 3 4 3" xfId="890" xr:uid="{00000000-0005-0000-0000-000079030000}"/>
    <cellStyle name="Heading 3 4 4" xfId="891" xr:uid="{00000000-0005-0000-0000-00007A030000}"/>
    <cellStyle name="Heading 3 4 5" xfId="892" xr:uid="{00000000-0005-0000-0000-00007B030000}"/>
    <cellStyle name="Heading 4 2" xfId="894" xr:uid="{00000000-0005-0000-0000-00007D030000}"/>
    <cellStyle name="Heading 4 3" xfId="895" xr:uid="{00000000-0005-0000-0000-00007E030000}"/>
    <cellStyle name="Heading 4 4" xfId="896" xr:uid="{00000000-0005-0000-0000-00007F030000}"/>
    <cellStyle name="Heading 4 4 2" xfId="897" xr:uid="{00000000-0005-0000-0000-000080030000}"/>
    <cellStyle name="Heading 4 4 3" xfId="898" xr:uid="{00000000-0005-0000-0000-000081030000}"/>
    <cellStyle name="Heading 4 4 4" xfId="899" xr:uid="{00000000-0005-0000-0000-000082030000}"/>
    <cellStyle name="Heading 4 4 5" xfId="900" xr:uid="{00000000-0005-0000-0000-000083030000}"/>
    <cellStyle name="Hipervínculo" xfId="901" builtinId="8"/>
    <cellStyle name="Hyperlink 2" xfId="902" xr:uid="{00000000-0005-0000-0000-000085030000}"/>
    <cellStyle name="Hyperlink 7" xfId="903" xr:uid="{00000000-0005-0000-0000-000086030000}"/>
    <cellStyle name="Incorrecto" xfId="131" builtinId="27" customBuiltin="1"/>
    <cellStyle name="Input [yellow]" xfId="905" xr:uid="{00000000-0005-0000-0000-000088030000}"/>
    <cellStyle name="Input 2" xfId="906" xr:uid="{00000000-0005-0000-0000-000089030000}"/>
    <cellStyle name="Input 3" xfId="907" xr:uid="{00000000-0005-0000-0000-00008A030000}"/>
    <cellStyle name="Input 4" xfId="908" xr:uid="{00000000-0005-0000-0000-00008B030000}"/>
    <cellStyle name="Input 5" xfId="909" xr:uid="{00000000-0005-0000-0000-00008C030000}"/>
    <cellStyle name="Input 6" xfId="910" xr:uid="{00000000-0005-0000-0000-00008D030000}"/>
    <cellStyle name="Input 7" xfId="911" xr:uid="{00000000-0005-0000-0000-00008E030000}"/>
    <cellStyle name="Input 8" xfId="912" xr:uid="{00000000-0005-0000-0000-00008F030000}"/>
    <cellStyle name="Linked Cell 2" xfId="914" xr:uid="{00000000-0005-0000-0000-000091030000}"/>
    <cellStyle name="Millares" xfId="150" builtinId="3"/>
    <cellStyle name="Milliers [0]_- DMC Simu - xx ac.xls Graphique 1" xfId="915" xr:uid="{00000000-0005-0000-0000-000092030000}"/>
    <cellStyle name="Milliers 2" xfId="916" xr:uid="{00000000-0005-0000-0000-000093030000}"/>
    <cellStyle name="Milliers 2 2" xfId="917" xr:uid="{00000000-0005-0000-0000-000094030000}"/>
    <cellStyle name="Milliers 3" xfId="918" xr:uid="{00000000-0005-0000-0000-000095030000}"/>
    <cellStyle name="Milliers 4" xfId="919" xr:uid="{00000000-0005-0000-0000-000096030000}"/>
    <cellStyle name="Milliers_- DMC Simu - xx ac.xls Graphique 1" xfId="920" xr:uid="{00000000-0005-0000-0000-000097030000}"/>
    <cellStyle name="Monétaire [0]_- DMC Simu - xx ac.xls Graphique 1" xfId="921" xr:uid="{00000000-0005-0000-0000-000098030000}"/>
    <cellStyle name="Monétaire_- DMC Simu - xx ac.xls Graphique 1" xfId="922" xr:uid="{00000000-0005-0000-0000-000099030000}"/>
    <cellStyle name="Neutral" xfId="923" builtinId="28" customBuiltin="1"/>
    <cellStyle name="Neutral 2" xfId="924" xr:uid="{00000000-0005-0000-0000-00009B030000}"/>
    <cellStyle name="Normal" xfId="0" builtinId="0"/>
    <cellStyle name="Normal - Style1" xfId="925" xr:uid="{00000000-0005-0000-0000-00009D030000}"/>
    <cellStyle name="Normal 10" xfId="926" xr:uid="{00000000-0005-0000-0000-00009E030000}"/>
    <cellStyle name="Normal 10 2" xfId="927" xr:uid="{00000000-0005-0000-0000-00009F030000}"/>
    <cellStyle name="Normal 100" xfId="928" xr:uid="{00000000-0005-0000-0000-0000A0030000}"/>
    <cellStyle name="Normal 101" xfId="929" xr:uid="{00000000-0005-0000-0000-0000A1030000}"/>
    <cellStyle name="Normal 102" xfId="930" xr:uid="{00000000-0005-0000-0000-0000A2030000}"/>
    <cellStyle name="Normal 103" xfId="931" xr:uid="{00000000-0005-0000-0000-0000A3030000}"/>
    <cellStyle name="Normal 104" xfId="932" xr:uid="{00000000-0005-0000-0000-0000A4030000}"/>
    <cellStyle name="Normal 105" xfId="933" xr:uid="{00000000-0005-0000-0000-0000A5030000}"/>
    <cellStyle name="Normal 105 2" xfId="934" xr:uid="{00000000-0005-0000-0000-0000A6030000}"/>
    <cellStyle name="Normal 105 3" xfId="935" xr:uid="{00000000-0005-0000-0000-0000A7030000}"/>
    <cellStyle name="Normal 105 4" xfId="936" xr:uid="{00000000-0005-0000-0000-0000A8030000}"/>
    <cellStyle name="Normal 106" xfId="937" xr:uid="{00000000-0005-0000-0000-0000A9030000}"/>
    <cellStyle name="Normal 107" xfId="938" xr:uid="{00000000-0005-0000-0000-0000AA030000}"/>
    <cellStyle name="Normal 108" xfId="939" xr:uid="{00000000-0005-0000-0000-0000AB030000}"/>
    <cellStyle name="Normal 109" xfId="940" xr:uid="{00000000-0005-0000-0000-0000AC030000}"/>
    <cellStyle name="Normal 11" xfId="941" xr:uid="{00000000-0005-0000-0000-0000AD030000}"/>
    <cellStyle name="Normal 110" xfId="942" xr:uid="{00000000-0005-0000-0000-0000AE030000}"/>
    <cellStyle name="Normal 111" xfId="943" xr:uid="{00000000-0005-0000-0000-0000AF030000}"/>
    <cellStyle name="Normal 112" xfId="944" xr:uid="{00000000-0005-0000-0000-0000B0030000}"/>
    <cellStyle name="Normal 112 2" xfId="945" xr:uid="{00000000-0005-0000-0000-0000B1030000}"/>
    <cellStyle name="Normal 112 3" xfId="946" xr:uid="{00000000-0005-0000-0000-0000B2030000}"/>
    <cellStyle name="Normal 113" xfId="947" xr:uid="{00000000-0005-0000-0000-0000B3030000}"/>
    <cellStyle name="Normal 113 2" xfId="948" xr:uid="{00000000-0005-0000-0000-0000B4030000}"/>
    <cellStyle name="Normal 113 3" xfId="949" xr:uid="{00000000-0005-0000-0000-0000B5030000}"/>
    <cellStyle name="Normal 114" xfId="950" xr:uid="{00000000-0005-0000-0000-0000B6030000}"/>
    <cellStyle name="Normal 115" xfId="951" xr:uid="{00000000-0005-0000-0000-0000B7030000}"/>
    <cellStyle name="Normal 116" xfId="952" xr:uid="{00000000-0005-0000-0000-0000B8030000}"/>
    <cellStyle name="Normal 117" xfId="953" xr:uid="{00000000-0005-0000-0000-0000B9030000}"/>
    <cellStyle name="Normal 118" xfId="954" xr:uid="{00000000-0005-0000-0000-0000BA030000}"/>
    <cellStyle name="Normal 119" xfId="955" xr:uid="{00000000-0005-0000-0000-0000BB030000}"/>
    <cellStyle name="Normal 12" xfId="956" xr:uid="{00000000-0005-0000-0000-0000BC030000}"/>
    <cellStyle name="Normal 12 2" xfId="957" xr:uid="{00000000-0005-0000-0000-0000BD030000}"/>
    <cellStyle name="Normal 12 3" xfId="958" xr:uid="{00000000-0005-0000-0000-0000BE030000}"/>
    <cellStyle name="Normal 120" xfId="959" xr:uid="{00000000-0005-0000-0000-0000BF030000}"/>
    <cellStyle name="Normal 121" xfId="960" xr:uid="{00000000-0005-0000-0000-0000C0030000}"/>
    <cellStyle name="Normal 122" xfId="961" xr:uid="{00000000-0005-0000-0000-0000C1030000}"/>
    <cellStyle name="Normal 123" xfId="962" xr:uid="{00000000-0005-0000-0000-0000C2030000}"/>
    <cellStyle name="Normal 124" xfId="963" xr:uid="{00000000-0005-0000-0000-0000C3030000}"/>
    <cellStyle name="Normal 125" xfId="964" xr:uid="{00000000-0005-0000-0000-0000C4030000}"/>
    <cellStyle name="Normal 126" xfId="965" xr:uid="{00000000-0005-0000-0000-0000C5030000}"/>
    <cellStyle name="Normal 127" xfId="966" xr:uid="{00000000-0005-0000-0000-0000C6030000}"/>
    <cellStyle name="Normal 128" xfId="967" xr:uid="{00000000-0005-0000-0000-0000C7030000}"/>
    <cellStyle name="Normal 129" xfId="968" xr:uid="{00000000-0005-0000-0000-0000C8030000}"/>
    <cellStyle name="Normal 13" xfId="969" xr:uid="{00000000-0005-0000-0000-0000C9030000}"/>
    <cellStyle name="Normal 13 2" xfId="970" xr:uid="{00000000-0005-0000-0000-0000CA030000}"/>
    <cellStyle name="Normal 13 3" xfId="971" xr:uid="{00000000-0005-0000-0000-0000CB030000}"/>
    <cellStyle name="Normal 13 4" xfId="972" xr:uid="{00000000-0005-0000-0000-0000CC030000}"/>
    <cellStyle name="Normal 13 5" xfId="973" xr:uid="{00000000-0005-0000-0000-0000CD030000}"/>
    <cellStyle name="Normal 130" xfId="974" xr:uid="{00000000-0005-0000-0000-0000CE030000}"/>
    <cellStyle name="Normal 131" xfId="975" xr:uid="{00000000-0005-0000-0000-0000CF030000}"/>
    <cellStyle name="Normal 132" xfId="976" xr:uid="{00000000-0005-0000-0000-0000D0030000}"/>
    <cellStyle name="Normal 133" xfId="977" xr:uid="{00000000-0005-0000-0000-0000D1030000}"/>
    <cellStyle name="Normal 134" xfId="978" xr:uid="{00000000-0005-0000-0000-0000D2030000}"/>
    <cellStyle name="Normal 135" xfId="979" xr:uid="{00000000-0005-0000-0000-0000D3030000}"/>
    <cellStyle name="Normal 136" xfId="980" xr:uid="{00000000-0005-0000-0000-0000D4030000}"/>
    <cellStyle name="Normal 137" xfId="981" xr:uid="{00000000-0005-0000-0000-0000D5030000}"/>
    <cellStyle name="Normal 138" xfId="982" xr:uid="{00000000-0005-0000-0000-0000D6030000}"/>
    <cellStyle name="Normal 139" xfId="983" xr:uid="{00000000-0005-0000-0000-0000D7030000}"/>
    <cellStyle name="Normal 139 2" xfId="984" xr:uid="{00000000-0005-0000-0000-0000D8030000}"/>
    <cellStyle name="Normal 139 3" xfId="985" xr:uid="{00000000-0005-0000-0000-0000D9030000}"/>
    <cellStyle name="Normal 14" xfId="986" xr:uid="{00000000-0005-0000-0000-0000DA030000}"/>
    <cellStyle name="Normal 14 2" xfId="987" xr:uid="{00000000-0005-0000-0000-0000DB030000}"/>
    <cellStyle name="Normal 14 3" xfId="988" xr:uid="{00000000-0005-0000-0000-0000DC030000}"/>
    <cellStyle name="Normal 140" xfId="989" xr:uid="{00000000-0005-0000-0000-0000DD030000}"/>
    <cellStyle name="Normal 140 2" xfId="990" xr:uid="{00000000-0005-0000-0000-0000DE030000}"/>
    <cellStyle name="Normal 140 3" xfId="991" xr:uid="{00000000-0005-0000-0000-0000DF030000}"/>
    <cellStyle name="Normal 141" xfId="992" xr:uid="{00000000-0005-0000-0000-0000E0030000}"/>
    <cellStyle name="Normal 141 2" xfId="993" xr:uid="{00000000-0005-0000-0000-0000E1030000}"/>
    <cellStyle name="Normal 141 3" xfId="994" xr:uid="{00000000-0005-0000-0000-0000E2030000}"/>
    <cellStyle name="Normal 142" xfId="995" xr:uid="{00000000-0005-0000-0000-0000E3030000}"/>
    <cellStyle name="Normal 142 2" xfId="996" xr:uid="{00000000-0005-0000-0000-0000E4030000}"/>
    <cellStyle name="Normal 142 3" xfId="997" xr:uid="{00000000-0005-0000-0000-0000E5030000}"/>
    <cellStyle name="Normal 143" xfId="998" xr:uid="{00000000-0005-0000-0000-0000E6030000}"/>
    <cellStyle name="Normal 144" xfId="999" xr:uid="{00000000-0005-0000-0000-0000E7030000}"/>
    <cellStyle name="Normal 145" xfId="1000" xr:uid="{00000000-0005-0000-0000-0000E8030000}"/>
    <cellStyle name="Normal 146" xfId="1001" xr:uid="{00000000-0005-0000-0000-0000E9030000}"/>
    <cellStyle name="Normal 147" xfId="1002" xr:uid="{00000000-0005-0000-0000-0000EA030000}"/>
    <cellStyle name="Normal 148" xfId="1003" xr:uid="{00000000-0005-0000-0000-0000EB030000}"/>
    <cellStyle name="Normal 148 2" xfId="1004" xr:uid="{00000000-0005-0000-0000-0000EC030000}"/>
    <cellStyle name="Normal 148 3" xfId="1005" xr:uid="{00000000-0005-0000-0000-0000ED030000}"/>
    <cellStyle name="Normal 149" xfId="1006" xr:uid="{00000000-0005-0000-0000-0000EE030000}"/>
    <cellStyle name="Normal 149 2" xfId="1007" xr:uid="{00000000-0005-0000-0000-0000EF030000}"/>
    <cellStyle name="Normal 149 3" xfId="1008" xr:uid="{00000000-0005-0000-0000-0000F0030000}"/>
    <cellStyle name="Normal 15" xfId="1009" xr:uid="{00000000-0005-0000-0000-0000F1030000}"/>
    <cellStyle name="Normal 15 2" xfId="1010" xr:uid="{00000000-0005-0000-0000-0000F2030000}"/>
    <cellStyle name="Normal 15 2 2" xfId="1011" xr:uid="{00000000-0005-0000-0000-0000F3030000}"/>
    <cellStyle name="Normal 150" xfId="1012" xr:uid="{00000000-0005-0000-0000-0000F4030000}"/>
    <cellStyle name="Normal 150 2" xfId="1013" xr:uid="{00000000-0005-0000-0000-0000F5030000}"/>
    <cellStyle name="Normal 150 3" xfId="1014" xr:uid="{00000000-0005-0000-0000-0000F6030000}"/>
    <cellStyle name="Normal 151" xfId="1015" xr:uid="{00000000-0005-0000-0000-0000F7030000}"/>
    <cellStyle name="Normal 152" xfId="1016" xr:uid="{00000000-0005-0000-0000-0000F8030000}"/>
    <cellStyle name="Normal 153" xfId="1017" xr:uid="{00000000-0005-0000-0000-0000F9030000}"/>
    <cellStyle name="Normal 153 2" xfId="1018" xr:uid="{00000000-0005-0000-0000-0000FA030000}"/>
    <cellStyle name="Normal 154" xfId="1019" xr:uid="{00000000-0005-0000-0000-0000FB030000}"/>
    <cellStyle name="Normal 154 2" xfId="1020" xr:uid="{00000000-0005-0000-0000-0000FC030000}"/>
    <cellStyle name="Normal 155" xfId="1021" xr:uid="{00000000-0005-0000-0000-0000FD030000}"/>
    <cellStyle name="Normal 155 2" xfId="1022" xr:uid="{00000000-0005-0000-0000-0000FE030000}"/>
    <cellStyle name="Normal 156" xfId="1023" xr:uid="{00000000-0005-0000-0000-0000FF030000}"/>
    <cellStyle name="Normal 156 2" xfId="1024" xr:uid="{00000000-0005-0000-0000-000000040000}"/>
    <cellStyle name="Normal 157" xfId="1025" xr:uid="{00000000-0005-0000-0000-000001040000}"/>
    <cellStyle name="Normal 157 2" xfId="1026" xr:uid="{00000000-0005-0000-0000-000002040000}"/>
    <cellStyle name="Normal 158" xfId="1027" xr:uid="{00000000-0005-0000-0000-000003040000}"/>
    <cellStyle name="Normal 158 2" xfId="1028" xr:uid="{00000000-0005-0000-0000-000004040000}"/>
    <cellStyle name="Normal 159" xfId="1029" xr:uid="{00000000-0005-0000-0000-000005040000}"/>
    <cellStyle name="Normal 159 2" xfId="1030" xr:uid="{00000000-0005-0000-0000-000006040000}"/>
    <cellStyle name="Normal 16" xfId="1031" xr:uid="{00000000-0005-0000-0000-000007040000}"/>
    <cellStyle name="Normal 16 2" xfId="1032" xr:uid="{00000000-0005-0000-0000-000008040000}"/>
    <cellStyle name="Normal 160" xfId="1033" xr:uid="{00000000-0005-0000-0000-000009040000}"/>
    <cellStyle name="Normal 160 2" xfId="1034" xr:uid="{00000000-0005-0000-0000-00000A040000}"/>
    <cellStyle name="Normal 161" xfId="1035" xr:uid="{00000000-0005-0000-0000-00000B040000}"/>
    <cellStyle name="Normal 161 2" xfId="1036" xr:uid="{00000000-0005-0000-0000-00000C040000}"/>
    <cellStyle name="Normal 162" xfId="1037" xr:uid="{00000000-0005-0000-0000-00000D040000}"/>
    <cellStyle name="Normal 162 2" xfId="1038" xr:uid="{00000000-0005-0000-0000-00000E040000}"/>
    <cellStyle name="Normal 163" xfId="1039" xr:uid="{00000000-0005-0000-0000-00000F040000}"/>
    <cellStyle name="Normal 163 2" xfId="1040" xr:uid="{00000000-0005-0000-0000-000010040000}"/>
    <cellStyle name="Normal 164" xfId="1041" xr:uid="{00000000-0005-0000-0000-000011040000}"/>
    <cellStyle name="Normal 164 2" xfId="1042" xr:uid="{00000000-0005-0000-0000-000012040000}"/>
    <cellStyle name="Normal 165" xfId="1043" xr:uid="{00000000-0005-0000-0000-000013040000}"/>
    <cellStyle name="Normal 165 2" xfId="1044" xr:uid="{00000000-0005-0000-0000-000014040000}"/>
    <cellStyle name="Normal 166" xfId="1045" xr:uid="{00000000-0005-0000-0000-000015040000}"/>
    <cellStyle name="Normal 166 2" xfId="1046" xr:uid="{00000000-0005-0000-0000-000016040000}"/>
    <cellStyle name="Normal 167" xfId="1047" xr:uid="{00000000-0005-0000-0000-000017040000}"/>
    <cellStyle name="Normal 167 2" xfId="1048" xr:uid="{00000000-0005-0000-0000-000018040000}"/>
    <cellStyle name="Normal 168" xfId="1049" xr:uid="{00000000-0005-0000-0000-000019040000}"/>
    <cellStyle name="Normal 168 2" xfId="1050" xr:uid="{00000000-0005-0000-0000-00001A040000}"/>
    <cellStyle name="Normal 169" xfId="1051" xr:uid="{00000000-0005-0000-0000-00001B040000}"/>
    <cellStyle name="Normal 169 2" xfId="1052" xr:uid="{00000000-0005-0000-0000-00001C040000}"/>
    <cellStyle name="Normal 17" xfId="1053" xr:uid="{00000000-0005-0000-0000-00001D040000}"/>
    <cellStyle name="Normal 17 2" xfId="1054" xr:uid="{00000000-0005-0000-0000-00001E040000}"/>
    <cellStyle name="Normal 17 3" xfId="1055" xr:uid="{00000000-0005-0000-0000-00001F040000}"/>
    <cellStyle name="Normal 170" xfId="1056" xr:uid="{00000000-0005-0000-0000-000020040000}"/>
    <cellStyle name="Normal 171" xfId="1057" xr:uid="{00000000-0005-0000-0000-000021040000}"/>
    <cellStyle name="Normal 172" xfId="1058" xr:uid="{00000000-0005-0000-0000-000022040000}"/>
    <cellStyle name="Normal 173" xfId="1059" xr:uid="{00000000-0005-0000-0000-000023040000}"/>
    <cellStyle name="Normal 174" xfId="1060" xr:uid="{00000000-0005-0000-0000-000024040000}"/>
    <cellStyle name="Normal 174 2" xfId="1061" xr:uid="{00000000-0005-0000-0000-000025040000}"/>
    <cellStyle name="Normal 175" xfId="1062" xr:uid="{00000000-0005-0000-0000-000026040000}"/>
    <cellStyle name="Normal 175 2" xfId="1063" xr:uid="{00000000-0005-0000-0000-000027040000}"/>
    <cellStyle name="Normal 176" xfId="1064" xr:uid="{00000000-0005-0000-0000-000028040000}"/>
    <cellStyle name="Normal 176 2" xfId="1065" xr:uid="{00000000-0005-0000-0000-000029040000}"/>
    <cellStyle name="Normal 177" xfId="1066" xr:uid="{00000000-0005-0000-0000-00002A040000}"/>
    <cellStyle name="Normal 177 2" xfId="1067" xr:uid="{00000000-0005-0000-0000-00002B040000}"/>
    <cellStyle name="Normal 178" xfId="1068" xr:uid="{00000000-0005-0000-0000-00002C040000}"/>
    <cellStyle name="Normal 178 2" xfId="1069" xr:uid="{00000000-0005-0000-0000-00002D040000}"/>
    <cellStyle name="Normal 179" xfId="1070" xr:uid="{00000000-0005-0000-0000-00002E040000}"/>
    <cellStyle name="Normal 179 2" xfId="1071" xr:uid="{00000000-0005-0000-0000-00002F040000}"/>
    <cellStyle name="Normal 18" xfId="1072" xr:uid="{00000000-0005-0000-0000-000030040000}"/>
    <cellStyle name="Normal 18 2" xfId="1073" xr:uid="{00000000-0005-0000-0000-000031040000}"/>
    <cellStyle name="Normal 180" xfId="1074" xr:uid="{00000000-0005-0000-0000-000032040000}"/>
    <cellStyle name="Normal 180 2" xfId="1075" xr:uid="{00000000-0005-0000-0000-000033040000}"/>
    <cellStyle name="Normal 181" xfId="1076" xr:uid="{00000000-0005-0000-0000-000034040000}"/>
    <cellStyle name="Normal 181 2" xfId="1077" xr:uid="{00000000-0005-0000-0000-000035040000}"/>
    <cellStyle name="Normal 182" xfId="1078" xr:uid="{00000000-0005-0000-0000-000036040000}"/>
    <cellStyle name="Normal 182 2" xfId="1079" xr:uid="{00000000-0005-0000-0000-000037040000}"/>
    <cellStyle name="Normal 183" xfId="1080" xr:uid="{00000000-0005-0000-0000-000038040000}"/>
    <cellStyle name="Normal 183 2" xfId="1081" xr:uid="{00000000-0005-0000-0000-000039040000}"/>
    <cellStyle name="Normal 184" xfId="1082" xr:uid="{00000000-0005-0000-0000-00003A040000}"/>
    <cellStyle name="Normal 184 2" xfId="1083" xr:uid="{00000000-0005-0000-0000-00003B040000}"/>
    <cellStyle name="Normal 185" xfId="1084" xr:uid="{00000000-0005-0000-0000-00003C040000}"/>
    <cellStyle name="Normal 185 2" xfId="1085" xr:uid="{00000000-0005-0000-0000-00003D040000}"/>
    <cellStyle name="Normal 186" xfId="1086" xr:uid="{00000000-0005-0000-0000-00003E040000}"/>
    <cellStyle name="Normal 186 2" xfId="1087" xr:uid="{00000000-0005-0000-0000-00003F040000}"/>
    <cellStyle name="Normal 187" xfId="1088" xr:uid="{00000000-0005-0000-0000-000040040000}"/>
    <cellStyle name="Normal 187 2" xfId="1089" xr:uid="{00000000-0005-0000-0000-000041040000}"/>
    <cellStyle name="Normal 188" xfId="1090" xr:uid="{00000000-0005-0000-0000-000042040000}"/>
    <cellStyle name="Normal 188 2" xfId="1091" xr:uid="{00000000-0005-0000-0000-000043040000}"/>
    <cellStyle name="Normal 189" xfId="1092" xr:uid="{00000000-0005-0000-0000-000044040000}"/>
    <cellStyle name="Normal 189 2" xfId="1093" xr:uid="{00000000-0005-0000-0000-000045040000}"/>
    <cellStyle name="Normal 19" xfId="1094" xr:uid="{00000000-0005-0000-0000-000046040000}"/>
    <cellStyle name="Normal 19 2" xfId="1095" xr:uid="{00000000-0005-0000-0000-000047040000}"/>
    <cellStyle name="Normal 19 3" xfId="1096" xr:uid="{00000000-0005-0000-0000-000048040000}"/>
    <cellStyle name="Normal 190" xfId="1097" xr:uid="{00000000-0005-0000-0000-000049040000}"/>
    <cellStyle name="Normal 190 2" xfId="1098" xr:uid="{00000000-0005-0000-0000-00004A040000}"/>
    <cellStyle name="Normal 191" xfId="1099" xr:uid="{00000000-0005-0000-0000-00004B040000}"/>
    <cellStyle name="Normal 191 2" xfId="1100" xr:uid="{00000000-0005-0000-0000-00004C040000}"/>
    <cellStyle name="Normal 192" xfId="1101" xr:uid="{00000000-0005-0000-0000-00004D040000}"/>
    <cellStyle name="Normal 192 2" xfId="1102" xr:uid="{00000000-0005-0000-0000-00004E040000}"/>
    <cellStyle name="Normal 193" xfId="1103" xr:uid="{00000000-0005-0000-0000-00004F040000}"/>
    <cellStyle name="Normal 193 2" xfId="1104" xr:uid="{00000000-0005-0000-0000-000050040000}"/>
    <cellStyle name="Normal 194" xfId="1105" xr:uid="{00000000-0005-0000-0000-000051040000}"/>
    <cellStyle name="Normal 194 2" xfId="1106" xr:uid="{00000000-0005-0000-0000-000052040000}"/>
    <cellStyle name="Normal 195" xfId="1107" xr:uid="{00000000-0005-0000-0000-000053040000}"/>
    <cellStyle name="Normal 195 2" xfId="1108" xr:uid="{00000000-0005-0000-0000-000054040000}"/>
    <cellStyle name="Normal 196" xfId="1109" xr:uid="{00000000-0005-0000-0000-000055040000}"/>
    <cellStyle name="Normal 196 2" xfId="1110" xr:uid="{00000000-0005-0000-0000-000056040000}"/>
    <cellStyle name="Normal 197" xfId="1111" xr:uid="{00000000-0005-0000-0000-000057040000}"/>
    <cellStyle name="Normal 197 2" xfId="1112" xr:uid="{00000000-0005-0000-0000-000058040000}"/>
    <cellStyle name="Normal 198" xfId="1113" xr:uid="{00000000-0005-0000-0000-000059040000}"/>
    <cellStyle name="Normal 198 2" xfId="1114" xr:uid="{00000000-0005-0000-0000-00005A040000}"/>
    <cellStyle name="Normal 199" xfId="1115" xr:uid="{00000000-0005-0000-0000-00005B040000}"/>
    <cellStyle name="Normal 199 2" xfId="1116" xr:uid="{00000000-0005-0000-0000-00005C040000}"/>
    <cellStyle name="Normal 2" xfId="1117" xr:uid="{00000000-0005-0000-0000-00005D040000}"/>
    <cellStyle name="Normal 2 10" xfId="1118" xr:uid="{00000000-0005-0000-0000-00005E040000}"/>
    <cellStyle name="Normal 2 10 2" xfId="1119" xr:uid="{00000000-0005-0000-0000-00005F040000}"/>
    <cellStyle name="Normal 2 11" xfId="1120" xr:uid="{00000000-0005-0000-0000-000060040000}"/>
    <cellStyle name="Normal 2 11 2" xfId="1121" xr:uid="{00000000-0005-0000-0000-000061040000}"/>
    <cellStyle name="Normal 2 12" xfId="1122" xr:uid="{00000000-0005-0000-0000-000062040000}"/>
    <cellStyle name="Normal 2 12 2" xfId="1123" xr:uid="{00000000-0005-0000-0000-000063040000}"/>
    <cellStyle name="Normal 2 13" xfId="1124" xr:uid="{00000000-0005-0000-0000-000064040000}"/>
    <cellStyle name="Normal 2 13 2" xfId="1125" xr:uid="{00000000-0005-0000-0000-000065040000}"/>
    <cellStyle name="Normal 2 14" xfId="1126" xr:uid="{00000000-0005-0000-0000-000066040000}"/>
    <cellStyle name="Normal 2 14 2" xfId="1127" xr:uid="{00000000-0005-0000-0000-000067040000}"/>
    <cellStyle name="Normal 2 15" xfId="1128" xr:uid="{00000000-0005-0000-0000-000068040000}"/>
    <cellStyle name="Normal 2 15 2" xfId="1129" xr:uid="{00000000-0005-0000-0000-000069040000}"/>
    <cellStyle name="Normal 2 16" xfId="1130" xr:uid="{00000000-0005-0000-0000-00006A040000}"/>
    <cellStyle name="Normal 2 16 2" xfId="1131" xr:uid="{00000000-0005-0000-0000-00006B040000}"/>
    <cellStyle name="Normal 2 17" xfId="1132" xr:uid="{00000000-0005-0000-0000-00006C040000}"/>
    <cellStyle name="Normal 2 17 2" xfId="1133" xr:uid="{00000000-0005-0000-0000-00006D040000}"/>
    <cellStyle name="Normal 2 17 3" xfId="1134" xr:uid="{00000000-0005-0000-0000-00006E040000}"/>
    <cellStyle name="Normal 2 18" xfId="1135" xr:uid="{00000000-0005-0000-0000-00006F040000}"/>
    <cellStyle name="Normal 2 18 2" xfId="1136" xr:uid="{00000000-0005-0000-0000-000070040000}"/>
    <cellStyle name="Normal 2 18 3" xfId="1137" xr:uid="{00000000-0005-0000-0000-000071040000}"/>
    <cellStyle name="Normal 2 19" xfId="1138" xr:uid="{00000000-0005-0000-0000-000072040000}"/>
    <cellStyle name="Normal 2 2" xfId="1139" xr:uid="{00000000-0005-0000-0000-000073040000}"/>
    <cellStyle name="Normal 2 2 10" xfId="1140" xr:uid="{00000000-0005-0000-0000-000074040000}"/>
    <cellStyle name="Normal 2 2 2" xfId="1141" xr:uid="{00000000-0005-0000-0000-000075040000}"/>
    <cellStyle name="Normal 2 2 2 2" xfId="1142" xr:uid="{00000000-0005-0000-0000-000076040000}"/>
    <cellStyle name="Normal 2 2 3" xfId="1143" xr:uid="{00000000-0005-0000-0000-000077040000}"/>
    <cellStyle name="Normal 2 2 3 2" xfId="1144" xr:uid="{00000000-0005-0000-0000-000078040000}"/>
    <cellStyle name="Normal 2 2 4" xfId="1145" xr:uid="{00000000-0005-0000-0000-000079040000}"/>
    <cellStyle name="Normal 2 2 4 2" xfId="1146" xr:uid="{00000000-0005-0000-0000-00007A040000}"/>
    <cellStyle name="Normal 2 2 5" xfId="1147" xr:uid="{00000000-0005-0000-0000-00007B040000}"/>
    <cellStyle name="Normal 2 2 5 2" xfId="1148" xr:uid="{00000000-0005-0000-0000-00007C040000}"/>
    <cellStyle name="Normal 2 2 6" xfId="1149" xr:uid="{00000000-0005-0000-0000-00007D040000}"/>
    <cellStyle name="Normal 2 2 6 2" xfId="1150" xr:uid="{00000000-0005-0000-0000-00007E040000}"/>
    <cellStyle name="Normal 2 2 7" xfId="1151" xr:uid="{00000000-0005-0000-0000-00007F040000}"/>
    <cellStyle name="Normal 2 2 7 2" xfId="1152" xr:uid="{00000000-0005-0000-0000-000080040000}"/>
    <cellStyle name="Normal 2 2 7 3" xfId="1153" xr:uid="{00000000-0005-0000-0000-000081040000}"/>
    <cellStyle name="Normal 2 2 8" xfId="1154" xr:uid="{00000000-0005-0000-0000-000082040000}"/>
    <cellStyle name="Normal 2 2 8 2" xfId="1155" xr:uid="{00000000-0005-0000-0000-000083040000}"/>
    <cellStyle name="Normal 2 2 9" xfId="1156" xr:uid="{00000000-0005-0000-0000-000084040000}"/>
    <cellStyle name="Normal 2 2_Form 1-2012" xfId="1157" xr:uid="{00000000-0005-0000-0000-000085040000}"/>
    <cellStyle name="Normal 2 20" xfId="1158" xr:uid="{00000000-0005-0000-0000-000086040000}"/>
    <cellStyle name="Normal 2 21" xfId="1159" xr:uid="{00000000-0005-0000-0000-000087040000}"/>
    <cellStyle name="Normal 2 3" xfId="1160" xr:uid="{00000000-0005-0000-0000-000088040000}"/>
    <cellStyle name="Normal 2 3 10" xfId="1161" xr:uid="{00000000-0005-0000-0000-000089040000}"/>
    <cellStyle name="Normal 2 3 11" xfId="1162" xr:uid="{00000000-0005-0000-0000-00008A040000}"/>
    <cellStyle name="Normal 2 3 12" xfId="1163" xr:uid="{00000000-0005-0000-0000-00008B040000}"/>
    <cellStyle name="Normal 2 3 2" xfId="1164" xr:uid="{00000000-0005-0000-0000-00008C040000}"/>
    <cellStyle name="Normal 2 3 2 10" xfId="1165" xr:uid="{00000000-0005-0000-0000-00008D040000}"/>
    <cellStyle name="Normal 2 3 2 10 2" xfId="1166" xr:uid="{00000000-0005-0000-0000-00008E040000}"/>
    <cellStyle name="Normal 2 3 2 11" xfId="1167" xr:uid="{00000000-0005-0000-0000-00008F040000}"/>
    <cellStyle name="Normal 2 3 2 11 2" xfId="1168" xr:uid="{00000000-0005-0000-0000-000090040000}"/>
    <cellStyle name="Normal 2 3 2 12" xfId="1169" xr:uid="{00000000-0005-0000-0000-000091040000}"/>
    <cellStyle name="Normal 2 3 2 12 2" xfId="1170" xr:uid="{00000000-0005-0000-0000-000092040000}"/>
    <cellStyle name="Normal 2 3 2 13" xfId="1171" xr:uid="{00000000-0005-0000-0000-000093040000}"/>
    <cellStyle name="Normal 2 3 2 13 2" xfId="1172" xr:uid="{00000000-0005-0000-0000-000094040000}"/>
    <cellStyle name="Normal 2 3 2 14" xfId="1173" xr:uid="{00000000-0005-0000-0000-000095040000}"/>
    <cellStyle name="Normal 2 3 2 2" xfId="1174" xr:uid="{00000000-0005-0000-0000-000096040000}"/>
    <cellStyle name="Normal 2 3 2 2 2" xfId="1175" xr:uid="{00000000-0005-0000-0000-000097040000}"/>
    <cellStyle name="Normal 2 3 2 2 2 2" xfId="1176" xr:uid="{00000000-0005-0000-0000-000098040000}"/>
    <cellStyle name="Normal 2 3 2 2 3" xfId="1177" xr:uid="{00000000-0005-0000-0000-000099040000}"/>
    <cellStyle name="Normal 2 3 2 2 3 2" xfId="1178" xr:uid="{00000000-0005-0000-0000-00009A040000}"/>
    <cellStyle name="Normal 2 3 2 2 4" xfId="1179" xr:uid="{00000000-0005-0000-0000-00009B040000}"/>
    <cellStyle name="Normal 2 3 2 2 4 2" xfId="1180" xr:uid="{00000000-0005-0000-0000-00009C040000}"/>
    <cellStyle name="Normal 2 3 2 2 5" xfId="1181" xr:uid="{00000000-0005-0000-0000-00009D040000}"/>
    <cellStyle name="Normal 2 3 2 2 5 2" xfId="1182" xr:uid="{00000000-0005-0000-0000-00009E040000}"/>
    <cellStyle name="Normal 2 3 2 2 6" xfId="1183" xr:uid="{00000000-0005-0000-0000-00009F040000}"/>
    <cellStyle name="Normal 2 3 2 2 6 2" xfId="1184" xr:uid="{00000000-0005-0000-0000-0000A0040000}"/>
    <cellStyle name="Normal 2 3 2 2 7" xfId="1185" xr:uid="{00000000-0005-0000-0000-0000A1040000}"/>
    <cellStyle name="Normal 2 3 2 3" xfId="1186" xr:uid="{00000000-0005-0000-0000-0000A2040000}"/>
    <cellStyle name="Normal 2 3 2 3 2" xfId="1187" xr:uid="{00000000-0005-0000-0000-0000A3040000}"/>
    <cellStyle name="Normal 2 3 2 3 2 2" xfId="1188" xr:uid="{00000000-0005-0000-0000-0000A4040000}"/>
    <cellStyle name="Normal 2 3 2 3 3" xfId="1189" xr:uid="{00000000-0005-0000-0000-0000A5040000}"/>
    <cellStyle name="Normal 2 3 2 3 3 2" xfId="1190" xr:uid="{00000000-0005-0000-0000-0000A6040000}"/>
    <cellStyle name="Normal 2 3 2 3 4" xfId="1191" xr:uid="{00000000-0005-0000-0000-0000A7040000}"/>
    <cellStyle name="Normal 2 3 2 3 4 2" xfId="1192" xr:uid="{00000000-0005-0000-0000-0000A8040000}"/>
    <cellStyle name="Normal 2 3 2 3 5" xfId="1193" xr:uid="{00000000-0005-0000-0000-0000A9040000}"/>
    <cellStyle name="Normal 2 3 2 3 5 2" xfId="1194" xr:uid="{00000000-0005-0000-0000-0000AA040000}"/>
    <cellStyle name="Normal 2 3 2 3 6" xfId="1195" xr:uid="{00000000-0005-0000-0000-0000AB040000}"/>
    <cellStyle name="Normal 2 3 2 3 6 2" xfId="1196" xr:uid="{00000000-0005-0000-0000-0000AC040000}"/>
    <cellStyle name="Normal 2 3 2 3 7" xfId="1197" xr:uid="{00000000-0005-0000-0000-0000AD040000}"/>
    <cellStyle name="Normal 2 3 2 4" xfId="1198" xr:uid="{00000000-0005-0000-0000-0000AE040000}"/>
    <cellStyle name="Normal 2 3 2 4 2" xfId="1199" xr:uid="{00000000-0005-0000-0000-0000AF040000}"/>
    <cellStyle name="Normal 2 3 2 5" xfId="1200" xr:uid="{00000000-0005-0000-0000-0000B0040000}"/>
    <cellStyle name="Normal 2 3 2 5 2" xfId="1201" xr:uid="{00000000-0005-0000-0000-0000B1040000}"/>
    <cellStyle name="Normal 2 3 2 6" xfId="1202" xr:uid="{00000000-0005-0000-0000-0000B2040000}"/>
    <cellStyle name="Normal 2 3 2 6 2" xfId="1203" xr:uid="{00000000-0005-0000-0000-0000B3040000}"/>
    <cellStyle name="Normal 2 3 2 7" xfId="1204" xr:uid="{00000000-0005-0000-0000-0000B4040000}"/>
    <cellStyle name="Normal 2 3 2 7 2" xfId="1205" xr:uid="{00000000-0005-0000-0000-0000B5040000}"/>
    <cellStyle name="Normal 2 3 2 8" xfId="1206" xr:uid="{00000000-0005-0000-0000-0000B6040000}"/>
    <cellStyle name="Normal 2 3 2 8 2" xfId="1207" xr:uid="{00000000-0005-0000-0000-0000B7040000}"/>
    <cellStyle name="Normal 2 3 2 9" xfId="1208" xr:uid="{00000000-0005-0000-0000-0000B8040000}"/>
    <cellStyle name="Normal 2 3 2 9 2" xfId="1209" xr:uid="{00000000-0005-0000-0000-0000B9040000}"/>
    <cellStyle name="Normal 2 3 2_GT IY 08NOV08 V5 final" xfId="1210" xr:uid="{00000000-0005-0000-0000-0000BA040000}"/>
    <cellStyle name="Normal 2 3 3" xfId="1211" xr:uid="{00000000-0005-0000-0000-0000BB040000}"/>
    <cellStyle name="Normal 2 3 3 2" xfId="1212" xr:uid="{00000000-0005-0000-0000-0000BC040000}"/>
    <cellStyle name="Normal 2 3 4" xfId="1213" xr:uid="{00000000-0005-0000-0000-0000BD040000}"/>
    <cellStyle name="Normal 2 3 4 2" xfId="1214" xr:uid="{00000000-0005-0000-0000-0000BE040000}"/>
    <cellStyle name="Normal 2 3 4 2 2" xfId="1215" xr:uid="{00000000-0005-0000-0000-0000BF040000}"/>
    <cellStyle name="Normal 2 3 4 3" xfId="1216" xr:uid="{00000000-0005-0000-0000-0000C0040000}"/>
    <cellStyle name="Normal 2 3 5" xfId="1217" xr:uid="{00000000-0005-0000-0000-0000C1040000}"/>
    <cellStyle name="Normal 2 3 5 2" xfId="1218" xr:uid="{00000000-0005-0000-0000-0000C2040000}"/>
    <cellStyle name="Normal 2 3 6" xfId="1219" xr:uid="{00000000-0005-0000-0000-0000C3040000}"/>
    <cellStyle name="Normal 2 3 6 2" xfId="1220" xr:uid="{00000000-0005-0000-0000-0000C4040000}"/>
    <cellStyle name="Normal 2 3 6 2 2" xfId="1221" xr:uid="{00000000-0005-0000-0000-0000C5040000}"/>
    <cellStyle name="Normal 2 3 6 3" xfId="1222" xr:uid="{00000000-0005-0000-0000-0000C6040000}"/>
    <cellStyle name="Normal 2 3 7" xfId="1223" xr:uid="{00000000-0005-0000-0000-0000C7040000}"/>
    <cellStyle name="Normal 2 3 7 2" xfId="1224" xr:uid="{00000000-0005-0000-0000-0000C8040000}"/>
    <cellStyle name="Normal 2 3 7 2 2" xfId="1225" xr:uid="{00000000-0005-0000-0000-0000C9040000}"/>
    <cellStyle name="Normal 2 3 7 3" xfId="1226" xr:uid="{00000000-0005-0000-0000-0000CA040000}"/>
    <cellStyle name="Normal 2 3 8" xfId="1227" xr:uid="{00000000-0005-0000-0000-0000CB040000}"/>
    <cellStyle name="Normal 2 3 9" xfId="1228" xr:uid="{00000000-0005-0000-0000-0000CC040000}"/>
    <cellStyle name="Normal 2 3_GT IY 08NOV08 V5 final" xfId="1229" xr:uid="{00000000-0005-0000-0000-0000CD040000}"/>
    <cellStyle name="Normal 2 4" xfId="1230" xr:uid="{00000000-0005-0000-0000-0000CE040000}"/>
    <cellStyle name="Normal 2 4 10" xfId="1231" xr:uid="{00000000-0005-0000-0000-0000CF040000}"/>
    <cellStyle name="Normal 2 4 10 2" xfId="1232" xr:uid="{00000000-0005-0000-0000-0000D0040000}"/>
    <cellStyle name="Normal 2 4 11" xfId="1233" xr:uid="{00000000-0005-0000-0000-0000D1040000}"/>
    <cellStyle name="Normal 2 4 11 2" xfId="1234" xr:uid="{00000000-0005-0000-0000-0000D2040000}"/>
    <cellStyle name="Normal 2 4 12" xfId="1235" xr:uid="{00000000-0005-0000-0000-0000D3040000}"/>
    <cellStyle name="Normal 2 4 12 2" xfId="1236" xr:uid="{00000000-0005-0000-0000-0000D4040000}"/>
    <cellStyle name="Normal 2 4 13" xfId="1237" xr:uid="{00000000-0005-0000-0000-0000D5040000}"/>
    <cellStyle name="Normal 2 4 13 2" xfId="1238" xr:uid="{00000000-0005-0000-0000-0000D6040000}"/>
    <cellStyle name="Normal 2 4 14" xfId="1239" xr:uid="{00000000-0005-0000-0000-0000D7040000}"/>
    <cellStyle name="Normal 2 4 15" xfId="1240" xr:uid="{00000000-0005-0000-0000-0000D8040000}"/>
    <cellStyle name="Normal 2 4 2" xfId="1241" xr:uid="{00000000-0005-0000-0000-0000D9040000}"/>
    <cellStyle name="Normal 2 4 2 2" xfId="1242" xr:uid="{00000000-0005-0000-0000-0000DA040000}"/>
    <cellStyle name="Normal 2 4 2 2 2" xfId="1243" xr:uid="{00000000-0005-0000-0000-0000DB040000}"/>
    <cellStyle name="Normal 2 4 2 3" xfId="1244" xr:uid="{00000000-0005-0000-0000-0000DC040000}"/>
    <cellStyle name="Normal 2 4 2 3 2" xfId="1245" xr:uid="{00000000-0005-0000-0000-0000DD040000}"/>
    <cellStyle name="Normal 2 4 2 4" xfId="1246" xr:uid="{00000000-0005-0000-0000-0000DE040000}"/>
    <cellStyle name="Normal 2 4 2 4 2" xfId="1247" xr:uid="{00000000-0005-0000-0000-0000DF040000}"/>
    <cellStyle name="Normal 2 4 2 5" xfId="1248" xr:uid="{00000000-0005-0000-0000-0000E0040000}"/>
    <cellStyle name="Normal 2 4 2 5 2" xfId="1249" xr:uid="{00000000-0005-0000-0000-0000E1040000}"/>
    <cellStyle name="Normal 2 4 2 6" xfId="1250" xr:uid="{00000000-0005-0000-0000-0000E2040000}"/>
    <cellStyle name="Normal 2 4 2 6 2" xfId="1251" xr:uid="{00000000-0005-0000-0000-0000E3040000}"/>
    <cellStyle name="Normal 2 4 2 7" xfId="1252" xr:uid="{00000000-0005-0000-0000-0000E4040000}"/>
    <cellStyle name="Normal 2 4 3" xfId="1253" xr:uid="{00000000-0005-0000-0000-0000E5040000}"/>
    <cellStyle name="Normal 2 4 3 2" xfId="1254" xr:uid="{00000000-0005-0000-0000-0000E6040000}"/>
    <cellStyle name="Normal 2 4 3 2 2" xfId="1255" xr:uid="{00000000-0005-0000-0000-0000E7040000}"/>
    <cellStyle name="Normal 2 4 3 3" xfId="1256" xr:uid="{00000000-0005-0000-0000-0000E8040000}"/>
    <cellStyle name="Normal 2 4 3 3 2" xfId="1257" xr:uid="{00000000-0005-0000-0000-0000E9040000}"/>
    <cellStyle name="Normal 2 4 3 4" xfId="1258" xr:uid="{00000000-0005-0000-0000-0000EA040000}"/>
    <cellStyle name="Normal 2 4 3 4 2" xfId="1259" xr:uid="{00000000-0005-0000-0000-0000EB040000}"/>
    <cellStyle name="Normal 2 4 3 5" xfId="1260" xr:uid="{00000000-0005-0000-0000-0000EC040000}"/>
    <cellStyle name="Normal 2 4 3 5 2" xfId="1261" xr:uid="{00000000-0005-0000-0000-0000ED040000}"/>
    <cellStyle name="Normal 2 4 3 6" xfId="1262" xr:uid="{00000000-0005-0000-0000-0000EE040000}"/>
    <cellStyle name="Normal 2 4 3 6 2" xfId="1263" xr:uid="{00000000-0005-0000-0000-0000EF040000}"/>
    <cellStyle name="Normal 2 4 3 7" xfId="1264" xr:uid="{00000000-0005-0000-0000-0000F0040000}"/>
    <cellStyle name="Normal 2 4 4" xfId="1265" xr:uid="{00000000-0005-0000-0000-0000F1040000}"/>
    <cellStyle name="Normal 2 4 4 2" xfId="1266" xr:uid="{00000000-0005-0000-0000-0000F2040000}"/>
    <cellStyle name="Normal 2 4 5" xfId="1267" xr:uid="{00000000-0005-0000-0000-0000F3040000}"/>
    <cellStyle name="Normal 2 4 5 2" xfId="1268" xr:uid="{00000000-0005-0000-0000-0000F4040000}"/>
    <cellStyle name="Normal 2 4 6" xfId="1269" xr:uid="{00000000-0005-0000-0000-0000F5040000}"/>
    <cellStyle name="Normal 2 4 6 2" xfId="1270" xr:uid="{00000000-0005-0000-0000-0000F6040000}"/>
    <cellStyle name="Normal 2 4 7" xfId="1271" xr:uid="{00000000-0005-0000-0000-0000F7040000}"/>
    <cellStyle name="Normal 2 4 7 2" xfId="1272" xr:uid="{00000000-0005-0000-0000-0000F8040000}"/>
    <cellStyle name="Normal 2 4 8" xfId="1273" xr:uid="{00000000-0005-0000-0000-0000F9040000}"/>
    <cellStyle name="Normal 2 4 8 2" xfId="1274" xr:uid="{00000000-0005-0000-0000-0000FA040000}"/>
    <cellStyle name="Normal 2 4 9" xfId="1275" xr:uid="{00000000-0005-0000-0000-0000FB040000}"/>
    <cellStyle name="Normal 2 4 9 2" xfId="1276" xr:uid="{00000000-0005-0000-0000-0000FC040000}"/>
    <cellStyle name="Normal 2 4_GT IY 08NOV08 V5 final" xfId="1277" xr:uid="{00000000-0005-0000-0000-0000FD040000}"/>
    <cellStyle name="Normal 2 5" xfId="1278" xr:uid="{00000000-0005-0000-0000-0000FE040000}"/>
    <cellStyle name="Normal 2 5 2" xfId="1279" xr:uid="{00000000-0005-0000-0000-0000FF040000}"/>
    <cellStyle name="Normal 2 5 2 2" xfId="1280" xr:uid="{00000000-0005-0000-0000-000000050000}"/>
    <cellStyle name="Normal 2 5 3" xfId="1281" xr:uid="{00000000-0005-0000-0000-000001050000}"/>
    <cellStyle name="Normal 2 5 3 2" xfId="1282" xr:uid="{00000000-0005-0000-0000-000002050000}"/>
    <cellStyle name="Normal 2 5 4" xfId="1283" xr:uid="{00000000-0005-0000-0000-000003050000}"/>
    <cellStyle name="Normal 2 5 4 2" xfId="1284" xr:uid="{00000000-0005-0000-0000-000004050000}"/>
    <cellStyle name="Normal 2 5 5" xfId="1285" xr:uid="{00000000-0005-0000-0000-000005050000}"/>
    <cellStyle name="Normal 2 5 5 2" xfId="1286" xr:uid="{00000000-0005-0000-0000-000006050000}"/>
    <cellStyle name="Normal 2 5 6" xfId="1287" xr:uid="{00000000-0005-0000-0000-000007050000}"/>
    <cellStyle name="Normal 2 5 6 2" xfId="1288" xr:uid="{00000000-0005-0000-0000-000008050000}"/>
    <cellStyle name="Normal 2 5 7" xfId="1289" xr:uid="{00000000-0005-0000-0000-000009050000}"/>
    <cellStyle name="Normal 2 6" xfId="1290" xr:uid="{00000000-0005-0000-0000-00000A050000}"/>
    <cellStyle name="Normal 2 6 2" xfId="1291" xr:uid="{00000000-0005-0000-0000-00000B050000}"/>
    <cellStyle name="Normal 2 6 2 2" xfId="1292" xr:uid="{00000000-0005-0000-0000-00000C050000}"/>
    <cellStyle name="Normal 2 6 3" xfId="1293" xr:uid="{00000000-0005-0000-0000-00000D050000}"/>
    <cellStyle name="Normal 2 6 3 2" xfId="1294" xr:uid="{00000000-0005-0000-0000-00000E050000}"/>
    <cellStyle name="Normal 2 6 4" xfId="1295" xr:uid="{00000000-0005-0000-0000-00000F050000}"/>
    <cellStyle name="Normal 2 6 4 2" xfId="1296" xr:uid="{00000000-0005-0000-0000-000010050000}"/>
    <cellStyle name="Normal 2 6 5" xfId="1297" xr:uid="{00000000-0005-0000-0000-000011050000}"/>
    <cellStyle name="Normal 2 6 5 2" xfId="1298" xr:uid="{00000000-0005-0000-0000-000012050000}"/>
    <cellStyle name="Normal 2 6 6" xfId="1299" xr:uid="{00000000-0005-0000-0000-000013050000}"/>
    <cellStyle name="Normal 2 6 6 2" xfId="1300" xr:uid="{00000000-0005-0000-0000-000014050000}"/>
    <cellStyle name="Normal 2 6 7" xfId="1301" xr:uid="{00000000-0005-0000-0000-000015050000}"/>
    <cellStyle name="Normal 2 7" xfId="1302" xr:uid="{00000000-0005-0000-0000-000016050000}"/>
    <cellStyle name="Normal 2 7 2" xfId="1303" xr:uid="{00000000-0005-0000-0000-000017050000}"/>
    <cellStyle name="Normal 2 8" xfId="1304" xr:uid="{00000000-0005-0000-0000-000018050000}"/>
    <cellStyle name="Normal 2 8 2" xfId="1305" xr:uid="{00000000-0005-0000-0000-000019050000}"/>
    <cellStyle name="Normal 2 9" xfId="1306" xr:uid="{00000000-0005-0000-0000-00001A050000}"/>
    <cellStyle name="Normal 2 9 2" xfId="1307" xr:uid="{00000000-0005-0000-0000-00001B050000}"/>
    <cellStyle name="Normal 2_Form 1-2012" xfId="1308" xr:uid="{00000000-0005-0000-0000-00001C050000}"/>
    <cellStyle name="Normal 20" xfId="1309" xr:uid="{00000000-0005-0000-0000-00001D050000}"/>
    <cellStyle name="Normal 20 2" xfId="1310" xr:uid="{00000000-0005-0000-0000-00001E050000}"/>
    <cellStyle name="Normal 20 3" xfId="1311" xr:uid="{00000000-0005-0000-0000-00001F050000}"/>
    <cellStyle name="Normal 200" xfId="1312" xr:uid="{00000000-0005-0000-0000-000020050000}"/>
    <cellStyle name="Normal 200 2" xfId="1313" xr:uid="{00000000-0005-0000-0000-000021050000}"/>
    <cellStyle name="Normal 201" xfId="1314" xr:uid="{00000000-0005-0000-0000-000022050000}"/>
    <cellStyle name="Normal 201 2" xfId="1315" xr:uid="{00000000-0005-0000-0000-000023050000}"/>
    <cellStyle name="Normal 202" xfId="1316" xr:uid="{00000000-0005-0000-0000-000024050000}"/>
    <cellStyle name="Normal 203" xfId="1317" xr:uid="{00000000-0005-0000-0000-000025050000}"/>
    <cellStyle name="Normal 204" xfId="1318" xr:uid="{00000000-0005-0000-0000-000026050000}"/>
    <cellStyle name="Normal 205" xfId="1319" xr:uid="{00000000-0005-0000-0000-000027050000}"/>
    <cellStyle name="Normal 206" xfId="1320" xr:uid="{00000000-0005-0000-0000-000028050000}"/>
    <cellStyle name="Normal 207" xfId="1321" xr:uid="{00000000-0005-0000-0000-000029050000}"/>
    <cellStyle name="Normal 208" xfId="1322" xr:uid="{00000000-0005-0000-0000-00002A050000}"/>
    <cellStyle name="Normal 209" xfId="1323" xr:uid="{00000000-0005-0000-0000-00002B050000}"/>
    <cellStyle name="Normal 21" xfId="1324" xr:uid="{00000000-0005-0000-0000-00002C050000}"/>
    <cellStyle name="Normal 21 2" xfId="1325" xr:uid="{00000000-0005-0000-0000-00002D050000}"/>
    <cellStyle name="Normal 21 3" xfId="1326" xr:uid="{00000000-0005-0000-0000-00002E050000}"/>
    <cellStyle name="Normal 21 4" xfId="1327" xr:uid="{00000000-0005-0000-0000-00002F050000}"/>
    <cellStyle name="Normal 210" xfId="1328" xr:uid="{00000000-0005-0000-0000-000030050000}"/>
    <cellStyle name="Normal 211" xfId="1329" xr:uid="{00000000-0005-0000-0000-000031050000}"/>
    <cellStyle name="Normal 212" xfId="1330" xr:uid="{00000000-0005-0000-0000-000032050000}"/>
    <cellStyle name="Normal 213" xfId="1331" xr:uid="{00000000-0005-0000-0000-000033050000}"/>
    <cellStyle name="Normal 214" xfId="1332" xr:uid="{00000000-0005-0000-0000-000034050000}"/>
    <cellStyle name="Normal 215" xfId="1333" xr:uid="{00000000-0005-0000-0000-000035050000}"/>
    <cellStyle name="Normal 216" xfId="1334" xr:uid="{00000000-0005-0000-0000-000036050000}"/>
    <cellStyle name="Normal 217" xfId="1335" xr:uid="{00000000-0005-0000-0000-000037050000}"/>
    <cellStyle name="Normal 218" xfId="1336" xr:uid="{00000000-0005-0000-0000-000038050000}"/>
    <cellStyle name="Normal 219" xfId="1337" xr:uid="{00000000-0005-0000-0000-000039050000}"/>
    <cellStyle name="Normal 22" xfId="1338" xr:uid="{00000000-0005-0000-0000-00003A050000}"/>
    <cellStyle name="Normal 22 2" xfId="1339" xr:uid="{00000000-0005-0000-0000-00003B050000}"/>
    <cellStyle name="Normal 22 3" xfId="1340" xr:uid="{00000000-0005-0000-0000-00003C050000}"/>
    <cellStyle name="Normal 22 4" xfId="1341" xr:uid="{00000000-0005-0000-0000-00003D050000}"/>
    <cellStyle name="Normal 220" xfId="1342" xr:uid="{00000000-0005-0000-0000-00003E050000}"/>
    <cellStyle name="Normal 221" xfId="1343" xr:uid="{00000000-0005-0000-0000-00003F050000}"/>
    <cellStyle name="Normal 222" xfId="1344" xr:uid="{00000000-0005-0000-0000-000040050000}"/>
    <cellStyle name="Normal 223" xfId="1345" xr:uid="{00000000-0005-0000-0000-000041050000}"/>
    <cellStyle name="Normal 223 2" xfId="1346" xr:uid="{00000000-0005-0000-0000-000042050000}"/>
    <cellStyle name="Normal 224" xfId="1347" xr:uid="{00000000-0005-0000-0000-000043050000}"/>
    <cellStyle name="Normal 224 2" xfId="1348" xr:uid="{00000000-0005-0000-0000-000044050000}"/>
    <cellStyle name="Normal 225" xfId="1349" xr:uid="{00000000-0005-0000-0000-000045050000}"/>
    <cellStyle name="Normal 225 2" xfId="1350" xr:uid="{00000000-0005-0000-0000-000046050000}"/>
    <cellStyle name="Normal 226" xfId="1351" xr:uid="{00000000-0005-0000-0000-000047050000}"/>
    <cellStyle name="Normal 226 2" xfId="1352" xr:uid="{00000000-0005-0000-0000-000048050000}"/>
    <cellStyle name="Normal 227" xfId="1353" xr:uid="{00000000-0005-0000-0000-000049050000}"/>
    <cellStyle name="Normal 227 2" xfId="1354" xr:uid="{00000000-0005-0000-0000-00004A050000}"/>
    <cellStyle name="Normal 228" xfId="1355" xr:uid="{00000000-0005-0000-0000-00004B050000}"/>
    <cellStyle name="Normal 228 2" xfId="1356" xr:uid="{00000000-0005-0000-0000-00004C050000}"/>
    <cellStyle name="Normal 229" xfId="1357" xr:uid="{00000000-0005-0000-0000-00004D050000}"/>
    <cellStyle name="Normal 229 2" xfId="1358" xr:uid="{00000000-0005-0000-0000-00004E050000}"/>
    <cellStyle name="Normal 23" xfId="1359" xr:uid="{00000000-0005-0000-0000-00004F050000}"/>
    <cellStyle name="Normal 23 2" xfId="1360" xr:uid="{00000000-0005-0000-0000-000050050000}"/>
    <cellStyle name="Normal 23 2 2" xfId="1361" xr:uid="{00000000-0005-0000-0000-000051050000}"/>
    <cellStyle name="Normal 23 3" xfId="1362" xr:uid="{00000000-0005-0000-0000-000052050000}"/>
    <cellStyle name="Normal 230" xfId="1363" xr:uid="{00000000-0005-0000-0000-000053050000}"/>
    <cellStyle name="Normal 230 2" xfId="1364" xr:uid="{00000000-0005-0000-0000-000054050000}"/>
    <cellStyle name="Normal 231" xfId="1365" xr:uid="{00000000-0005-0000-0000-000055050000}"/>
    <cellStyle name="Normal 231 2" xfId="1366" xr:uid="{00000000-0005-0000-0000-000056050000}"/>
    <cellStyle name="Normal 232" xfId="1367" xr:uid="{00000000-0005-0000-0000-000057050000}"/>
    <cellStyle name="Normal 232 2" xfId="1368" xr:uid="{00000000-0005-0000-0000-000058050000}"/>
    <cellStyle name="Normal 233" xfId="1369" xr:uid="{00000000-0005-0000-0000-000059050000}"/>
    <cellStyle name="Normal 233 2" xfId="1370" xr:uid="{00000000-0005-0000-0000-00005A050000}"/>
    <cellStyle name="Normal 234" xfId="1371" xr:uid="{00000000-0005-0000-0000-00005B050000}"/>
    <cellStyle name="Normal 234 2" xfId="1372" xr:uid="{00000000-0005-0000-0000-00005C050000}"/>
    <cellStyle name="Normal 235" xfId="1373" xr:uid="{00000000-0005-0000-0000-00005D050000}"/>
    <cellStyle name="Normal 235 2" xfId="1374" xr:uid="{00000000-0005-0000-0000-00005E050000}"/>
    <cellStyle name="Normal 236" xfId="1375" xr:uid="{00000000-0005-0000-0000-00005F050000}"/>
    <cellStyle name="Normal 236 2" xfId="1376" xr:uid="{00000000-0005-0000-0000-000060050000}"/>
    <cellStyle name="Normal 237" xfId="1377" xr:uid="{00000000-0005-0000-0000-000061050000}"/>
    <cellStyle name="Normal 237 2" xfId="1378" xr:uid="{00000000-0005-0000-0000-000062050000}"/>
    <cellStyle name="Normal 238" xfId="1379" xr:uid="{00000000-0005-0000-0000-000063050000}"/>
    <cellStyle name="Normal 238 2" xfId="1380" xr:uid="{00000000-0005-0000-0000-000064050000}"/>
    <cellStyle name="Normal 239" xfId="1381" xr:uid="{00000000-0005-0000-0000-000065050000}"/>
    <cellStyle name="Normal 239 2" xfId="1382" xr:uid="{00000000-0005-0000-0000-000066050000}"/>
    <cellStyle name="Normal 24" xfId="1383" xr:uid="{00000000-0005-0000-0000-000067050000}"/>
    <cellStyle name="Normal 24 2" xfId="1384" xr:uid="{00000000-0005-0000-0000-000068050000}"/>
    <cellStyle name="Normal 24 2 2" xfId="1385" xr:uid="{00000000-0005-0000-0000-000069050000}"/>
    <cellStyle name="Normal 24 3" xfId="1386" xr:uid="{00000000-0005-0000-0000-00006A050000}"/>
    <cellStyle name="Normal 24 4" xfId="1387" xr:uid="{00000000-0005-0000-0000-00006B050000}"/>
    <cellStyle name="Normal 240" xfId="1388" xr:uid="{00000000-0005-0000-0000-00006C050000}"/>
    <cellStyle name="Normal 240 2" xfId="1389" xr:uid="{00000000-0005-0000-0000-00006D050000}"/>
    <cellStyle name="Normal 241" xfId="1390" xr:uid="{00000000-0005-0000-0000-00006E050000}"/>
    <cellStyle name="Normal 241 2" xfId="1391" xr:uid="{00000000-0005-0000-0000-00006F050000}"/>
    <cellStyle name="Normal 242" xfId="1392" xr:uid="{00000000-0005-0000-0000-000070050000}"/>
    <cellStyle name="Normal 242 2" xfId="1393" xr:uid="{00000000-0005-0000-0000-000071050000}"/>
    <cellStyle name="Normal 243" xfId="1394" xr:uid="{00000000-0005-0000-0000-000072050000}"/>
    <cellStyle name="Normal 243 2" xfId="1395" xr:uid="{00000000-0005-0000-0000-000073050000}"/>
    <cellStyle name="Normal 244" xfId="1396" xr:uid="{00000000-0005-0000-0000-000074050000}"/>
    <cellStyle name="Normal 244 2" xfId="1397" xr:uid="{00000000-0005-0000-0000-000075050000}"/>
    <cellStyle name="Normal 245" xfId="1398" xr:uid="{00000000-0005-0000-0000-000076050000}"/>
    <cellStyle name="Normal 245 2" xfId="1399" xr:uid="{00000000-0005-0000-0000-000077050000}"/>
    <cellStyle name="Normal 246" xfId="1400" xr:uid="{00000000-0005-0000-0000-000078050000}"/>
    <cellStyle name="Normal 247" xfId="1401" xr:uid="{00000000-0005-0000-0000-000079050000}"/>
    <cellStyle name="Normal 248" xfId="1402" xr:uid="{00000000-0005-0000-0000-00007A050000}"/>
    <cellStyle name="Normal 249" xfId="1403" xr:uid="{00000000-0005-0000-0000-00007B050000}"/>
    <cellStyle name="Normal 25" xfId="1404" xr:uid="{00000000-0005-0000-0000-00007C050000}"/>
    <cellStyle name="Normal 25 2" xfId="1405" xr:uid="{00000000-0005-0000-0000-00007D050000}"/>
    <cellStyle name="Normal 25 3" xfId="1406" xr:uid="{00000000-0005-0000-0000-00007E050000}"/>
    <cellStyle name="Normal 250" xfId="1407" xr:uid="{00000000-0005-0000-0000-00007F050000}"/>
    <cellStyle name="Normal 251" xfId="1408" xr:uid="{00000000-0005-0000-0000-000080050000}"/>
    <cellStyle name="Normal 252" xfId="1409" xr:uid="{00000000-0005-0000-0000-000081050000}"/>
    <cellStyle name="Normal 253" xfId="1410" xr:uid="{00000000-0005-0000-0000-000082050000}"/>
    <cellStyle name="Normal 254" xfId="1411" xr:uid="{00000000-0005-0000-0000-000083050000}"/>
    <cellStyle name="Normal 255" xfId="1412" xr:uid="{00000000-0005-0000-0000-000084050000}"/>
    <cellStyle name="Normal 256" xfId="1413" xr:uid="{00000000-0005-0000-0000-000085050000}"/>
    <cellStyle name="Normal 257" xfId="1414" xr:uid="{00000000-0005-0000-0000-000086050000}"/>
    <cellStyle name="Normal 258" xfId="1415" xr:uid="{00000000-0005-0000-0000-000087050000}"/>
    <cellStyle name="Normal 259" xfId="1416" xr:uid="{00000000-0005-0000-0000-000088050000}"/>
    <cellStyle name="Normal 26" xfId="1417" xr:uid="{00000000-0005-0000-0000-000089050000}"/>
    <cellStyle name="Normal 26 2" xfId="1418" xr:uid="{00000000-0005-0000-0000-00008A050000}"/>
    <cellStyle name="Normal 26 3" xfId="1419" xr:uid="{00000000-0005-0000-0000-00008B050000}"/>
    <cellStyle name="Normal 260" xfId="1420" xr:uid="{00000000-0005-0000-0000-00008C050000}"/>
    <cellStyle name="Normal 261" xfId="1421" xr:uid="{00000000-0005-0000-0000-00008D050000}"/>
    <cellStyle name="Normal 262" xfId="1422" xr:uid="{00000000-0005-0000-0000-00008E050000}"/>
    <cellStyle name="Normal 263" xfId="1423" xr:uid="{00000000-0005-0000-0000-00008F050000}"/>
    <cellStyle name="Normal 264" xfId="1424" xr:uid="{00000000-0005-0000-0000-000090050000}"/>
    <cellStyle name="Normal 265" xfId="1425" xr:uid="{00000000-0005-0000-0000-000091050000}"/>
    <cellStyle name="Normal 265 2" xfId="1426" xr:uid="{00000000-0005-0000-0000-000092050000}"/>
    <cellStyle name="Normal 266" xfId="1427" xr:uid="{00000000-0005-0000-0000-000093050000}"/>
    <cellStyle name="Normal 266 2" xfId="1428" xr:uid="{00000000-0005-0000-0000-000094050000}"/>
    <cellStyle name="Normal 267" xfId="1429" xr:uid="{00000000-0005-0000-0000-000095050000}"/>
    <cellStyle name="Normal 267 2" xfId="1430" xr:uid="{00000000-0005-0000-0000-000096050000}"/>
    <cellStyle name="Normal 268" xfId="1431" xr:uid="{00000000-0005-0000-0000-000097050000}"/>
    <cellStyle name="Normal 268 2" xfId="1432" xr:uid="{00000000-0005-0000-0000-000098050000}"/>
    <cellStyle name="Normal 269" xfId="1433" xr:uid="{00000000-0005-0000-0000-000099050000}"/>
    <cellStyle name="Normal 269 2" xfId="1434" xr:uid="{00000000-0005-0000-0000-00009A050000}"/>
    <cellStyle name="Normal 27" xfId="1435" xr:uid="{00000000-0005-0000-0000-00009B050000}"/>
    <cellStyle name="Normal 27 2" xfId="1436" xr:uid="{00000000-0005-0000-0000-00009C050000}"/>
    <cellStyle name="Normal 27 3" xfId="1437" xr:uid="{00000000-0005-0000-0000-00009D050000}"/>
    <cellStyle name="Normal 270" xfId="1438" xr:uid="{00000000-0005-0000-0000-00009E050000}"/>
    <cellStyle name="Normal 270 2" xfId="1439" xr:uid="{00000000-0005-0000-0000-00009F050000}"/>
    <cellStyle name="Normal 271" xfId="1440" xr:uid="{00000000-0005-0000-0000-0000A0050000}"/>
    <cellStyle name="Normal 271 2" xfId="1441" xr:uid="{00000000-0005-0000-0000-0000A1050000}"/>
    <cellStyle name="Normal 272" xfId="1442" xr:uid="{00000000-0005-0000-0000-0000A2050000}"/>
    <cellStyle name="Normal 272 2" xfId="1443" xr:uid="{00000000-0005-0000-0000-0000A3050000}"/>
    <cellStyle name="Normal 273" xfId="1444" xr:uid="{00000000-0005-0000-0000-0000A4050000}"/>
    <cellStyle name="Normal 273 2" xfId="1445" xr:uid="{00000000-0005-0000-0000-0000A5050000}"/>
    <cellStyle name="Normal 274" xfId="1446" xr:uid="{00000000-0005-0000-0000-0000A6050000}"/>
    <cellStyle name="Normal 274 2" xfId="1447" xr:uid="{00000000-0005-0000-0000-0000A7050000}"/>
    <cellStyle name="Normal 275" xfId="1448" xr:uid="{00000000-0005-0000-0000-0000A8050000}"/>
    <cellStyle name="Normal 275 2" xfId="1449" xr:uid="{00000000-0005-0000-0000-0000A9050000}"/>
    <cellStyle name="Normal 276" xfId="1450" xr:uid="{00000000-0005-0000-0000-0000AA050000}"/>
    <cellStyle name="Normal 276 2" xfId="1451" xr:uid="{00000000-0005-0000-0000-0000AB050000}"/>
    <cellStyle name="Normal 277" xfId="1452" xr:uid="{00000000-0005-0000-0000-0000AC050000}"/>
    <cellStyle name="Normal 277 2" xfId="1453" xr:uid="{00000000-0005-0000-0000-0000AD050000}"/>
    <cellStyle name="Normal 278" xfId="1454" xr:uid="{00000000-0005-0000-0000-0000AE050000}"/>
    <cellStyle name="Normal 278 2" xfId="1455" xr:uid="{00000000-0005-0000-0000-0000AF050000}"/>
    <cellStyle name="Normal 279" xfId="1456" xr:uid="{00000000-0005-0000-0000-0000B0050000}"/>
    <cellStyle name="Normal 279 2" xfId="1457" xr:uid="{00000000-0005-0000-0000-0000B1050000}"/>
    <cellStyle name="Normal 28" xfId="1458" xr:uid="{00000000-0005-0000-0000-0000B2050000}"/>
    <cellStyle name="Normal 28 2" xfId="1459" xr:uid="{00000000-0005-0000-0000-0000B3050000}"/>
    <cellStyle name="Normal 280" xfId="1460" xr:uid="{00000000-0005-0000-0000-0000B4050000}"/>
    <cellStyle name="Normal 280 2" xfId="1461" xr:uid="{00000000-0005-0000-0000-0000B5050000}"/>
    <cellStyle name="Normal 281" xfId="1462" xr:uid="{00000000-0005-0000-0000-0000B6050000}"/>
    <cellStyle name="Normal 281 2" xfId="1463" xr:uid="{00000000-0005-0000-0000-0000B7050000}"/>
    <cellStyle name="Normal 282" xfId="1464" xr:uid="{00000000-0005-0000-0000-0000B8050000}"/>
    <cellStyle name="Normal 282 2" xfId="1465" xr:uid="{00000000-0005-0000-0000-0000B9050000}"/>
    <cellStyle name="Normal 283" xfId="1466" xr:uid="{00000000-0005-0000-0000-0000BA050000}"/>
    <cellStyle name="Normal 283 2" xfId="1467" xr:uid="{00000000-0005-0000-0000-0000BB050000}"/>
    <cellStyle name="Normal 284" xfId="1468" xr:uid="{00000000-0005-0000-0000-0000BC050000}"/>
    <cellStyle name="Normal 284 2" xfId="1469" xr:uid="{00000000-0005-0000-0000-0000BD050000}"/>
    <cellStyle name="Normal 285" xfId="1470" xr:uid="{00000000-0005-0000-0000-0000BE050000}"/>
    <cellStyle name="Normal 285 2" xfId="1471" xr:uid="{00000000-0005-0000-0000-0000BF050000}"/>
    <cellStyle name="Normal 286" xfId="1472" xr:uid="{00000000-0005-0000-0000-0000C0050000}"/>
    <cellStyle name="Normal 286 2" xfId="1473" xr:uid="{00000000-0005-0000-0000-0000C1050000}"/>
    <cellStyle name="Normal 287" xfId="1474" xr:uid="{00000000-0005-0000-0000-0000C2050000}"/>
    <cellStyle name="Normal 287 2" xfId="1475" xr:uid="{00000000-0005-0000-0000-0000C3050000}"/>
    <cellStyle name="Normal 288" xfId="1476" xr:uid="{00000000-0005-0000-0000-0000C4050000}"/>
    <cellStyle name="Normal 289" xfId="1477" xr:uid="{00000000-0005-0000-0000-0000C5050000}"/>
    <cellStyle name="Normal 29" xfId="1478" xr:uid="{00000000-0005-0000-0000-0000C6050000}"/>
    <cellStyle name="Normal 29 2" xfId="1479" xr:uid="{00000000-0005-0000-0000-0000C7050000}"/>
    <cellStyle name="Normal 29 3" xfId="1480" xr:uid="{00000000-0005-0000-0000-0000C8050000}"/>
    <cellStyle name="Normal 290" xfId="1481" xr:uid="{00000000-0005-0000-0000-0000C9050000}"/>
    <cellStyle name="Normal 291" xfId="1482" xr:uid="{00000000-0005-0000-0000-0000CA050000}"/>
    <cellStyle name="Normal 291 2" xfId="1483" xr:uid="{00000000-0005-0000-0000-0000CB050000}"/>
    <cellStyle name="Normal 292" xfId="1484" xr:uid="{00000000-0005-0000-0000-0000CC050000}"/>
    <cellStyle name="Normal 292 2" xfId="1485" xr:uid="{00000000-0005-0000-0000-0000CD050000}"/>
    <cellStyle name="Normal 293" xfId="1486" xr:uid="{00000000-0005-0000-0000-0000CE050000}"/>
    <cellStyle name="Normal 293 2" xfId="1487" xr:uid="{00000000-0005-0000-0000-0000CF050000}"/>
    <cellStyle name="Normal 294" xfId="1488" xr:uid="{00000000-0005-0000-0000-0000D0050000}"/>
    <cellStyle name="Normal 294 2" xfId="1489" xr:uid="{00000000-0005-0000-0000-0000D1050000}"/>
    <cellStyle name="Normal 295" xfId="1490" xr:uid="{00000000-0005-0000-0000-0000D2050000}"/>
    <cellStyle name="Normal 295 2" xfId="1491" xr:uid="{00000000-0005-0000-0000-0000D3050000}"/>
    <cellStyle name="Normal 296" xfId="1492" xr:uid="{00000000-0005-0000-0000-0000D4050000}"/>
    <cellStyle name="Normal 296 2" xfId="1493" xr:uid="{00000000-0005-0000-0000-0000D5050000}"/>
    <cellStyle name="Normal 297" xfId="1494" xr:uid="{00000000-0005-0000-0000-0000D6050000}"/>
    <cellStyle name="Normal 297 2" xfId="1495" xr:uid="{00000000-0005-0000-0000-0000D7050000}"/>
    <cellStyle name="Normal 298" xfId="1496" xr:uid="{00000000-0005-0000-0000-0000D8050000}"/>
    <cellStyle name="Normal 298 2" xfId="1497" xr:uid="{00000000-0005-0000-0000-0000D9050000}"/>
    <cellStyle name="Normal 299" xfId="1498" xr:uid="{00000000-0005-0000-0000-0000DA050000}"/>
    <cellStyle name="Normal 299 2" xfId="1499" xr:uid="{00000000-0005-0000-0000-0000DB050000}"/>
    <cellStyle name="Normal 3" xfId="1500" xr:uid="{00000000-0005-0000-0000-0000DC050000}"/>
    <cellStyle name="Normal 3 10" xfId="1501" xr:uid="{00000000-0005-0000-0000-0000DD050000}"/>
    <cellStyle name="Normal 3 11" xfId="1502" xr:uid="{00000000-0005-0000-0000-0000DE050000}"/>
    <cellStyle name="Normal 3 12" xfId="1503" xr:uid="{00000000-0005-0000-0000-0000DF050000}"/>
    <cellStyle name="Normal 3 2" xfId="1504" xr:uid="{00000000-0005-0000-0000-0000E0050000}"/>
    <cellStyle name="Normal 3 2 2" xfId="1505" xr:uid="{00000000-0005-0000-0000-0000E1050000}"/>
    <cellStyle name="Normal 3 2 2 2" xfId="1506" xr:uid="{00000000-0005-0000-0000-0000E2050000}"/>
    <cellStyle name="Normal 3 2 3" xfId="1507" xr:uid="{00000000-0005-0000-0000-0000E3050000}"/>
    <cellStyle name="Normal 3 2 3 2" xfId="1508" xr:uid="{00000000-0005-0000-0000-0000E4050000}"/>
    <cellStyle name="Normal 3 2 4" xfId="1509" xr:uid="{00000000-0005-0000-0000-0000E5050000}"/>
    <cellStyle name="Normal 3 2 4 2" xfId="1510" xr:uid="{00000000-0005-0000-0000-0000E6050000}"/>
    <cellStyle name="Normal 3 2 5" xfId="1511" xr:uid="{00000000-0005-0000-0000-0000E7050000}"/>
    <cellStyle name="Normal 3 2 5 2" xfId="1512" xr:uid="{00000000-0005-0000-0000-0000E8050000}"/>
    <cellStyle name="Normal 3 2 6" xfId="1513" xr:uid="{00000000-0005-0000-0000-0000E9050000}"/>
    <cellStyle name="Normal 3 2 6 2" xfId="1514" xr:uid="{00000000-0005-0000-0000-0000EA050000}"/>
    <cellStyle name="Normal 3 2 7" xfId="1515" xr:uid="{00000000-0005-0000-0000-0000EB050000}"/>
    <cellStyle name="Normal 3 2 7 2" xfId="1516" xr:uid="{00000000-0005-0000-0000-0000EC050000}"/>
    <cellStyle name="Normal 3 2 7 3" xfId="1517" xr:uid="{00000000-0005-0000-0000-0000ED050000}"/>
    <cellStyle name="Normal 3 2_Form 1-2012" xfId="1518" xr:uid="{00000000-0005-0000-0000-0000EE050000}"/>
    <cellStyle name="Normal 3 3" xfId="1519" xr:uid="{00000000-0005-0000-0000-0000EF050000}"/>
    <cellStyle name="Normal 3 3 2" xfId="1520" xr:uid="{00000000-0005-0000-0000-0000F0050000}"/>
    <cellStyle name="Normal 3 4" xfId="1521" xr:uid="{00000000-0005-0000-0000-0000F1050000}"/>
    <cellStyle name="Normal 3 4 2" xfId="1522" xr:uid="{00000000-0005-0000-0000-0000F2050000}"/>
    <cellStyle name="Normal 3 5" xfId="1523" xr:uid="{00000000-0005-0000-0000-0000F3050000}"/>
    <cellStyle name="Normal 3 5 2" xfId="1524" xr:uid="{00000000-0005-0000-0000-0000F4050000}"/>
    <cellStyle name="Normal 3 6" xfId="1525" xr:uid="{00000000-0005-0000-0000-0000F5050000}"/>
    <cellStyle name="Normal 3 6 2" xfId="1526" xr:uid="{00000000-0005-0000-0000-0000F6050000}"/>
    <cellStyle name="Normal 3 7" xfId="1527" xr:uid="{00000000-0005-0000-0000-0000F7050000}"/>
    <cellStyle name="Normal 3 7 2" xfId="1528" xr:uid="{00000000-0005-0000-0000-0000F8050000}"/>
    <cellStyle name="Normal 3 8" xfId="1529" xr:uid="{00000000-0005-0000-0000-0000F9050000}"/>
    <cellStyle name="Normal 3 9" xfId="1530" xr:uid="{00000000-0005-0000-0000-0000FA050000}"/>
    <cellStyle name="Normal 3 9 2" xfId="1531" xr:uid="{00000000-0005-0000-0000-0000FB050000}"/>
    <cellStyle name="Normal 3_Form 1-2012" xfId="1532" xr:uid="{00000000-0005-0000-0000-0000FC050000}"/>
    <cellStyle name="Normal 30" xfId="1533" xr:uid="{00000000-0005-0000-0000-0000FD050000}"/>
    <cellStyle name="Normal 30 2" xfId="1534" xr:uid="{00000000-0005-0000-0000-0000FE050000}"/>
    <cellStyle name="Normal 300" xfId="1535" xr:uid="{00000000-0005-0000-0000-0000FF050000}"/>
    <cellStyle name="Normal 300 2" xfId="1536" xr:uid="{00000000-0005-0000-0000-000000060000}"/>
    <cellStyle name="Normal 301" xfId="1537" xr:uid="{00000000-0005-0000-0000-000001060000}"/>
    <cellStyle name="Normal 301 2" xfId="1538" xr:uid="{00000000-0005-0000-0000-000002060000}"/>
    <cellStyle name="Normal 302" xfId="1539" xr:uid="{00000000-0005-0000-0000-000003060000}"/>
    <cellStyle name="Normal 303" xfId="1540" xr:uid="{00000000-0005-0000-0000-000004060000}"/>
    <cellStyle name="Normal 304" xfId="1541" xr:uid="{00000000-0005-0000-0000-000005060000}"/>
    <cellStyle name="Normal 304 2" xfId="1542" xr:uid="{00000000-0005-0000-0000-000006060000}"/>
    <cellStyle name="Normal 305" xfId="1543" xr:uid="{00000000-0005-0000-0000-000007060000}"/>
    <cellStyle name="Normal 305 2" xfId="1544" xr:uid="{00000000-0005-0000-0000-000008060000}"/>
    <cellStyle name="Normal 306" xfId="1545" xr:uid="{00000000-0005-0000-0000-000009060000}"/>
    <cellStyle name="Normal 306 2" xfId="1546" xr:uid="{00000000-0005-0000-0000-00000A060000}"/>
    <cellStyle name="Normal 307" xfId="1547" xr:uid="{00000000-0005-0000-0000-00000B060000}"/>
    <cellStyle name="Normal 308" xfId="1548" xr:uid="{00000000-0005-0000-0000-00000C060000}"/>
    <cellStyle name="Normal 309" xfId="1549" xr:uid="{00000000-0005-0000-0000-00000D060000}"/>
    <cellStyle name="Normal 31" xfId="1550" xr:uid="{00000000-0005-0000-0000-00000E060000}"/>
    <cellStyle name="Normal 31 2" xfId="1551" xr:uid="{00000000-0005-0000-0000-00000F060000}"/>
    <cellStyle name="Normal 310" xfId="1552" xr:uid="{00000000-0005-0000-0000-000010060000}"/>
    <cellStyle name="Normal 311" xfId="1553" xr:uid="{00000000-0005-0000-0000-000011060000}"/>
    <cellStyle name="Normal 312" xfId="1554" xr:uid="{00000000-0005-0000-0000-000012060000}"/>
    <cellStyle name="Normal 313" xfId="1555" xr:uid="{00000000-0005-0000-0000-000013060000}"/>
    <cellStyle name="Normal 314" xfId="1556" xr:uid="{00000000-0005-0000-0000-000014060000}"/>
    <cellStyle name="Normal 315" xfId="1557" xr:uid="{00000000-0005-0000-0000-000015060000}"/>
    <cellStyle name="Normal 316" xfId="1558" xr:uid="{00000000-0005-0000-0000-000016060000}"/>
    <cellStyle name="Normal 317" xfId="1559" xr:uid="{00000000-0005-0000-0000-000017060000}"/>
    <cellStyle name="Normal 318" xfId="1560" xr:uid="{00000000-0005-0000-0000-000018060000}"/>
    <cellStyle name="Normal 319" xfId="1561" xr:uid="{00000000-0005-0000-0000-000019060000}"/>
    <cellStyle name="Normal 32" xfId="1562" xr:uid="{00000000-0005-0000-0000-00001A060000}"/>
    <cellStyle name="Normal 32 2" xfId="1563" xr:uid="{00000000-0005-0000-0000-00001B060000}"/>
    <cellStyle name="Normal 320" xfId="1564" xr:uid="{00000000-0005-0000-0000-00001C060000}"/>
    <cellStyle name="Normal 321" xfId="1565" xr:uid="{00000000-0005-0000-0000-00001D060000}"/>
    <cellStyle name="Normal 322" xfId="1566" xr:uid="{00000000-0005-0000-0000-00001E060000}"/>
    <cellStyle name="Normal 323" xfId="1567" xr:uid="{00000000-0005-0000-0000-00001F060000}"/>
    <cellStyle name="Normal 324" xfId="1568" xr:uid="{00000000-0005-0000-0000-000020060000}"/>
    <cellStyle name="Normal 325" xfId="1569" xr:uid="{00000000-0005-0000-0000-000021060000}"/>
    <cellStyle name="Normal 326" xfId="1570" xr:uid="{00000000-0005-0000-0000-000022060000}"/>
    <cellStyle name="Normal 327" xfId="1571" xr:uid="{00000000-0005-0000-0000-000023060000}"/>
    <cellStyle name="Normal 328" xfId="1572" xr:uid="{00000000-0005-0000-0000-000024060000}"/>
    <cellStyle name="Normal 329" xfId="1573" xr:uid="{00000000-0005-0000-0000-000025060000}"/>
    <cellStyle name="Normal 33" xfId="1574" xr:uid="{00000000-0005-0000-0000-000026060000}"/>
    <cellStyle name="Normal 33 2" xfId="1575" xr:uid="{00000000-0005-0000-0000-000027060000}"/>
    <cellStyle name="Normal 330" xfId="1576" xr:uid="{00000000-0005-0000-0000-000028060000}"/>
    <cellStyle name="Normal 331" xfId="1577" xr:uid="{00000000-0005-0000-0000-000029060000}"/>
    <cellStyle name="Normal 332" xfId="1578" xr:uid="{00000000-0005-0000-0000-00002A060000}"/>
    <cellStyle name="Normal 333" xfId="1579" xr:uid="{00000000-0005-0000-0000-00002B060000}"/>
    <cellStyle name="Normal 334" xfId="1580" xr:uid="{00000000-0005-0000-0000-00002C060000}"/>
    <cellStyle name="Normal 335" xfId="1581" xr:uid="{00000000-0005-0000-0000-00002D060000}"/>
    <cellStyle name="Normal 336" xfId="1582" xr:uid="{00000000-0005-0000-0000-00002E060000}"/>
    <cellStyle name="Normal 337" xfId="1583" xr:uid="{00000000-0005-0000-0000-00002F060000}"/>
    <cellStyle name="Normal 338" xfId="1584" xr:uid="{00000000-0005-0000-0000-000030060000}"/>
    <cellStyle name="Normal 339" xfId="1585" xr:uid="{00000000-0005-0000-0000-000031060000}"/>
    <cellStyle name="Normal 34" xfId="1586" xr:uid="{00000000-0005-0000-0000-000032060000}"/>
    <cellStyle name="Normal 34 2" xfId="1587" xr:uid="{00000000-0005-0000-0000-000033060000}"/>
    <cellStyle name="Normal 340" xfId="1588" xr:uid="{00000000-0005-0000-0000-000034060000}"/>
    <cellStyle name="Normal 341" xfId="1589" xr:uid="{00000000-0005-0000-0000-000035060000}"/>
    <cellStyle name="Normal 342" xfId="1590" xr:uid="{00000000-0005-0000-0000-000036060000}"/>
    <cellStyle name="Normal 343" xfId="1591" xr:uid="{00000000-0005-0000-0000-000037060000}"/>
    <cellStyle name="Normal 344" xfId="1592" xr:uid="{00000000-0005-0000-0000-000038060000}"/>
    <cellStyle name="Normal 345" xfId="1593" xr:uid="{00000000-0005-0000-0000-000039060000}"/>
    <cellStyle name="Normal 346" xfId="1594" xr:uid="{00000000-0005-0000-0000-00003A060000}"/>
    <cellStyle name="Normal 347" xfId="1595" xr:uid="{00000000-0005-0000-0000-00003B060000}"/>
    <cellStyle name="Normal 348" xfId="1596" xr:uid="{00000000-0005-0000-0000-00003C060000}"/>
    <cellStyle name="Normal 349" xfId="1597" xr:uid="{00000000-0005-0000-0000-00003D060000}"/>
    <cellStyle name="Normal 35" xfId="1598" xr:uid="{00000000-0005-0000-0000-00003E060000}"/>
    <cellStyle name="Normal 35 2" xfId="1599" xr:uid="{00000000-0005-0000-0000-00003F060000}"/>
    <cellStyle name="Normal 350" xfId="1600" xr:uid="{00000000-0005-0000-0000-000040060000}"/>
    <cellStyle name="Normal 351" xfId="1601" xr:uid="{00000000-0005-0000-0000-000041060000}"/>
    <cellStyle name="Normal 352" xfId="1602" xr:uid="{00000000-0005-0000-0000-000042060000}"/>
    <cellStyle name="Normal 353" xfId="1603" xr:uid="{00000000-0005-0000-0000-000043060000}"/>
    <cellStyle name="Normal 354" xfId="1604" xr:uid="{00000000-0005-0000-0000-000044060000}"/>
    <cellStyle name="Normal 355" xfId="1605" xr:uid="{00000000-0005-0000-0000-000045060000}"/>
    <cellStyle name="Normal 356" xfId="1606" xr:uid="{00000000-0005-0000-0000-000046060000}"/>
    <cellStyle name="Normal 357" xfId="1607" xr:uid="{00000000-0005-0000-0000-000047060000}"/>
    <cellStyle name="Normal 358" xfId="1608" xr:uid="{00000000-0005-0000-0000-000048060000}"/>
    <cellStyle name="Normal 359" xfId="1609" xr:uid="{00000000-0005-0000-0000-000049060000}"/>
    <cellStyle name="Normal 36" xfId="1610" xr:uid="{00000000-0005-0000-0000-00004A060000}"/>
    <cellStyle name="Normal 36 2" xfId="1611" xr:uid="{00000000-0005-0000-0000-00004B060000}"/>
    <cellStyle name="Normal 360" xfId="1612" xr:uid="{00000000-0005-0000-0000-00004C060000}"/>
    <cellStyle name="Normal 361" xfId="1613" xr:uid="{00000000-0005-0000-0000-00004D060000}"/>
    <cellStyle name="Normal 362" xfId="1614" xr:uid="{00000000-0005-0000-0000-00004E060000}"/>
    <cellStyle name="Normal 363" xfId="1615" xr:uid="{00000000-0005-0000-0000-00004F060000}"/>
    <cellStyle name="Normal 364" xfId="1616" xr:uid="{00000000-0005-0000-0000-000050060000}"/>
    <cellStyle name="Normal 365" xfId="1617" xr:uid="{00000000-0005-0000-0000-000051060000}"/>
    <cellStyle name="Normal 366" xfId="1618" xr:uid="{00000000-0005-0000-0000-000052060000}"/>
    <cellStyle name="Normal 367" xfId="1619" xr:uid="{00000000-0005-0000-0000-000053060000}"/>
    <cellStyle name="Normal 368" xfId="1620" xr:uid="{00000000-0005-0000-0000-000054060000}"/>
    <cellStyle name="Normal 369" xfId="1621" xr:uid="{00000000-0005-0000-0000-000055060000}"/>
    <cellStyle name="Normal 37" xfId="1622" xr:uid="{00000000-0005-0000-0000-000056060000}"/>
    <cellStyle name="Normal 37 2" xfId="1623" xr:uid="{00000000-0005-0000-0000-000057060000}"/>
    <cellStyle name="Normal 370" xfId="1624" xr:uid="{00000000-0005-0000-0000-000058060000}"/>
    <cellStyle name="Normal 371" xfId="1625" xr:uid="{00000000-0005-0000-0000-000059060000}"/>
    <cellStyle name="Normal 372" xfId="1626" xr:uid="{00000000-0005-0000-0000-00005A060000}"/>
    <cellStyle name="Normal 373" xfId="1627" xr:uid="{00000000-0005-0000-0000-00005B060000}"/>
    <cellStyle name="Normal 374" xfId="1628" xr:uid="{00000000-0005-0000-0000-00005C060000}"/>
    <cellStyle name="Normal 375" xfId="1629" xr:uid="{00000000-0005-0000-0000-00005D060000}"/>
    <cellStyle name="Normal 376" xfId="1630" xr:uid="{00000000-0005-0000-0000-00005E060000}"/>
    <cellStyle name="Normal 377" xfId="1631" xr:uid="{00000000-0005-0000-0000-00005F060000}"/>
    <cellStyle name="Normal 378" xfId="1632" xr:uid="{00000000-0005-0000-0000-000060060000}"/>
    <cellStyle name="Normal 379" xfId="1633" xr:uid="{00000000-0005-0000-0000-000061060000}"/>
    <cellStyle name="Normal 38" xfId="1634" xr:uid="{00000000-0005-0000-0000-000062060000}"/>
    <cellStyle name="Normal 38 2" xfId="1635" xr:uid="{00000000-0005-0000-0000-000063060000}"/>
    <cellStyle name="Normal 380" xfId="1636" xr:uid="{00000000-0005-0000-0000-000064060000}"/>
    <cellStyle name="Normal 381" xfId="1637" xr:uid="{00000000-0005-0000-0000-000065060000}"/>
    <cellStyle name="Normal 382" xfId="1638" xr:uid="{00000000-0005-0000-0000-000066060000}"/>
    <cellStyle name="Normal 383" xfId="1639" xr:uid="{00000000-0005-0000-0000-000067060000}"/>
    <cellStyle name="Normal 384" xfId="1640" xr:uid="{00000000-0005-0000-0000-000068060000}"/>
    <cellStyle name="Normal 385" xfId="1641" xr:uid="{00000000-0005-0000-0000-000069060000}"/>
    <cellStyle name="Normal 386" xfId="1642" xr:uid="{00000000-0005-0000-0000-00006A060000}"/>
    <cellStyle name="Normal 387" xfId="1643" xr:uid="{00000000-0005-0000-0000-00006B060000}"/>
    <cellStyle name="Normal 388" xfId="1644" xr:uid="{00000000-0005-0000-0000-00006C060000}"/>
    <cellStyle name="Normal 389" xfId="1645" xr:uid="{00000000-0005-0000-0000-00006D060000}"/>
    <cellStyle name="Normal 39" xfId="1646" xr:uid="{00000000-0005-0000-0000-00006E060000}"/>
    <cellStyle name="Normal 390" xfId="1647" xr:uid="{00000000-0005-0000-0000-00006F060000}"/>
    <cellStyle name="Normal 391" xfId="1648" xr:uid="{00000000-0005-0000-0000-000070060000}"/>
    <cellStyle name="Normal 392" xfId="1649" xr:uid="{00000000-0005-0000-0000-000071060000}"/>
    <cellStyle name="Normal 393" xfId="1650" xr:uid="{00000000-0005-0000-0000-000072060000}"/>
    <cellStyle name="Normal 394" xfId="1651" xr:uid="{00000000-0005-0000-0000-000073060000}"/>
    <cellStyle name="Normal 395" xfId="1652" xr:uid="{00000000-0005-0000-0000-000074060000}"/>
    <cellStyle name="Normal 396" xfId="1653" xr:uid="{00000000-0005-0000-0000-000075060000}"/>
    <cellStyle name="Normal 397" xfId="1654" xr:uid="{00000000-0005-0000-0000-000076060000}"/>
    <cellStyle name="Normal 398" xfId="1655" xr:uid="{00000000-0005-0000-0000-000077060000}"/>
    <cellStyle name="Normal 399" xfId="1656" xr:uid="{00000000-0005-0000-0000-000078060000}"/>
    <cellStyle name="Normal 4" xfId="1657" xr:uid="{00000000-0005-0000-0000-000079060000}"/>
    <cellStyle name="Normal 4 10" xfId="1658" xr:uid="{00000000-0005-0000-0000-00007A060000}"/>
    <cellStyle name="Normal 4 11" xfId="1659" xr:uid="{00000000-0005-0000-0000-00007B060000}"/>
    <cellStyle name="Normal 4 2" xfId="1660" xr:uid="{00000000-0005-0000-0000-00007C060000}"/>
    <cellStyle name="Normal 4 2 2" xfId="1661" xr:uid="{00000000-0005-0000-0000-00007D060000}"/>
    <cellStyle name="Normal 4 2 2 2" xfId="1662" xr:uid="{00000000-0005-0000-0000-00007E060000}"/>
    <cellStyle name="Normal 4 2 2 2 2" xfId="1663" xr:uid="{00000000-0005-0000-0000-00007F060000}"/>
    <cellStyle name="Normal 4 2 2 2 3" xfId="1664" xr:uid="{00000000-0005-0000-0000-000080060000}"/>
    <cellStyle name="Normal 4 2 3" xfId="1665" xr:uid="{00000000-0005-0000-0000-000081060000}"/>
    <cellStyle name="Normal 4 2 3 2" xfId="1666" xr:uid="{00000000-0005-0000-0000-000082060000}"/>
    <cellStyle name="Normal 4 2 4" xfId="1667" xr:uid="{00000000-0005-0000-0000-000083060000}"/>
    <cellStyle name="Normal 4 2 4 2" xfId="1668" xr:uid="{00000000-0005-0000-0000-000084060000}"/>
    <cellStyle name="Normal 4 2 5" xfId="1669" xr:uid="{00000000-0005-0000-0000-000085060000}"/>
    <cellStyle name="Normal 4 2 5 2" xfId="1670" xr:uid="{00000000-0005-0000-0000-000086060000}"/>
    <cellStyle name="Normal 4 2 6" xfId="1671" xr:uid="{00000000-0005-0000-0000-000087060000}"/>
    <cellStyle name="Normal 4 2 6 2" xfId="1672" xr:uid="{00000000-0005-0000-0000-000088060000}"/>
    <cellStyle name="Normal 4 2 7" xfId="1673" xr:uid="{00000000-0005-0000-0000-000089060000}"/>
    <cellStyle name="Normal 4 2 7 2" xfId="1674" xr:uid="{00000000-0005-0000-0000-00008A060000}"/>
    <cellStyle name="Normal 4 2 7 3" xfId="1675" xr:uid="{00000000-0005-0000-0000-00008B060000}"/>
    <cellStyle name="Normal 4 3" xfId="1676" xr:uid="{00000000-0005-0000-0000-00008C060000}"/>
    <cellStyle name="Normal 4 3 2" xfId="1677" xr:uid="{00000000-0005-0000-0000-00008D060000}"/>
    <cellStyle name="Normal 4 3 2 2" xfId="1678" xr:uid="{00000000-0005-0000-0000-00008E060000}"/>
    <cellStyle name="Normal 4 3 2 3" xfId="1679" xr:uid="{00000000-0005-0000-0000-00008F060000}"/>
    <cellStyle name="Normal 4 4" xfId="1680" xr:uid="{00000000-0005-0000-0000-000090060000}"/>
    <cellStyle name="Normal 4 4 2" xfId="1681" xr:uid="{00000000-0005-0000-0000-000091060000}"/>
    <cellStyle name="Normal 4 5" xfId="1682" xr:uid="{00000000-0005-0000-0000-000092060000}"/>
    <cellStyle name="Normal 4 5 2" xfId="1683" xr:uid="{00000000-0005-0000-0000-000093060000}"/>
    <cellStyle name="Normal 4 6" xfId="1684" xr:uid="{00000000-0005-0000-0000-000094060000}"/>
    <cellStyle name="Normal 4 6 2" xfId="1685" xr:uid="{00000000-0005-0000-0000-000095060000}"/>
    <cellStyle name="Normal 4 7" xfId="1686" xr:uid="{00000000-0005-0000-0000-000096060000}"/>
    <cellStyle name="Normal 4 7 2" xfId="1687" xr:uid="{00000000-0005-0000-0000-000097060000}"/>
    <cellStyle name="Normal 4 8" xfId="1688" xr:uid="{00000000-0005-0000-0000-000098060000}"/>
    <cellStyle name="Normal 4 8 2" xfId="1689" xr:uid="{00000000-0005-0000-0000-000099060000}"/>
    <cellStyle name="Normal 4 8 3" xfId="1690" xr:uid="{00000000-0005-0000-0000-00009A060000}"/>
    <cellStyle name="Normal 4 9" xfId="1691" xr:uid="{00000000-0005-0000-0000-00009B060000}"/>
    <cellStyle name="Normal 4 9 2" xfId="1692" xr:uid="{00000000-0005-0000-0000-00009C060000}"/>
    <cellStyle name="Normal 4 9 3" xfId="1693" xr:uid="{00000000-0005-0000-0000-00009D060000}"/>
    <cellStyle name="Normal 4_Form 1-2012" xfId="1694" xr:uid="{00000000-0005-0000-0000-00009E060000}"/>
    <cellStyle name="Normal 40" xfId="1695" xr:uid="{00000000-0005-0000-0000-00009F060000}"/>
    <cellStyle name="Normal 400" xfId="1696" xr:uid="{00000000-0005-0000-0000-0000A0060000}"/>
    <cellStyle name="Normal 401" xfId="1697" xr:uid="{00000000-0005-0000-0000-0000A1060000}"/>
    <cellStyle name="Normal 402" xfId="1698" xr:uid="{00000000-0005-0000-0000-0000A2060000}"/>
    <cellStyle name="Normal 403" xfId="1699" xr:uid="{00000000-0005-0000-0000-0000A3060000}"/>
    <cellStyle name="Normal 404" xfId="1700" xr:uid="{00000000-0005-0000-0000-0000A4060000}"/>
    <cellStyle name="Normal 405" xfId="1701" xr:uid="{00000000-0005-0000-0000-0000A5060000}"/>
    <cellStyle name="Normal 406" xfId="1702" xr:uid="{00000000-0005-0000-0000-0000A6060000}"/>
    <cellStyle name="Normal 407" xfId="1703" xr:uid="{00000000-0005-0000-0000-0000A7060000}"/>
    <cellStyle name="Normal 408" xfId="1704" xr:uid="{00000000-0005-0000-0000-0000A8060000}"/>
    <cellStyle name="Normal 409" xfId="1705" xr:uid="{00000000-0005-0000-0000-0000A9060000}"/>
    <cellStyle name="Normal 41" xfId="1706" xr:uid="{00000000-0005-0000-0000-0000AA060000}"/>
    <cellStyle name="Normal 410" xfId="1707" xr:uid="{00000000-0005-0000-0000-0000AB060000}"/>
    <cellStyle name="Normal 411" xfId="1708" xr:uid="{00000000-0005-0000-0000-0000AC060000}"/>
    <cellStyle name="Normal 412" xfId="1709" xr:uid="{00000000-0005-0000-0000-0000AD060000}"/>
    <cellStyle name="Normal 413" xfId="1710" xr:uid="{00000000-0005-0000-0000-0000AE060000}"/>
    <cellStyle name="Normal 414" xfId="1711" xr:uid="{00000000-0005-0000-0000-0000AF060000}"/>
    <cellStyle name="Normal 415" xfId="1712" xr:uid="{00000000-0005-0000-0000-0000B0060000}"/>
    <cellStyle name="Normal 416" xfId="1713" xr:uid="{00000000-0005-0000-0000-0000B1060000}"/>
    <cellStyle name="Normal 417" xfId="1714" xr:uid="{00000000-0005-0000-0000-0000B2060000}"/>
    <cellStyle name="Normal 418" xfId="1715" xr:uid="{00000000-0005-0000-0000-0000B3060000}"/>
    <cellStyle name="Normal 419" xfId="1716" xr:uid="{00000000-0005-0000-0000-0000B4060000}"/>
    <cellStyle name="Normal 42" xfId="1717" xr:uid="{00000000-0005-0000-0000-0000B5060000}"/>
    <cellStyle name="Normal 420" xfId="1718" xr:uid="{00000000-0005-0000-0000-0000B6060000}"/>
    <cellStyle name="Normal 421" xfId="1719" xr:uid="{00000000-0005-0000-0000-0000B7060000}"/>
    <cellStyle name="Normal 422" xfId="1720" xr:uid="{00000000-0005-0000-0000-0000B8060000}"/>
    <cellStyle name="Normal 423" xfId="1721" xr:uid="{00000000-0005-0000-0000-0000B9060000}"/>
    <cellStyle name="Normal 424" xfId="1722" xr:uid="{00000000-0005-0000-0000-0000BA060000}"/>
    <cellStyle name="Normal 425" xfId="1723" xr:uid="{00000000-0005-0000-0000-0000BB060000}"/>
    <cellStyle name="Normal 426" xfId="1724" xr:uid="{00000000-0005-0000-0000-0000BC060000}"/>
    <cellStyle name="Normal 427" xfId="1725" xr:uid="{00000000-0005-0000-0000-0000BD060000}"/>
    <cellStyle name="Normal 428" xfId="1726" xr:uid="{00000000-0005-0000-0000-0000BE060000}"/>
    <cellStyle name="Normal 429" xfId="1727" xr:uid="{00000000-0005-0000-0000-0000BF060000}"/>
    <cellStyle name="Normal 43" xfId="1728" xr:uid="{00000000-0005-0000-0000-0000C0060000}"/>
    <cellStyle name="Normal 430" xfId="1729" xr:uid="{00000000-0005-0000-0000-0000C1060000}"/>
    <cellStyle name="Normal 431" xfId="1730" xr:uid="{00000000-0005-0000-0000-0000C2060000}"/>
    <cellStyle name="Normal 432" xfId="1731" xr:uid="{00000000-0005-0000-0000-0000C3060000}"/>
    <cellStyle name="Normal 433" xfId="1732" xr:uid="{00000000-0005-0000-0000-0000C4060000}"/>
    <cellStyle name="Normal 434" xfId="1733" xr:uid="{00000000-0005-0000-0000-0000C5060000}"/>
    <cellStyle name="Normal 435" xfId="1734" xr:uid="{00000000-0005-0000-0000-0000C6060000}"/>
    <cellStyle name="Normal 436" xfId="1735" xr:uid="{00000000-0005-0000-0000-0000C7060000}"/>
    <cellStyle name="Normal 437" xfId="1736" xr:uid="{00000000-0005-0000-0000-0000C8060000}"/>
    <cellStyle name="Normal 438" xfId="1737" xr:uid="{00000000-0005-0000-0000-0000C9060000}"/>
    <cellStyle name="Normal 439" xfId="1738" xr:uid="{00000000-0005-0000-0000-0000CA060000}"/>
    <cellStyle name="Normal 44" xfId="1739" xr:uid="{00000000-0005-0000-0000-0000CB060000}"/>
    <cellStyle name="Normal 45" xfId="1740" xr:uid="{00000000-0005-0000-0000-0000CC060000}"/>
    <cellStyle name="Normal 46" xfId="1741" xr:uid="{00000000-0005-0000-0000-0000CD060000}"/>
    <cellStyle name="Normal 47" xfId="1742" xr:uid="{00000000-0005-0000-0000-0000CE060000}"/>
    <cellStyle name="Normal 48" xfId="1743" xr:uid="{00000000-0005-0000-0000-0000CF060000}"/>
    <cellStyle name="Normal 49" xfId="1744" xr:uid="{00000000-0005-0000-0000-0000D0060000}"/>
    <cellStyle name="Normal 5" xfId="1745" xr:uid="{00000000-0005-0000-0000-0000D1060000}"/>
    <cellStyle name="Normal 5 2" xfId="1746" xr:uid="{00000000-0005-0000-0000-0000D2060000}"/>
    <cellStyle name="Normal 5 3" xfId="1747" xr:uid="{00000000-0005-0000-0000-0000D3060000}"/>
    <cellStyle name="Normal 5 4" xfId="1748" xr:uid="{00000000-0005-0000-0000-0000D4060000}"/>
    <cellStyle name="Normal 50" xfId="1749" xr:uid="{00000000-0005-0000-0000-0000D5060000}"/>
    <cellStyle name="Normal 51" xfId="1750" xr:uid="{00000000-0005-0000-0000-0000D6060000}"/>
    <cellStyle name="Normal 52" xfId="1751" xr:uid="{00000000-0005-0000-0000-0000D7060000}"/>
    <cellStyle name="Normal 53" xfId="1752" xr:uid="{00000000-0005-0000-0000-0000D8060000}"/>
    <cellStyle name="Normal 54" xfId="1753" xr:uid="{00000000-0005-0000-0000-0000D9060000}"/>
    <cellStyle name="Normal 55" xfId="1754" xr:uid="{00000000-0005-0000-0000-0000DA060000}"/>
    <cellStyle name="Normal 56" xfId="1755" xr:uid="{00000000-0005-0000-0000-0000DB060000}"/>
    <cellStyle name="Normal 57" xfId="1756" xr:uid="{00000000-0005-0000-0000-0000DC060000}"/>
    <cellStyle name="Normal 58" xfId="1757" xr:uid="{00000000-0005-0000-0000-0000DD060000}"/>
    <cellStyle name="Normal 59" xfId="1758" xr:uid="{00000000-0005-0000-0000-0000DE060000}"/>
    <cellStyle name="Normal 6" xfId="1759" xr:uid="{00000000-0005-0000-0000-0000DF060000}"/>
    <cellStyle name="Normal 6 2" xfId="1760" xr:uid="{00000000-0005-0000-0000-0000E0060000}"/>
    <cellStyle name="Normal 6 2 2" xfId="1761" xr:uid="{00000000-0005-0000-0000-0000E1060000}"/>
    <cellStyle name="Normal 6 2 2 2" xfId="1762" xr:uid="{00000000-0005-0000-0000-0000E2060000}"/>
    <cellStyle name="Normal 6 2 2 3" xfId="1763" xr:uid="{00000000-0005-0000-0000-0000E3060000}"/>
    <cellStyle name="Normal 6 3" xfId="1764" xr:uid="{00000000-0005-0000-0000-0000E4060000}"/>
    <cellStyle name="Normal 6 3 2" xfId="1765" xr:uid="{00000000-0005-0000-0000-0000E5060000}"/>
    <cellStyle name="Normal 6 4" xfId="1766" xr:uid="{00000000-0005-0000-0000-0000E6060000}"/>
    <cellStyle name="Normal 6 4 2" xfId="1767" xr:uid="{00000000-0005-0000-0000-0000E7060000}"/>
    <cellStyle name="Normal 6 5" xfId="1768" xr:uid="{00000000-0005-0000-0000-0000E8060000}"/>
    <cellStyle name="Normal 6 5 2" xfId="1769" xr:uid="{00000000-0005-0000-0000-0000E9060000}"/>
    <cellStyle name="Normal 6 6" xfId="1770" xr:uid="{00000000-0005-0000-0000-0000EA060000}"/>
    <cellStyle name="Normal 6 6 2" xfId="1771" xr:uid="{00000000-0005-0000-0000-0000EB060000}"/>
    <cellStyle name="Normal 6 7" xfId="1772" xr:uid="{00000000-0005-0000-0000-0000EC060000}"/>
    <cellStyle name="Normal 6 7 2" xfId="1773" xr:uid="{00000000-0005-0000-0000-0000ED060000}"/>
    <cellStyle name="Normal 6 7 3" xfId="1774" xr:uid="{00000000-0005-0000-0000-0000EE060000}"/>
    <cellStyle name="Normal 6 8" xfId="1775" xr:uid="{00000000-0005-0000-0000-0000EF060000}"/>
    <cellStyle name="Normal 6_Form 1-2012" xfId="1776" xr:uid="{00000000-0005-0000-0000-0000F0060000}"/>
    <cellStyle name="Normal 60" xfId="1777" xr:uid="{00000000-0005-0000-0000-0000F1060000}"/>
    <cellStyle name="Normal 61" xfId="1778" xr:uid="{00000000-0005-0000-0000-0000F2060000}"/>
    <cellStyle name="Normal 62" xfId="1779" xr:uid="{00000000-0005-0000-0000-0000F3060000}"/>
    <cellStyle name="Normal 63" xfId="1780" xr:uid="{00000000-0005-0000-0000-0000F4060000}"/>
    <cellStyle name="Normal 64" xfId="1781" xr:uid="{00000000-0005-0000-0000-0000F5060000}"/>
    <cellStyle name="Normal 65" xfId="1782" xr:uid="{00000000-0005-0000-0000-0000F6060000}"/>
    <cellStyle name="Normal 66" xfId="1783" xr:uid="{00000000-0005-0000-0000-0000F7060000}"/>
    <cellStyle name="Normal 67" xfId="1784" xr:uid="{00000000-0005-0000-0000-0000F8060000}"/>
    <cellStyle name="Normal 68" xfId="1785" xr:uid="{00000000-0005-0000-0000-0000F9060000}"/>
    <cellStyle name="Normal 69" xfId="1786" xr:uid="{00000000-0005-0000-0000-0000FA060000}"/>
    <cellStyle name="Normal 7" xfId="1787" xr:uid="{00000000-0005-0000-0000-0000FB060000}"/>
    <cellStyle name="Normal 7 10" xfId="1788" xr:uid="{00000000-0005-0000-0000-0000FC060000}"/>
    <cellStyle name="Normal 7 2" xfId="1789" xr:uid="{00000000-0005-0000-0000-0000FD060000}"/>
    <cellStyle name="Normal 7 2 2" xfId="1790" xr:uid="{00000000-0005-0000-0000-0000FE060000}"/>
    <cellStyle name="Normal 7 3" xfId="1791" xr:uid="{00000000-0005-0000-0000-0000FF060000}"/>
    <cellStyle name="Normal 7 3 2" xfId="1792" xr:uid="{00000000-0005-0000-0000-000000070000}"/>
    <cellStyle name="Normal 7 4" xfId="1793" xr:uid="{00000000-0005-0000-0000-000001070000}"/>
    <cellStyle name="Normal 7 4 2" xfId="1794" xr:uid="{00000000-0005-0000-0000-000002070000}"/>
    <cellStyle name="Normal 7 5" xfId="1795" xr:uid="{00000000-0005-0000-0000-000003070000}"/>
    <cellStyle name="Normal 7 5 2" xfId="1796" xr:uid="{00000000-0005-0000-0000-000004070000}"/>
    <cellStyle name="Normal 7 6" xfId="1797" xr:uid="{00000000-0005-0000-0000-000005070000}"/>
    <cellStyle name="Normal 7 6 2" xfId="1798" xr:uid="{00000000-0005-0000-0000-000006070000}"/>
    <cellStyle name="Normal 7 7" xfId="1799" xr:uid="{00000000-0005-0000-0000-000007070000}"/>
    <cellStyle name="Normal 7 7 2" xfId="1800" xr:uid="{00000000-0005-0000-0000-000008070000}"/>
    <cellStyle name="Normal 7 7 3" xfId="1801" xr:uid="{00000000-0005-0000-0000-000009070000}"/>
    <cellStyle name="Normal 7 8" xfId="1802" xr:uid="{00000000-0005-0000-0000-00000A070000}"/>
    <cellStyle name="Normal 7 9" xfId="1803" xr:uid="{00000000-0005-0000-0000-00000B070000}"/>
    <cellStyle name="Normal 70" xfId="1804" xr:uid="{00000000-0005-0000-0000-00000C070000}"/>
    <cellStyle name="Normal 71" xfId="1805" xr:uid="{00000000-0005-0000-0000-00000D070000}"/>
    <cellStyle name="Normal 72" xfId="1806" xr:uid="{00000000-0005-0000-0000-00000E070000}"/>
    <cellStyle name="Normal 73" xfId="1807" xr:uid="{00000000-0005-0000-0000-00000F070000}"/>
    <cellStyle name="Normal 74" xfId="1808" xr:uid="{00000000-0005-0000-0000-000010070000}"/>
    <cellStyle name="Normal 75" xfId="1809" xr:uid="{00000000-0005-0000-0000-000011070000}"/>
    <cellStyle name="Normal 76" xfId="1810" xr:uid="{00000000-0005-0000-0000-000012070000}"/>
    <cellStyle name="Normal 77" xfId="1811" xr:uid="{00000000-0005-0000-0000-000013070000}"/>
    <cellStyle name="Normal 78" xfId="1812" xr:uid="{00000000-0005-0000-0000-000014070000}"/>
    <cellStyle name="Normal 79" xfId="1813" xr:uid="{00000000-0005-0000-0000-000015070000}"/>
    <cellStyle name="Normal 8" xfId="1814" xr:uid="{00000000-0005-0000-0000-000016070000}"/>
    <cellStyle name="Normal 8 10" xfId="1815" xr:uid="{00000000-0005-0000-0000-000017070000}"/>
    <cellStyle name="Normal 8 2" xfId="1816" xr:uid="{00000000-0005-0000-0000-000018070000}"/>
    <cellStyle name="Normal 8 2 2" xfId="1817" xr:uid="{00000000-0005-0000-0000-000019070000}"/>
    <cellStyle name="Normal 8 3" xfId="1818" xr:uid="{00000000-0005-0000-0000-00001A070000}"/>
    <cellStyle name="Normal 8 3 2" xfId="1819" xr:uid="{00000000-0005-0000-0000-00001B070000}"/>
    <cellStyle name="Normal 8 4" xfId="1820" xr:uid="{00000000-0005-0000-0000-00001C070000}"/>
    <cellStyle name="Normal 8 4 2" xfId="1821" xr:uid="{00000000-0005-0000-0000-00001D070000}"/>
    <cellStyle name="Normal 8 5" xfId="1822" xr:uid="{00000000-0005-0000-0000-00001E070000}"/>
    <cellStyle name="Normal 8 5 2" xfId="1823" xr:uid="{00000000-0005-0000-0000-00001F070000}"/>
    <cellStyle name="Normal 8 6" xfId="1824" xr:uid="{00000000-0005-0000-0000-000020070000}"/>
    <cellStyle name="Normal 8 6 2" xfId="1825" xr:uid="{00000000-0005-0000-0000-000021070000}"/>
    <cellStyle name="Normal 8 7" xfId="1826" xr:uid="{00000000-0005-0000-0000-000022070000}"/>
    <cellStyle name="Normal 8 7 2" xfId="1827" xr:uid="{00000000-0005-0000-0000-000023070000}"/>
    <cellStyle name="Normal 8 7 3" xfId="1828" xr:uid="{00000000-0005-0000-0000-000024070000}"/>
    <cellStyle name="Normal 8 8" xfId="1829" xr:uid="{00000000-0005-0000-0000-000025070000}"/>
    <cellStyle name="Normal 8 9" xfId="1830" xr:uid="{00000000-0005-0000-0000-000026070000}"/>
    <cellStyle name="Normal 80" xfId="1831" xr:uid="{00000000-0005-0000-0000-000027070000}"/>
    <cellStyle name="Normal 81" xfId="1832" xr:uid="{00000000-0005-0000-0000-000028070000}"/>
    <cellStyle name="Normal 82" xfId="1833" xr:uid="{00000000-0005-0000-0000-000029070000}"/>
    <cellStyle name="Normal 83" xfId="1834" xr:uid="{00000000-0005-0000-0000-00002A070000}"/>
    <cellStyle name="Normal 84" xfId="1835" xr:uid="{00000000-0005-0000-0000-00002B070000}"/>
    <cellStyle name="Normal 85" xfId="1836" xr:uid="{00000000-0005-0000-0000-00002C070000}"/>
    <cellStyle name="Normal 86" xfId="1837" xr:uid="{00000000-0005-0000-0000-00002D070000}"/>
    <cellStyle name="Normal 87" xfId="1838" xr:uid="{00000000-0005-0000-0000-00002E070000}"/>
    <cellStyle name="Normal 88" xfId="1839" xr:uid="{00000000-0005-0000-0000-00002F070000}"/>
    <cellStyle name="Normal 89" xfId="1840" xr:uid="{00000000-0005-0000-0000-000030070000}"/>
    <cellStyle name="Normal 9" xfId="1841" xr:uid="{00000000-0005-0000-0000-000031070000}"/>
    <cellStyle name="Normal 9 2" xfId="1842" xr:uid="{00000000-0005-0000-0000-000032070000}"/>
    <cellStyle name="Normal 9 2 2" xfId="1843" xr:uid="{00000000-0005-0000-0000-000033070000}"/>
    <cellStyle name="Normal 9 2 3" xfId="1844" xr:uid="{00000000-0005-0000-0000-000034070000}"/>
    <cellStyle name="Normal 9 2 4" xfId="1845" xr:uid="{00000000-0005-0000-0000-000035070000}"/>
    <cellStyle name="Normal 9 3" xfId="1846" xr:uid="{00000000-0005-0000-0000-000036070000}"/>
    <cellStyle name="Normal 9 3 2" xfId="1847" xr:uid="{00000000-0005-0000-0000-000037070000}"/>
    <cellStyle name="Normal 90" xfId="1848" xr:uid="{00000000-0005-0000-0000-000038070000}"/>
    <cellStyle name="Normal 91" xfId="1849" xr:uid="{00000000-0005-0000-0000-000039070000}"/>
    <cellStyle name="Normal 92" xfId="1850" xr:uid="{00000000-0005-0000-0000-00003A070000}"/>
    <cellStyle name="Normal 93" xfId="1851" xr:uid="{00000000-0005-0000-0000-00003B070000}"/>
    <cellStyle name="Normal 94" xfId="1852" xr:uid="{00000000-0005-0000-0000-00003C070000}"/>
    <cellStyle name="Normal 95" xfId="1853" xr:uid="{00000000-0005-0000-0000-00003D070000}"/>
    <cellStyle name="Normal 96" xfId="1854" xr:uid="{00000000-0005-0000-0000-00003E070000}"/>
    <cellStyle name="Normal 97" xfId="1855" xr:uid="{00000000-0005-0000-0000-00003F070000}"/>
    <cellStyle name="Normal 98" xfId="1856" xr:uid="{00000000-0005-0000-0000-000040070000}"/>
    <cellStyle name="Normal 99" xfId="1857" xr:uid="{00000000-0005-0000-0000-000041070000}"/>
    <cellStyle name="Normal_C_ME Ref Figures - Jan 04" xfId="1858" xr:uid="{00000000-0005-0000-0000-000042070000}"/>
    <cellStyle name="Normal_CPI_ExRate" xfId="1859" xr:uid="{00000000-0005-0000-0000-000043070000}"/>
    <cellStyle name="Normal_export v0.1" xfId="1860" xr:uid="{00000000-0005-0000-0000-000044070000}"/>
    <cellStyle name="Note 2" xfId="1861" xr:uid="{00000000-0005-0000-0000-000045070000}"/>
    <cellStyle name="Note 2 2" xfId="1862" xr:uid="{00000000-0005-0000-0000-000046070000}"/>
    <cellStyle name="Note 2 2 2" xfId="1863" xr:uid="{00000000-0005-0000-0000-000047070000}"/>
    <cellStyle name="Note 2 3" xfId="1864" xr:uid="{00000000-0005-0000-0000-000048070000}"/>
    <cellStyle name="Note 2 3 2" xfId="1865" xr:uid="{00000000-0005-0000-0000-000049070000}"/>
    <cellStyle name="Note 2 3 3" xfId="1866" xr:uid="{00000000-0005-0000-0000-00004A070000}"/>
    <cellStyle name="Note 2 3 4" xfId="1867" xr:uid="{00000000-0005-0000-0000-00004B070000}"/>
    <cellStyle name="Note 2 4" xfId="1868" xr:uid="{00000000-0005-0000-0000-00004C070000}"/>
    <cellStyle name="Note 2 4 2" xfId="1869" xr:uid="{00000000-0005-0000-0000-00004D070000}"/>
    <cellStyle name="Note 2 5" xfId="1870" xr:uid="{00000000-0005-0000-0000-00004E070000}"/>
    <cellStyle name="Note 2 6" xfId="1871" xr:uid="{00000000-0005-0000-0000-00004F070000}"/>
    <cellStyle name="Note 2 7" xfId="1872" xr:uid="{00000000-0005-0000-0000-000050070000}"/>
    <cellStyle name="Note 2 8" xfId="1873" xr:uid="{00000000-0005-0000-0000-000051070000}"/>
    <cellStyle name="Note 2 9" xfId="1874" xr:uid="{00000000-0005-0000-0000-000052070000}"/>
    <cellStyle name="Notiz" xfId="1875" xr:uid="{00000000-0005-0000-0000-000053070000}"/>
    <cellStyle name="Notiz 10" xfId="1876" xr:uid="{00000000-0005-0000-0000-000054070000}"/>
    <cellStyle name="Notiz 11" xfId="1877" xr:uid="{00000000-0005-0000-0000-000055070000}"/>
    <cellStyle name="Notiz 12" xfId="1878" xr:uid="{00000000-0005-0000-0000-000056070000}"/>
    <cellStyle name="Notiz 2" xfId="1879" xr:uid="{00000000-0005-0000-0000-000057070000}"/>
    <cellStyle name="Notiz 2 10" xfId="1880" xr:uid="{00000000-0005-0000-0000-000058070000}"/>
    <cellStyle name="Notiz 2 11" xfId="1881" xr:uid="{00000000-0005-0000-0000-000059070000}"/>
    <cellStyle name="Notiz 2 2" xfId="1882" xr:uid="{00000000-0005-0000-0000-00005A070000}"/>
    <cellStyle name="Notiz 2 3" xfId="1883" xr:uid="{00000000-0005-0000-0000-00005B070000}"/>
    <cellStyle name="Notiz 2 4" xfId="1884" xr:uid="{00000000-0005-0000-0000-00005C070000}"/>
    <cellStyle name="Notiz 2 5" xfId="1885" xr:uid="{00000000-0005-0000-0000-00005D070000}"/>
    <cellStyle name="Notiz 2 6" xfId="1886" xr:uid="{00000000-0005-0000-0000-00005E070000}"/>
    <cellStyle name="Notiz 2 7" xfId="1887" xr:uid="{00000000-0005-0000-0000-00005F070000}"/>
    <cellStyle name="Notiz 2 8" xfId="1888" xr:uid="{00000000-0005-0000-0000-000060070000}"/>
    <cellStyle name="Notiz 2 9" xfId="1889" xr:uid="{00000000-0005-0000-0000-000061070000}"/>
    <cellStyle name="Notiz 3" xfId="1890" xr:uid="{00000000-0005-0000-0000-000062070000}"/>
    <cellStyle name="Notiz 4" xfId="1891" xr:uid="{00000000-0005-0000-0000-000063070000}"/>
    <cellStyle name="Notiz 5" xfId="1892" xr:uid="{00000000-0005-0000-0000-000064070000}"/>
    <cellStyle name="Notiz 6" xfId="1893" xr:uid="{00000000-0005-0000-0000-000065070000}"/>
    <cellStyle name="Notiz 7" xfId="1894" xr:uid="{00000000-0005-0000-0000-000066070000}"/>
    <cellStyle name="Notiz 8" xfId="1895" xr:uid="{00000000-0005-0000-0000-000067070000}"/>
    <cellStyle name="Notiz 9" xfId="1896" xr:uid="{00000000-0005-0000-0000-000068070000}"/>
    <cellStyle name="Output 2" xfId="1898" xr:uid="{00000000-0005-0000-0000-00006A070000}"/>
    <cellStyle name="Output 3" xfId="1899" xr:uid="{00000000-0005-0000-0000-00006B070000}"/>
    <cellStyle name="OUTPUT AMOUNTS" xfId="1900" xr:uid="{00000000-0005-0000-0000-00006C070000}"/>
    <cellStyle name="OUTPUT COLUMN HEADINGS" xfId="1901" xr:uid="{00000000-0005-0000-0000-00006D070000}"/>
    <cellStyle name="OUTPUT LINE ITEMS" xfId="1902" xr:uid="{00000000-0005-0000-0000-00006E070000}"/>
    <cellStyle name="OUTPUT REPORT HEADING" xfId="1903" xr:uid="{00000000-0005-0000-0000-00006F070000}"/>
    <cellStyle name="Output Report Title" xfId="1904" xr:uid="{00000000-0005-0000-0000-000070070000}"/>
    <cellStyle name="Percent [2]" xfId="1906" xr:uid="{00000000-0005-0000-0000-000072070000}"/>
    <cellStyle name="Percent [2] 2" xfId="1907" xr:uid="{00000000-0005-0000-0000-000073070000}"/>
    <cellStyle name="Percent 10" xfId="1908" xr:uid="{00000000-0005-0000-0000-000074070000}"/>
    <cellStyle name="Percent 100" xfId="1909" xr:uid="{00000000-0005-0000-0000-000075070000}"/>
    <cellStyle name="Percent 101" xfId="1910" xr:uid="{00000000-0005-0000-0000-000076070000}"/>
    <cellStyle name="Percent 102" xfId="1911" xr:uid="{00000000-0005-0000-0000-000077070000}"/>
    <cellStyle name="Percent 103" xfId="1912" xr:uid="{00000000-0005-0000-0000-000078070000}"/>
    <cellStyle name="Percent 104" xfId="1913" xr:uid="{00000000-0005-0000-0000-000079070000}"/>
    <cellStyle name="Percent 105" xfId="1914" xr:uid="{00000000-0005-0000-0000-00007A070000}"/>
    <cellStyle name="Percent 106" xfId="1915" xr:uid="{00000000-0005-0000-0000-00007B070000}"/>
    <cellStyle name="Percent 107" xfId="1916" xr:uid="{00000000-0005-0000-0000-00007C070000}"/>
    <cellStyle name="Percent 108" xfId="1917" xr:uid="{00000000-0005-0000-0000-00007D070000}"/>
    <cellStyle name="Percent 109" xfId="1918" xr:uid="{00000000-0005-0000-0000-00007E070000}"/>
    <cellStyle name="Percent 11" xfId="1919" xr:uid="{00000000-0005-0000-0000-00007F070000}"/>
    <cellStyle name="Percent 11 2" xfId="1920" xr:uid="{00000000-0005-0000-0000-000080070000}"/>
    <cellStyle name="Percent 110" xfId="1921" xr:uid="{00000000-0005-0000-0000-000081070000}"/>
    <cellStyle name="Percent 111" xfId="1922" xr:uid="{00000000-0005-0000-0000-000082070000}"/>
    <cellStyle name="Percent 112" xfId="1923" xr:uid="{00000000-0005-0000-0000-000083070000}"/>
    <cellStyle name="Percent 113" xfId="1924" xr:uid="{00000000-0005-0000-0000-000084070000}"/>
    <cellStyle name="Percent 114" xfId="1925" xr:uid="{00000000-0005-0000-0000-000085070000}"/>
    <cellStyle name="Percent 115" xfId="1926" xr:uid="{00000000-0005-0000-0000-000086070000}"/>
    <cellStyle name="Percent 116" xfId="1927" xr:uid="{00000000-0005-0000-0000-000087070000}"/>
    <cellStyle name="Percent 117" xfId="1928" xr:uid="{00000000-0005-0000-0000-000088070000}"/>
    <cellStyle name="Percent 118" xfId="1929" xr:uid="{00000000-0005-0000-0000-000089070000}"/>
    <cellStyle name="Percent 119" xfId="1930" xr:uid="{00000000-0005-0000-0000-00008A070000}"/>
    <cellStyle name="Percent 12" xfId="1931" xr:uid="{00000000-0005-0000-0000-00008B070000}"/>
    <cellStyle name="Percent 12 2" xfId="1932" xr:uid="{00000000-0005-0000-0000-00008C070000}"/>
    <cellStyle name="Percent 120" xfId="1933" xr:uid="{00000000-0005-0000-0000-00008D070000}"/>
    <cellStyle name="Percent 121" xfId="1934" xr:uid="{00000000-0005-0000-0000-00008E070000}"/>
    <cellStyle name="Percent 122" xfId="1935" xr:uid="{00000000-0005-0000-0000-00008F070000}"/>
    <cellStyle name="Percent 123" xfId="1936" xr:uid="{00000000-0005-0000-0000-000090070000}"/>
    <cellStyle name="Percent 124" xfId="1937" xr:uid="{00000000-0005-0000-0000-000091070000}"/>
    <cellStyle name="Percent 125" xfId="1938" xr:uid="{00000000-0005-0000-0000-000092070000}"/>
    <cellStyle name="Percent 126" xfId="1939" xr:uid="{00000000-0005-0000-0000-000093070000}"/>
    <cellStyle name="Percent 127" xfId="1940" xr:uid="{00000000-0005-0000-0000-000094070000}"/>
    <cellStyle name="Percent 128" xfId="1941" xr:uid="{00000000-0005-0000-0000-000095070000}"/>
    <cellStyle name="Percent 129" xfId="1942" xr:uid="{00000000-0005-0000-0000-000096070000}"/>
    <cellStyle name="Percent 13" xfId="1943" xr:uid="{00000000-0005-0000-0000-000097070000}"/>
    <cellStyle name="Percent 13 2" xfId="1944" xr:uid="{00000000-0005-0000-0000-000098070000}"/>
    <cellStyle name="Percent 130" xfId="1945" xr:uid="{00000000-0005-0000-0000-000099070000}"/>
    <cellStyle name="Percent 131" xfId="1946" xr:uid="{00000000-0005-0000-0000-00009A070000}"/>
    <cellStyle name="Percent 132" xfId="1947" xr:uid="{00000000-0005-0000-0000-00009B070000}"/>
    <cellStyle name="Percent 133" xfId="1948" xr:uid="{00000000-0005-0000-0000-00009C070000}"/>
    <cellStyle name="Percent 134" xfId="1949" xr:uid="{00000000-0005-0000-0000-00009D070000}"/>
    <cellStyle name="Percent 135" xfId="1950" xr:uid="{00000000-0005-0000-0000-00009E070000}"/>
    <cellStyle name="Percent 136" xfId="1951" xr:uid="{00000000-0005-0000-0000-00009F070000}"/>
    <cellStyle name="Percent 137" xfId="1952" xr:uid="{00000000-0005-0000-0000-0000A0070000}"/>
    <cellStyle name="Percent 138" xfId="1953" xr:uid="{00000000-0005-0000-0000-0000A1070000}"/>
    <cellStyle name="Percent 139" xfId="1954" xr:uid="{00000000-0005-0000-0000-0000A2070000}"/>
    <cellStyle name="Percent 14" xfId="1955" xr:uid="{00000000-0005-0000-0000-0000A3070000}"/>
    <cellStyle name="Percent 14 2" xfId="1956" xr:uid="{00000000-0005-0000-0000-0000A4070000}"/>
    <cellStyle name="Percent 140" xfId="1957" xr:uid="{00000000-0005-0000-0000-0000A5070000}"/>
    <cellStyle name="Percent 141" xfId="1958" xr:uid="{00000000-0005-0000-0000-0000A6070000}"/>
    <cellStyle name="Percent 142" xfId="1959" xr:uid="{00000000-0005-0000-0000-0000A7070000}"/>
    <cellStyle name="Percent 143" xfId="1960" xr:uid="{00000000-0005-0000-0000-0000A8070000}"/>
    <cellStyle name="Percent 144" xfId="1961" xr:uid="{00000000-0005-0000-0000-0000A9070000}"/>
    <cellStyle name="Percent 145" xfId="1962" xr:uid="{00000000-0005-0000-0000-0000AA070000}"/>
    <cellStyle name="Percent 146" xfId="1963" xr:uid="{00000000-0005-0000-0000-0000AB070000}"/>
    <cellStyle name="Percent 147" xfId="1964" xr:uid="{00000000-0005-0000-0000-0000AC070000}"/>
    <cellStyle name="Percent 148" xfId="1965" xr:uid="{00000000-0005-0000-0000-0000AD070000}"/>
    <cellStyle name="Percent 149" xfId="1966" xr:uid="{00000000-0005-0000-0000-0000AE070000}"/>
    <cellStyle name="Percent 15" xfId="1967" xr:uid="{00000000-0005-0000-0000-0000AF070000}"/>
    <cellStyle name="Percent 15 2" xfId="1968" xr:uid="{00000000-0005-0000-0000-0000B0070000}"/>
    <cellStyle name="Percent 150" xfId="1969" xr:uid="{00000000-0005-0000-0000-0000B1070000}"/>
    <cellStyle name="Percent 151" xfId="1970" xr:uid="{00000000-0005-0000-0000-0000B2070000}"/>
    <cellStyle name="Percent 152" xfId="1971" xr:uid="{00000000-0005-0000-0000-0000B3070000}"/>
    <cellStyle name="Percent 153" xfId="1972" xr:uid="{00000000-0005-0000-0000-0000B4070000}"/>
    <cellStyle name="Percent 154" xfId="1973" xr:uid="{00000000-0005-0000-0000-0000B5070000}"/>
    <cellStyle name="Percent 155" xfId="1974" xr:uid="{00000000-0005-0000-0000-0000B6070000}"/>
    <cellStyle name="Percent 156" xfId="1975" xr:uid="{00000000-0005-0000-0000-0000B7070000}"/>
    <cellStyle name="Percent 157" xfId="1976" xr:uid="{00000000-0005-0000-0000-0000B8070000}"/>
    <cellStyle name="Percent 158" xfId="1977" xr:uid="{00000000-0005-0000-0000-0000B9070000}"/>
    <cellStyle name="Percent 159" xfId="1978" xr:uid="{00000000-0005-0000-0000-0000BA070000}"/>
    <cellStyle name="Percent 16" xfId="1979" xr:uid="{00000000-0005-0000-0000-0000BB070000}"/>
    <cellStyle name="Percent 16 2" xfId="1980" xr:uid="{00000000-0005-0000-0000-0000BC070000}"/>
    <cellStyle name="Percent 16 3" xfId="1981" xr:uid="{00000000-0005-0000-0000-0000BD070000}"/>
    <cellStyle name="Percent 160" xfId="1982" xr:uid="{00000000-0005-0000-0000-0000BE070000}"/>
    <cellStyle name="Percent 161" xfId="1983" xr:uid="{00000000-0005-0000-0000-0000BF070000}"/>
    <cellStyle name="Percent 162" xfId="1984" xr:uid="{00000000-0005-0000-0000-0000C0070000}"/>
    <cellStyle name="Percent 163" xfId="1985" xr:uid="{00000000-0005-0000-0000-0000C1070000}"/>
    <cellStyle name="Percent 164" xfId="1986" xr:uid="{00000000-0005-0000-0000-0000C2070000}"/>
    <cellStyle name="Percent 165" xfId="1987" xr:uid="{00000000-0005-0000-0000-0000C3070000}"/>
    <cellStyle name="Percent 166" xfId="1988" xr:uid="{00000000-0005-0000-0000-0000C4070000}"/>
    <cellStyle name="Percent 166 2" xfId="1989" xr:uid="{00000000-0005-0000-0000-0000C5070000}"/>
    <cellStyle name="Percent 167" xfId="1990" xr:uid="{00000000-0005-0000-0000-0000C6070000}"/>
    <cellStyle name="Percent 167 2" xfId="1991" xr:uid="{00000000-0005-0000-0000-0000C7070000}"/>
    <cellStyle name="Percent 168" xfId="1992" xr:uid="{00000000-0005-0000-0000-0000C8070000}"/>
    <cellStyle name="Percent 169" xfId="1993" xr:uid="{00000000-0005-0000-0000-0000C9070000}"/>
    <cellStyle name="Percent 17" xfId="1994" xr:uid="{00000000-0005-0000-0000-0000CA070000}"/>
    <cellStyle name="Percent 17 2" xfId="1995" xr:uid="{00000000-0005-0000-0000-0000CB070000}"/>
    <cellStyle name="Percent 17 3" xfId="1996" xr:uid="{00000000-0005-0000-0000-0000CC070000}"/>
    <cellStyle name="Percent 170" xfId="1997" xr:uid="{00000000-0005-0000-0000-0000CD070000}"/>
    <cellStyle name="Percent 171" xfId="1998" xr:uid="{00000000-0005-0000-0000-0000CE070000}"/>
    <cellStyle name="Percent 172" xfId="1999" xr:uid="{00000000-0005-0000-0000-0000CF070000}"/>
    <cellStyle name="Percent 173" xfId="2000" xr:uid="{00000000-0005-0000-0000-0000D0070000}"/>
    <cellStyle name="Percent 174" xfId="2001" xr:uid="{00000000-0005-0000-0000-0000D1070000}"/>
    <cellStyle name="Percent 175" xfId="2002" xr:uid="{00000000-0005-0000-0000-0000D2070000}"/>
    <cellStyle name="Percent 176" xfId="2003" xr:uid="{00000000-0005-0000-0000-0000D3070000}"/>
    <cellStyle name="Percent 177" xfId="2004" xr:uid="{00000000-0005-0000-0000-0000D4070000}"/>
    <cellStyle name="Percent 178" xfId="2005" xr:uid="{00000000-0005-0000-0000-0000D5070000}"/>
    <cellStyle name="Percent 179" xfId="2006" xr:uid="{00000000-0005-0000-0000-0000D6070000}"/>
    <cellStyle name="Percent 18" xfId="2007" xr:uid="{00000000-0005-0000-0000-0000D7070000}"/>
    <cellStyle name="Percent 18 2" xfId="2008" xr:uid="{00000000-0005-0000-0000-0000D8070000}"/>
    <cellStyle name="Percent 180" xfId="2009" xr:uid="{00000000-0005-0000-0000-0000D9070000}"/>
    <cellStyle name="Percent 181" xfId="2010" xr:uid="{00000000-0005-0000-0000-0000DA070000}"/>
    <cellStyle name="Percent 182" xfId="2011" xr:uid="{00000000-0005-0000-0000-0000DB070000}"/>
    <cellStyle name="Percent 183" xfId="2012" xr:uid="{00000000-0005-0000-0000-0000DC070000}"/>
    <cellStyle name="Percent 184" xfId="2013" xr:uid="{00000000-0005-0000-0000-0000DD070000}"/>
    <cellStyle name="Percent 185" xfId="2014" xr:uid="{00000000-0005-0000-0000-0000DE070000}"/>
    <cellStyle name="Percent 186" xfId="2015" xr:uid="{00000000-0005-0000-0000-0000DF070000}"/>
    <cellStyle name="Percent 187" xfId="2016" xr:uid="{00000000-0005-0000-0000-0000E0070000}"/>
    <cellStyle name="Percent 188" xfId="2017" xr:uid="{00000000-0005-0000-0000-0000E1070000}"/>
    <cellStyle name="Percent 189" xfId="2018" xr:uid="{00000000-0005-0000-0000-0000E2070000}"/>
    <cellStyle name="Percent 19" xfId="2019" xr:uid="{00000000-0005-0000-0000-0000E3070000}"/>
    <cellStyle name="Percent 19 2" xfId="2020" xr:uid="{00000000-0005-0000-0000-0000E4070000}"/>
    <cellStyle name="Percent 190" xfId="2021" xr:uid="{00000000-0005-0000-0000-0000E5070000}"/>
    <cellStyle name="Percent 191" xfId="2022" xr:uid="{00000000-0005-0000-0000-0000E6070000}"/>
    <cellStyle name="Percent 192" xfId="2023" xr:uid="{00000000-0005-0000-0000-0000E7070000}"/>
    <cellStyle name="Percent 193" xfId="2024" xr:uid="{00000000-0005-0000-0000-0000E8070000}"/>
    <cellStyle name="Percent 194" xfId="2025" xr:uid="{00000000-0005-0000-0000-0000E9070000}"/>
    <cellStyle name="Percent 195" xfId="2026" xr:uid="{00000000-0005-0000-0000-0000EA070000}"/>
    <cellStyle name="Percent 196" xfId="2027" xr:uid="{00000000-0005-0000-0000-0000EB070000}"/>
    <cellStyle name="Percent 197" xfId="2028" xr:uid="{00000000-0005-0000-0000-0000EC070000}"/>
    <cellStyle name="Percent 198" xfId="2029" xr:uid="{00000000-0005-0000-0000-0000ED070000}"/>
    <cellStyle name="Percent 199" xfId="2030" xr:uid="{00000000-0005-0000-0000-0000EE070000}"/>
    <cellStyle name="Percent 2" xfId="2031" xr:uid="{00000000-0005-0000-0000-0000EF070000}"/>
    <cellStyle name="Percent 2 10" xfId="2032" xr:uid="{00000000-0005-0000-0000-0000F0070000}"/>
    <cellStyle name="Percent 2 11" xfId="2033" xr:uid="{00000000-0005-0000-0000-0000F1070000}"/>
    <cellStyle name="Percent 2 12" xfId="2034" xr:uid="{00000000-0005-0000-0000-0000F2070000}"/>
    <cellStyle name="Percent 2 13" xfId="2035" xr:uid="{00000000-0005-0000-0000-0000F3070000}"/>
    <cellStyle name="Percent 2 14" xfId="2036" xr:uid="{00000000-0005-0000-0000-0000F4070000}"/>
    <cellStyle name="Percent 2 2" xfId="2037" xr:uid="{00000000-0005-0000-0000-0000F5070000}"/>
    <cellStyle name="Percent 2 2 2" xfId="2038" xr:uid="{00000000-0005-0000-0000-0000F6070000}"/>
    <cellStyle name="Percent 2 2 2 2" xfId="2039" xr:uid="{00000000-0005-0000-0000-0000F7070000}"/>
    <cellStyle name="Percent 2 2 3" xfId="2040" xr:uid="{00000000-0005-0000-0000-0000F8070000}"/>
    <cellStyle name="Percent 2 2 3 2" xfId="2041" xr:uid="{00000000-0005-0000-0000-0000F9070000}"/>
    <cellStyle name="Percent 2 2 4" xfId="2042" xr:uid="{00000000-0005-0000-0000-0000FA070000}"/>
    <cellStyle name="Percent 2 2 4 2" xfId="2043" xr:uid="{00000000-0005-0000-0000-0000FB070000}"/>
    <cellStyle name="Percent 2 2 5" xfId="2044" xr:uid="{00000000-0005-0000-0000-0000FC070000}"/>
    <cellStyle name="Percent 2 2 5 2" xfId="2045" xr:uid="{00000000-0005-0000-0000-0000FD070000}"/>
    <cellStyle name="Percent 2 2 6" xfId="2046" xr:uid="{00000000-0005-0000-0000-0000FE070000}"/>
    <cellStyle name="Percent 2 2 6 2" xfId="2047" xr:uid="{00000000-0005-0000-0000-0000FF070000}"/>
    <cellStyle name="Percent 2 2 7" xfId="2048" xr:uid="{00000000-0005-0000-0000-000000080000}"/>
    <cellStyle name="Percent 2 2 8" xfId="2049" xr:uid="{00000000-0005-0000-0000-000001080000}"/>
    <cellStyle name="Percent 2 3" xfId="2050" xr:uid="{00000000-0005-0000-0000-000002080000}"/>
    <cellStyle name="Percent 2 3 10" xfId="2051" xr:uid="{00000000-0005-0000-0000-000003080000}"/>
    <cellStyle name="Percent 2 3 10 2" xfId="2052" xr:uid="{00000000-0005-0000-0000-000004080000}"/>
    <cellStyle name="Percent 2 3 11" xfId="2053" xr:uid="{00000000-0005-0000-0000-000005080000}"/>
    <cellStyle name="Percent 2 3 11 2" xfId="2054" xr:uid="{00000000-0005-0000-0000-000006080000}"/>
    <cellStyle name="Percent 2 3 12" xfId="2055" xr:uid="{00000000-0005-0000-0000-000007080000}"/>
    <cellStyle name="Percent 2 3 12 2" xfId="2056" xr:uid="{00000000-0005-0000-0000-000008080000}"/>
    <cellStyle name="Percent 2 3 13" xfId="2057" xr:uid="{00000000-0005-0000-0000-000009080000}"/>
    <cellStyle name="Percent 2 3 13 2" xfId="2058" xr:uid="{00000000-0005-0000-0000-00000A080000}"/>
    <cellStyle name="Percent 2 3 14" xfId="2059" xr:uid="{00000000-0005-0000-0000-00000B080000}"/>
    <cellStyle name="Percent 2 3 15" xfId="2060" xr:uid="{00000000-0005-0000-0000-00000C080000}"/>
    <cellStyle name="Percent 2 3 2" xfId="2061" xr:uid="{00000000-0005-0000-0000-00000D080000}"/>
    <cellStyle name="Percent 2 3 2 2" xfId="2062" xr:uid="{00000000-0005-0000-0000-00000E080000}"/>
    <cellStyle name="Percent 2 3 2 2 2" xfId="2063" xr:uid="{00000000-0005-0000-0000-00000F080000}"/>
    <cellStyle name="Percent 2 3 2 3" xfId="2064" xr:uid="{00000000-0005-0000-0000-000010080000}"/>
    <cellStyle name="Percent 2 3 2 3 2" xfId="2065" xr:uid="{00000000-0005-0000-0000-000011080000}"/>
    <cellStyle name="Percent 2 3 2 4" xfId="2066" xr:uid="{00000000-0005-0000-0000-000012080000}"/>
    <cellStyle name="Percent 2 3 2 4 2" xfId="2067" xr:uid="{00000000-0005-0000-0000-000013080000}"/>
    <cellStyle name="Percent 2 3 2 5" xfId="2068" xr:uid="{00000000-0005-0000-0000-000014080000}"/>
    <cellStyle name="Percent 2 3 2 5 2" xfId="2069" xr:uid="{00000000-0005-0000-0000-000015080000}"/>
    <cellStyle name="Percent 2 3 2 6" xfId="2070" xr:uid="{00000000-0005-0000-0000-000016080000}"/>
    <cellStyle name="Percent 2 3 2 6 2" xfId="2071" xr:uid="{00000000-0005-0000-0000-000017080000}"/>
    <cellStyle name="Percent 2 3 2 7" xfId="2072" xr:uid="{00000000-0005-0000-0000-000018080000}"/>
    <cellStyle name="Percent 2 3 3" xfId="2073" xr:uid="{00000000-0005-0000-0000-000019080000}"/>
    <cellStyle name="Percent 2 3 3 2" xfId="2074" xr:uid="{00000000-0005-0000-0000-00001A080000}"/>
    <cellStyle name="Percent 2 3 3 2 2" xfId="2075" xr:uid="{00000000-0005-0000-0000-00001B080000}"/>
    <cellStyle name="Percent 2 3 3 3" xfId="2076" xr:uid="{00000000-0005-0000-0000-00001C080000}"/>
    <cellStyle name="Percent 2 3 3 3 2" xfId="2077" xr:uid="{00000000-0005-0000-0000-00001D080000}"/>
    <cellStyle name="Percent 2 3 3 4" xfId="2078" xr:uid="{00000000-0005-0000-0000-00001E080000}"/>
    <cellStyle name="Percent 2 3 3 4 2" xfId="2079" xr:uid="{00000000-0005-0000-0000-00001F080000}"/>
    <cellStyle name="Percent 2 3 3 5" xfId="2080" xr:uid="{00000000-0005-0000-0000-000020080000}"/>
    <cellStyle name="Percent 2 3 3 5 2" xfId="2081" xr:uid="{00000000-0005-0000-0000-000021080000}"/>
    <cellStyle name="Percent 2 3 3 6" xfId="2082" xr:uid="{00000000-0005-0000-0000-000022080000}"/>
    <cellStyle name="Percent 2 3 3 6 2" xfId="2083" xr:uid="{00000000-0005-0000-0000-000023080000}"/>
    <cellStyle name="Percent 2 3 3 7" xfId="2084" xr:uid="{00000000-0005-0000-0000-000024080000}"/>
    <cellStyle name="Percent 2 3 4" xfId="2085" xr:uid="{00000000-0005-0000-0000-000025080000}"/>
    <cellStyle name="Percent 2 3 4 2" xfId="2086" xr:uid="{00000000-0005-0000-0000-000026080000}"/>
    <cellStyle name="Percent 2 3 5" xfId="2087" xr:uid="{00000000-0005-0000-0000-000027080000}"/>
    <cellStyle name="Percent 2 3 5 2" xfId="2088" xr:uid="{00000000-0005-0000-0000-000028080000}"/>
    <cellStyle name="Percent 2 3 6" xfId="2089" xr:uid="{00000000-0005-0000-0000-000029080000}"/>
    <cellStyle name="Percent 2 3 6 2" xfId="2090" xr:uid="{00000000-0005-0000-0000-00002A080000}"/>
    <cellStyle name="Percent 2 3 7" xfId="2091" xr:uid="{00000000-0005-0000-0000-00002B080000}"/>
    <cellStyle name="Percent 2 3 7 2" xfId="2092" xr:uid="{00000000-0005-0000-0000-00002C080000}"/>
    <cellStyle name="Percent 2 3 8" xfId="2093" xr:uid="{00000000-0005-0000-0000-00002D080000}"/>
    <cellStyle name="Percent 2 3 8 2" xfId="2094" xr:uid="{00000000-0005-0000-0000-00002E080000}"/>
    <cellStyle name="Percent 2 3 9" xfId="2095" xr:uid="{00000000-0005-0000-0000-00002F080000}"/>
    <cellStyle name="Percent 2 3 9 2" xfId="2096" xr:uid="{00000000-0005-0000-0000-000030080000}"/>
    <cellStyle name="Percent 2 4" xfId="2097" xr:uid="{00000000-0005-0000-0000-000031080000}"/>
    <cellStyle name="Percent 2 4 10" xfId="2098" xr:uid="{00000000-0005-0000-0000-000032080000}"/>
    <cellStyle name="Percent 2 4 10 2" xfId="2099" xr:uid="{00000000-0005-0000-0000-000033080000}"/>
    <cellStyle name="Percent 2 4 11" xfId="2100" xr:uid="{00000000-0005-0000-0000-000034080000}"/>
    <cellStyle name="Percent 2 4 11 2" xfId="2101" xr:uid="{00000000-0005-0000-0000-000035080000}"/>
    <cellStyle name="Percent 2 4 12" xfId="2102" xr:uid="{00000000-0005-0000-0000-000036080000}"/>
    <cellStyle name="Percent 2 4 12 2" xfId="2103" xr:uid="{00000000-0005-0000-0000-000037080000}"/>
    <cellStyle name="Percent 2 4 13" xfId="2104" xr:uid="{00000000-0005-0000-0000-000038080000}"/>
    <cellStyle name="Percent 2 4 13 2" xfId="2105" xr:uid="{00000000-0005-0000-0000-000039080000}"/>
    <cellStyle name="Percent 2 4 14" xfId="2106" xr:uid="{00000000-0005-0000-0000-00003A080000}"/>
    <cellStyle name="Percent 2 4 14 2" xfId="2107" xr:uid="{00000000-0005-0000-0000-00003B080000}"/>
    <cellStyle name="Percent 2 4 15" xfId="2108" xr:uid="{00000000-0005-0000-0000-00003C080000}"/>
    <cellStyle name="Percent 2 4 16" xfId="2109" xr:uid="{00000000-0005-0000-0000-00003D080000}"/>
    <cellStyle name="Percent 2 4 2" xfId="2110" xr:uid="{00000000-0005-0000-0000-00003E080000}"/>
    <cellStyle name="Percent 2 4 2 10" xfId="2111" xr:uid="{00000000-0005-0000-0000-00003F080000}"/>
    <cellStyle name="Percent 2 4 2 10 2" xfId="2112" xr:uid="{00000000-0005-0000-0000-000040080000}"/>
    <cellStyle name="Percent 2 4 2 11" xfId="2113" xr:uid="{00000000-0005-0000-0000-000041080000}"/>
    <cellStyle name="Percent 2 4 2 11 2" xfId="2114" xr:uid="{00000000-0005-0000-0000-000042080000}"/>
    <cellStyle name="Percent 2 4 2 12" xfId="2115" xr:uid="{00000000-0005-0000-0000-000043080000}"/>
    <cellStyle name="Percent 2 4 2 12 2" xfId="2116" xr:uid="{00000000-0005-0000-0000-000044080000}"/>
    <cellStyle name="Percent 2 4 2 13" xfId="2117" xr:uid="{00000000-0005-0000-0000-000045080000}"/>
    <cellStyle name="Percent 2 4 2 13 2" xfId="2118" xr:uid="{00000000-0005-0000-0000-000046080000}"/>
    <cellStyle name="Percent 2 4 2 14" xfId="2119" xr:uid="{00000000-0005-0000-0000-000047080000}"/>
    <cellStyle name="Percent 2 4 2 2" xfId="2120" xr:uid="{00000000-0005-0000-0000-000048080000}"/>
    <cellStyle name="Percent 2 4 2 2 2" xfId="2121" xr:uid="{00000000-0005-0000-0000-000049080000}"/>
    <cellStyle name="Percent 2 4 2 2 2 2" xfId="2122" xr:uid="{00000000-0005-0000-0000-00004A080000}"/>
    <cellStyle name="Percent 2 4 2 2 3" xfId="2123" xr:uid="{00000000-0005-0000-0000-00004B080000}"/>
    <cellStyle name="Percent 2 4 2 2 3 2" xfId="2124" xr:uid="{00000000-0005-0000-0000-00004C080000}"/>
    <cellStyle name="Percent 2 4 2 2 4" xfId="2125" xr:uid="{00000000-0005-0000-0000-00004D080000}"/>
    <cellStyle name="Percent 2 4 2 2 4 2" xfId="2126" xr:uid="{00000000-0005-0000-0000-00004E080000}"/>
    <cellStyle name="Percent 2 4 2 2 5" xfId="2127" xr:uid="{00000000-0005-0000-0000-00004F080000}"/>
    <cellStyle name="Percent 2 4 2 2 5 2" xfId="2128" xr:uid="{00000000-0005-0000-0000-000050080000}"/>
    <cellStyle name="Percent 2 4 2 2 6" xfId="2129" xr:uid="{00000000-0005-0000-0000-000051080000}"/>
    <cellStyle name="Percent 2 4 2 2 6 2" xfId="2130" xr:uid="{00000000-0005-0000-0000-000052080000}"/>
    <cellStyle name="Percent 2 4 2 2 7" xfId="2131" xr:uid="{00000000-0005-0000-0000-000053080000}"/>
    <cellStyle name="Percent 2 4 2 3" xfId="2132" xr:uid="{00000000-0005-0000-0000-000054080000}"/>
    <cellStyle name="Percent 2 4 2 3 2" xfId="2133" xr:uid="{00000000-0005-0000-0000-000055080000}"/>
    <cellStyle name="Percent 2 4 2 3 2 2" xfId="2134" xr:uid="{00000000-0005-0000-0000-000056080000}"/>
    <cellStyle name="Percent 2 4 2 3 3" xfId="2135" xr:uid="{00000000-0005-0000-0000-000057080000}"/>
    <cellStyle name="Percent 2 4 2 3 3 2" xfId="2136" xr:uid="{00000000-0005-0000-0000-000058080000}"/>
    <cellStyle name="Percent 2 4 2 3 4" xfId="2137" xr:uid="{00000000-0005-0000-0000-000059080000}"/>
    <cellStyle name="Percent 2 4 2 3 4 2" xfId="2138" xr:uid="{00000000-0005-0000-0000-00005A080000}"/>
    <cellStyle name="Percent 2 4 2 3 5" xfId="2139" xr:uid="{00000000-0005-0000-0000-00005B080000}"/>
    <cellStyle name="Percent 2 4 2 3 5 2" xfId="2140" xr:uid="{00000000-0005-0000-0000-00005C080000}"/>
    <cellStyle name="Percent 2 4 2 3 6" xfId="2141" xr:uid="{00000000-0005-0000-0000-00005D080000}"/>
    <cellStyle name="Percent 2 4 2 3 6 2" xfId="2142" xr:uid="{00000000-0005-0000-0000-00005E080000}"/>
    <cellStyle name="Percent 2 4 2 3 7" xfId="2143" xr:uid="{00000000-0005-0000-0000-00005F080000}"/>
    <cellStyle name="Percent 2 4 2 4" xfId="2144" xr:uid="{00000000-0005-0000-0000-000060080000}"/>
    <cellStyle name="Percent 2 4 2 4 2" xfId="2145" xr:uid="{00000000-0005-0000-0000-000061080000}"/>
    <cellStyle name="Percent 2 4 2 5" xfId="2146" xr:uid="{00000000-0005-0000-0000-000062080000}"/>
    <cellStyle name="Percent 2 4 2 5 2" xfId="2147" xr:uid="{00000000-0005-0000-0000-000063080000}"/>
    <cellStyle name="Percent 2 4 2 6" xfId="2148" xr:uid="{00000000-0005-0000-0000-000064080000}"/>
    <cellStyle name="Percent 2 4 2 6 2" xfId="2149" xr:uid="{00000000-0005-0000-0000-000065080000}"/>
    <cellStyle name="Percent 2 4 2 7" xfId="2150" xr:uid="{00000000-0005-0000-0000-000066080000}"/>
    <cellStyle name="Percent 2 4 2 7 2" xfId="2151" xr:uid="{00000000-0005-0000-0000-000067080000}"/>
    <cellStyle name="Percent 2 4 2 8" xfId="2152" xr:uid="{00000000-0005-0000-0000-000068080000}"/>
    <cellStyle name="Percent 2 4 2 8 2" xfId="2153" xr:uid="{00000000-0005-0000-0000-000069080000}"/>
    <cellStyle name="Percent 2 4 2 9" xfId="2154" xr:uid="{00000000-0005-0000-0000-00006A080000}"/>
    <cellStyle name="Percent 2 4 2 9 2" xfId="2155" xr:uid="{00000000-0005-0000-0000-00006B080000}"/>
    <cellStyle name="Percent 2 4 3" xfId="2156" xr:uid="{00000000-0005-0000-0000-00006C080000}"/>
    <cellStyle name="Percent 2 4 3 2" xfId="2157" xr:uid="{00000000-0005-0000-0000-00006D080000}"/>
    <cellStyle name="Percent 2 4 3 2 2" xfId="2158" xr:uid="{00000000-0005-0000-0000-00006E080000}"/>
    <cellStyle name="Percent 2 4 3 3" xfId="2159" xr:uid="{00000000-0005-0000-0000-00006F080000}"/>
    <cellStyle name="Percent 2 4 3 3 2" xfId="2160" xr:uid="{00000000-0005-0000-0000-000070080000}"/>
    <cellStyle name="Percent 2 4 3 4" xfId="2161" xr:uid="{00000000-0005-0000-0000-000071080000}"/>
    <cellStyle name="Percent 2 4 3 4 2" xfId="2162" xr:uid="{00000000-0005-0000-0000-000072080000}"/>
    <cellStyle name="Percent 2 4 3 5" xfId="2163" xr:uid="{00000000-0005-0000-0000-000073080000}"/>
    <cellStyle name="Percent 2 4 3 5 2" xfId="2164" xr:uid="{00000000-0005-0000-0000-000074080000}"/>
    <cellStyle name="Percent 2 4 3 6" xfId="2165" xr:uid="{00000000-0005-0000-0000-000075080000}"/>
    <cellStyle name="Percent 2 4 3 6 2" xfId="2166" xr:uid="{00000000-0005-0000-0000-000076080000}"/>
    <cellStyle name="Percent 2 4 3 7" xfId="2167" xr:uid="{00000000-0005-0000-0000-000077080000}"/>
    <cellStyle name="Percent 2 4 4" xfId="2168" xr:uid="{00000000-0005-0000-0000-000078080000}"/>
    <cellStyle name="Percent 2 4 4 2" xfId="2169" xr:uid="{00000000-0005-0000-0000-000079080000}"/>
    <cellStyle name="Percent 2 4 4 2 2" xfId="2170" xr:uid="{00000000-0005-0000-0000-00007A080000}"/>
    <cellStyle name="Percent 2 4 4 3" xfId="2171" xr:uid="{00000000-0005-0000-0000-00007B080000}"/>
    <cellStyle name="Percent 2 4 4 3 2" xfId="2172" xr:uid="{00000000-0005-0000-0000-00007C080000}"/>
    <cellStyle name="Percent 2 4 4 4" xfId="2173" xr:uid="{00000000-0005-0000-0000-00007D080000}"/>
    <cellStyle name="Percent 2 4 4 4 2" xfId="2174" xr:uid="{00000000-0005-0000-0000-00007E080000}"/>
    <cellStyle name="Percent 2 4 4 5" xfId="2175" xr:uid="{00000000-0005-0000-0000-00007F080000}"/>
    <cellStyle name="Percent 2 4 4 5 2" xfId="2176" xr:uid="{00000000-0005-0000-0000-000080080000}"/>
    <cellStyle name="Percent 2 4 4 6" xfId="2177" xr:uid="{00000000-0005-0000-0000-000081080000}"/>
    <cellStyle name="Percent 2 4 4 6 2" xfId="2178" xr:uid="{00000000-0005-0000-0000-000082080000}"/>
    <cellStyle name="Percent 2 4 4 7" xfId="2179" xr:uid="{00000000-0005-0000-0000-000083080000}"/>
    <cellStyle name="Percent 2 4 5" xfId="2180" xr:uid="{00000000-0005-0000-0000-000084080000}"/>
    <cellStyle name="Percent 2 4 5 2" xfId="2181" xr:uid="{00000000-0005-0000-0000-000085080000}"/>
    <cellStyle name="Percent 2 4 6" xfId="2182" xr:uid="{00000000-0005-0000-0000-000086080000}"/>
    <cellStyle name="Percent 2 4 6 2" xfId="2183" xr:uid="{00000000-0005-0000-0000-000087080000}"/>
    <cellStyle name="Percent 2 4 7" xfId="2184" xr:uid="{00000000-0005-0000-0000-000088080000}"/>
    <cellStyle name="Percent 2 4 7 2" xfId="2185" xr:uid="{00000000-0005-0000-0000-000089080000}"/>
    <cellStyle name="Percent 2 4 8" xfId="2186" xr:uid="{00000000-0005-0000-0000-00008A080000}"/>
    <cellStyle name="Percent 2 4 8 2" xfId="2187" xr:uid="{00000000-0005-0000-0000-00008B080000}"/>
    <cellStyle name="Percent 2 4 9" xfId="2188" xr:uid="{00000000-0005-0000-0000-00008C080000}"/>
    <cellStyle name="Percent 2 4 9 2" xfId="2189" xr:uid="{00000000-0005-0000-0000-00008D080000}"/>
    <cellStyle name="Percent 2 5" xfId="2190" xr:uid="{00000000-0005-0000-0000-00008E080000}"/>
    <cellStyle name="Percent 2 5 2" xfId="2191" xr:uid="{00000000-0005-0000-0000-00008F080000}"/>
    <cellStyle name="Percent 2 6" xfId="2192" xr:uid="{00000000-0005-0000-0000-000090080000}"/>
    <cellStyle name="Percent 2 6 2" xfId="2193" xr:uid="{00000000-0005-0000-0000-000091080000}"/>
    <cellStyle name="Percent 2 7" xfId="2194" xr:uid="{00000000-0005-0000-0000-000092080000}"/>
    <cellStyle name="Percent 2 7 2" xfId="2195" xr:uid="{00000000-0005-0000-0000-000093080000}"/>
    <cellStyle name="Percent 2 8" xfId="2196" xr:uid="{00000000-0005-0000-0000-000094080000}"/>
    <cellStyle name="Percent 2 8 2" xfId="2197" xr:uid="{00000000-0005-0000-0000-000095080000}"/>
    <cellStyle name="Percent 2 9" xfId="2198" xr:uid="{00000000-0005-0000-0000-000096080000}"/>
    <cellStyle name="Percent 2 9 2" xfId="2199" xr:uid="{00000000-0005-0000-0000-000097080000}"/>
    <cellStyle name="Percent 2 9 2 2" xfId="2200" xr:uid="{00000000-0005-0000-0000-000098080000}"/>
    <cellStyle name="Percent 2 9 3" xfId="2201" xr:uid="{00000000-0005-0000-0000-000099080000}"/>
    <cellStyle name="Percent 20" xfId="2202" xr:uid="{00000000-0005-0000-0000-00009A080000}"/>
    <cellStyle name="Percent 20 2" xfId="2203" xr:uid="{00000000-0005-0000-0000-00009B080000}"/>
    <cellStyle name="Percent 200" xfId="2204" xr:uid="{00000000-0005-0000-0000-00009C080000}"/>
    <cellStyle name="Percent 201" xfId="2205" xr:uid="{00000000-0005-0000-0000-00009D080000}"/>
    <cellStyle name="Percent 202" xfId="2206" xr:uid="{00000000-0005-0000-0000-00009E080000}"/>
    <cellStyle name="Percent 203" xfId="2207" xr:uid="{00000000-0005-0000-0000-00009F080000}"/>
    <cellStyle name="Percent 204" xfId="2208" xr:uid="{00000000-0005-0000-0000-0000A0080000}"/>
    <cellStyle name="Percent 205" xfId="2209" xr:uid="{00000000-0005-0000-0000-0000A1080000}"/>
    <cellStyle name="Percent 206" xfId="2210" xr:uid="{00000000-0005-0000-0000-0000A2080000}"/>
    <cellStyle name="Percent 207" xfId="2211" xr:uid="{00000000-0005-0000-0000-0000A3080000}"/>
    <cellStyle name="Percent 208" xfId="2212" xr:uid="{00000000-0005-0000-0000-0000A4080000}"/>
    <cellStyle name="Percent 209" xfId="2213" xr:uid="{00000000-0005-0000-0000-0000A5080000}"/>
    <cellStyle name="Percent 21" xfId="2214" xr:uid="{00000000-0005-0000-0000-0000A6080000}"/>
    <cellStyle name="Percent 210" xfId="2215" xr:uid="{00000000-0005-0000-0000-0000A7080000}"/>
    <cellStyle name="Percent 211" xfId="2216" xr:uid="{00000000-0005-0000-0000-0000A8080000}"/>
    <cellStyle name="Percent 212" xfId="2217" xr:uid="{00000000-0005-0000-0000-0000A9080000}"/>
    <cellStyle name="Percent 213" xfId="2218" xr:uid="{00000000-0005-0000-0000-0000AA080000}"/>
    <cellStyle name="Percent 214" xfId="2219" xr:uid="{00000000-0005-0000-0000-0000AB080000}"/>
    <cellStyle name="Percent 215" xfId="2220" xr:uid="{00000000-0005-0000-0000-0000AC080000}"/>
    <cellStyle name="Percent 216" xfId="2221" xr:uid="{00000000-0005-0000-0000-0000AD080000}"/>
    <cellStyle name="Percent 217" xfId="2222" xr:uid="{00000000-0005-0000-0000-0000AE080000}"/>
    <cellStyle name="Percent 218" xfId="2223" xr:uid="{00000000-0005-0000-0000-0000AF080000}"/>
    <cellStyle name="Percent 219" xfId="2224" xr:uid="{00000000-0005-0000-0000-0000B0080000}"/>
    <cellStyle name="Percent 22" xfId="2225" xr:uid="{00000000-0005-0000-0000-0000B1080000}"/>
    <cellStyle name="Percent 220" xfId="2226" xr:uid="{00000000-0005-0000-0000-0000B2080000}"/>
    <cellStyle name="Percent 221" xfId="2227" xr:uid="{00000000-0005-0000-0000-0000B3080000}"/>
    <cellStyle name="Percent 222" xfId="2228" xr:uid="{00000000-0005-0000-0000-0000B4080000}"/>
    <cellStyle name="Percent 223" xfId="2229" xr:uid="{00000000-0005-0000-0000-0000B5080000}"/>
    <cellStyle name="Percent 224" xfId="2230" xr:uid="{00000000-0005-0000-0000-0000B6080000}"/>
    <cellStyle name="Percent 225" xfId="2231" xr:uid="{00000000-0005-0000-0000-0000B7080000}"/>
    <cellStyle name="Percent 226" xfId="2232" xr:uid="{00000000-0005-0000-0000-0000B8080000}"/>
    <cellStyle name="Percent 227" xfId="2233" xr:uid="{00000000-0005-0000-0000-0000B9080000}"/>
    <cellStyle name="Percent 228" xfId="2234" xr:uid="{00000000-0005-0000-0000-0000BA080000}"/>
    <cellStyle name="Percent 229" xfId="2235" xr:uid="{00000000-0005-0000-0000-0000BB080000}"/>
    <cellStyle name="Percent 23" xfId="2236" xr:uid="{00000000-0005-0000-0000-0000BC080000}"/>
    <cellStyle name="Percent 230" xfId="2237" xr:uid="{00000000-0005-0000-0000-0000BD080000}"/>
    <cellStyle name="Percent 231" xfId="2238" xr:uid="{00000000-0005-0000-0000-0000BE080000}"/>
    <cellStyle name="Percent 232" xfId="2239" xr:uid="{00000000-0005-0000-0000-0000BF080000}"/>
    <cellStyle name="Percent 233" xfId="2240" xr:uid="{00000000-0005-0000-0000-0000C0080000}"/>
    <cellStyle name="Percent 234" xfId="2241" xr:uid="{00000000-0005-0000-0000-0000C1080000}"/>
    <cellStyle name="Percent 235" xfId="2242" xr:uid="{00000000-0005-0000-0000-0000C2080000}"/>
    <cellStyle name="Percent 236" xfId="2243" xr:uid="{00000000-0005-0000-0000-0000C3080000}"/>
    <cellStyle name="Percent 237" xfId="2244" xr:uid="{00000000-0005-0000-0000-0000C4080000}"/>
    <cellStyle name="Percent 238" xfId="2245" xr:uid="{00000000-0005-0000-0000-0000C5080000}"/>
    <cellStyle name="Percent 239" xfId="2246" xr:uid="{00000000-0005-0000-0000-0000C6080000}"/>
    <cellStyle name="Percent 24" xfId="2247" xr:uid="{00000000-0005-0000-0000-0000C7080000}"/>
    <cellStyle name="Percent 240" xfId="2248" xr:uid="{00000000-0005-0000-0000-0000C8080000}"/>
    <cellStyle name="Percent 241" xfId="2249" xr:uid="{00000000-0005-0000-0000-0000C9080000}"/>
    <cellStyle name="Percent 242" xfId="2250" xr:uid="{00000000-0005-0000-0000-0000CA080000}"/>
    <cellStyle name="Percent 243" xfId="2251" xr:uid="{00000000-0005-0000-0000-0000CB080000}"/>
    <cellStyle name="Percent 244" xfId="2252" xr:uid="{00000000-0005-0000-0000-0000CC080000}"/>
    <cellStyle name="Percent 245" xfId="2253" xr:uid="{00000000-0005-0000-0000-0000CD080000}"/>
    <cellStyle name="Percent 246" xfId="2254" xr:uid="{00000000-0005-0000-0000-0000CE080000}"/>
    <cellStyle name="Percent 247" xfId="2255" xr:uid="{00000000-0005-0000-0000-0000CF080000}"/>
    <cellStyle name="Percent 248" xfId="2256" xr:uid="{00000000-0005-0000-0000-0000D0080000}"/>
    <cellStyle name="Percent 249" xfId="2257" xr:uid="{00000000-0005-0000-0000-0000D1080000}"/>
    <cellStyle name="Percent 25" xfId="2258" xr:uid="{00000000-0005-0000-0000-0000D2080000}"/>
    <cellStyle name="Percent 250" xfId="2259" xr:uid="{00000000-0005-0000-0000-0000D3080000}"/>
    <cellStyle name="Percent 251" xfId="2260" xr:uid="{00000000-0005-0000-0000-0000D4080000}"/>
    <cellStyle name="Percent 252" xfId="2261" xr:uid="{00000000-0005-0000-0000-0000D5080000}"/>
    <cellStyle name="Percent 253" xfId="2262" xr:uid="{00000000-0005-0000-0000-0000D6080000}"/>
    <cellStyle name="Percent 254" xfId="2263" xr:uid="{00000000-0005-0000-0000-0000D7080000}"/>
    <cellStyle name="Percent 255" xfId="2264" xr:uid="{00000000-0005-0000-0000-0000D8080000}"/>
    <cellStyle name="Percent 256" xfId="2265" xr:uid="{00000000-0005-0000-0000-0000D9080000}"/>
    <cellStyle name="Percent 257" xfId="2266" xr:uid="{00000000-0005-0000-0000-0000DA080000}"/>
    <cellStyle name="Percent 258" xfId="2267" xr:uid="{00000000-0005-0000-0000-0000DB080000}"/>
    <cellStyle name="Percent 259" xfId="2268" xr:uid="{00000000-0005-0000-0000-0000DC080000}"/>
    <cellStyle name="Percent 26" xfId="2269" xr:uid="{00000000-0005-0000-0000-0000DD080000}"/>
    <cellStyle name="Percent 26 2" xfId="2270" xr:uid="{00000000-0005-0000-0000-0000DE080000}"/>
    <cellStyle name="Percent 260" xfId="2271" xr:uid="{00000000-0005-0000-0000-0000DF080000}"/>
    <cellStyle name="Percent 261" xfId="2272" xr:uid="{00000000-0005-0000-0000-0000E0080000}"/>
    <cellStyle name="Percent 262" xfId="2273" xr:uid="{00000000-0005-0000-0000-0000E1080000}"/>
    <cellStyle name="Percent 263" xfId="2274" xr:uid="{00000000-0005-0000-0000-0000E2080000}"/>
    <cellStyle name="Percent 264" xfId="2275" xr:uid="{00000000-0005-0000-0000-0000E3080000}"/>
    <cellStyle name="Percent 265" xfId="2276" xr:uid="{00000000-0005-0000-0000-0000E4080000}"/>
    <cellStyle name="Percent 266" xfId="2277" xr:uid="{00000000-0005-0000-0000-0000E5080000}"/>
    <cellStyle name="Percent 267" xfId="2278" xr:uid="{00000000-0005-0000-0000-0000E6080000}"/>
    <cellStyle name="Percent 268" xfId="2279" xr:uid="{00000000-0005-0000-0000-0000E7080000}"/>
    <cellStyle name="Percent 269" xfId="2280" xr:uid="{00000000-0005-0000-0000-0000E8080000}"/>
    <cellStyle name="Percent 27" xfId="2281" xr:uid="{00000000-0005-0000-0000-0000E9080000}"/>
    <cellStyle name="Percent 27 2" xfId="2282" xr:uid="{00000000-0005-0000-0000-0000EA080000}"/>
    <cellStyle name="Percent 270" xfId="2283" xr:uid="{00000000-0005-0000-0000-0000EB080000}"/>
    <cellStyle name="Percent 271" xfId="2284" xr:uid="{00000000-0005-0000-0000-0000EC080000}"/>
    <cellStyle name="Percent 272" xfId="2285" xr:uid="{00000000-0005-0000-0000-0000ED080000}"/>
    <cellStyle name="Percent 273" xfId="2286" xr:uid="{00000000-0005-0000-0000-0000EE080000}"/>
    <cellStyle name="Percent 274" xfId="2287" xr:uid="{00000000-0005-0000-0000-0000EF080000}"/>
    <cellStyle name="Percent 275" xfId="2288" xr:uid="{00000000-0005-0000-0000-0000F0080000}"/>
    <cellStyle name="Percent 276" xfId="2289" xr:uid="{00000000-0005-0000-0000-0000F1080000}"/>
    <cellStyle name="Percent 277" xfId="2290" xr:uid="{00000000-0005-0000-0000-0000F2080000}"/>
    <cellStyle name="Percent 278" xfId="2291" xr:uid="{00000000-0005-0000-0000-0000F3080000}"/>
    <cellStyle name="Percent 279" xfId="2292" xr:uid="{00000000-0005-0000-0000-0000F4080000}"/>
    <cellStyle name="Percent 28" xfId="2293" xr:uid="{00000000-0005-0000-0000-0000F5080000}"/>
    <cellStyle name="Percent 28 2" xfId="2294" xr:uid="{00000000-0005-0000-0000-0000F6080000}"/>
    <cellStyle name="Percent 280" xfId="2295" xr:uid="{00000000-0005-0000-0000-0000F7080000}"/>
    <cellStyle name="Percent 281" xfId="2296" xr:uid="{00000000-0005-0000-0000-0000F8080000}"/>
    <cellStyle name="Percent 282" xfId="2297" xr:uid="{00000000-0005-0000-0000-0000F9080000}"/>
    <cellStyle name="Percent 283" xfId="2298" xr:uid="{00000000-0005-0000-0000-0000FA080000}"/>
    <cellStyle name="Percent 284" xfId="2299" xr:uid="{00000000-0005-0000-0000-0000FB080000}"/>
    <cellStyle name="Percent 285" xfId="2300" xr:uid="{00000000-0005-0000-0000-0000FC080000}"/>
    <cellStyle name="Percent 286" xfId="2301" xr:uid="{00000000-0005-0000-0000-0000FD080000}"/>
    <cellStyle name="Percent 287" xfId="2302" xr:uid="{00000000-0005-0000-0000-0000FE080000}"/>
    <cellStyle name="Percent 288" xfId="2303" xr:uid="{00000000-0005-0000-0000-0000FF080000}"/>
    <cellStyle name="Percent 289" xfId="2304" xr:uid="{00000000-0005-0000-0000-000000090000}"/>
    <cellStyle name="Percent 29" xfId="2305" xr:uid="{00000000-0005-0000-0000-000001090000}"/>
    <cellStyle name="Percent 29 2" xfId="2306" xr:uid="{00000000-0005-0000-0000-000002090000}"/>
    <cellStyle name="Percent 290" xfId="2307" xr:uid="{00000000-0005-0000-0000-000003090000}"/>
    <cellStyle name="Percent 291" xfId="2308" xr:uid="{00000000-0005-0000-0000-000004090000}"/>
    <cellStyle name="Percent 292" xfId="2309" xr:uid="{00000000-0005-0000-0000-000005090000}"/>
    <cellStyle name="Percent 293" xfId="2310" xr:uid="{00000000-0005-0000-0000-000006090000}"/>
    <cellStyle name="Percent 294" xfId="2311" xr:uid="{00000000-0005-0000-0000-000007090000}"/>
    <cellStyle name="Percent 295" xfId="2312" xr:uid="{00000000-0005-0000-0000-000008090000}"/>
    <cellStyle name="Percent 296" xfId="2313" xr:uid="{00000000-0005-0000-0000-000009090000}"/>
    <cellStyle name="Percent 297" xfId="2314" xr:uid="{00000000-0005-0000-0000-00000A090000}"/>
    <cellStyle name="Percent 298" xfId="2315" xr:uid="{00000000-0005-0000-0000-00000B090000}"/>
    <cellStyle name="Percent 299" xfId="2316" xr:uid="{00000000-0005-0000-0000-00000C090000}"/>
    <cellStyle name="Percent 3" xfId="2317" xr:uid="{00000000-0005-0000-0000-00000D090000}"/>
    <cellStyle name="Percent 3 10" xfId="2318" xr:uid="{00000000-0005-0000-0000-00000E090000}"/>
    <cellStyle name="Percent 3 10 2" xfId="2319" xr:uid="{00000000-0005-0000-0000-00000F090000}"/>
    <cellStyle name="Percent 3 11" xfId="2320" xr:uid="{00000000-0005-0000-0000-000010090000}"/>
    <cellStyle name="Percent 3 11 2" xfId="2321" xr:uid="{00000000-0005-0000-0000-000011090000}"/>
    <cellStyle name="Percent 3 12" xfId="2322" xr:uid="{00000000-0005-0000-0000-000012090000}"/>
    <cellStyle name="Percent 3 12 2" xfId="2323" xr:uid="{00000000-0005-0000-0000-000013090000}"/>
    <cellStyle name="Percent 3 13" xfId="2324" xr:uid="{00000000-0005-0000-0000-000014090000}"/>
    <cellStyle name="Percent 3 13 2" xfId="2325" xr:uid="{00000000-0005-0000-0000-000015090000}"/>
    <cellStyle name="Percent 3 14" xfId="2326" xr:uid="{00000000-0005-0000-0000-000016090000}"/>
    <cellStyle name="Percent 3 15" xfId="2327" xr:uid="{00000000-0005-0000-0000-000017090000}"/>
    <cellStyle name="Percent 3 16" xfId="2328" xr:uid="{00000000-0005-0000-0000-000018090000}"/>
    <cellStyle name="Percent 3 2" xfId="2329" xr:uid="{00000000-0005-0000-0000-000019090000}"/>
    <cellStyle name="Percent 3 2 2" xfId="2330" xr:uid="{00000000-0005-0000-0000-00001A090000}"/>
    <cellStyle name="Percent 3 2 2 2" xfId="2331" xr:uid="{00000000-0005-0000-0000-00001B090000}"/>
    <cellStyle name="Percent 3 2 3" xfId="2332" xr:uid="{00000000-0005-0000-0000-00001C090000}"/>
    <cellStyle name="Percent 3 2 3 2" xfId="2333" xr:uid="{00000000-0005-0000-0000-00001D090000}"/>
    <cellStyle name="Percent 3 2 4" xfId="2334" xr:uid="{00000000-0005-0000-0000-00001E090000}"/>
    <cellStyle name="Percent 3 2 4 2" xfId="2335" xr:uid="{00000000-0005-0000-0000-00001F090000}"/>
    <cellStyle name="Percent 3 2 5" xfId="2336" xr:uid="{00000000-0005-0000-0000-000020090000}"/>
    <cellStyle name="Percent 3 2 5 2" xfId="2337" xr:uid="{00000000-0005-0000-0000-000021090000}"/>
    <cellStyle name="Percent 3 2 6" xfId="2338" xr:uid="{00000000-0005-0000-0000-000022090000}"/>
    <cellStyle name="Percent 3 2 6 2" xfId="2339" xr:uid="{00000000-0005-0000-0000-000023090000}"/>
    <cellStyle name="Percent 3 2 7" xfId="2340" xr:uid="{00000000-0005-0000-0000-000024090000}"/>
    <cellStyle name="Percent 3 3" xfId="2341" xr:uid="{00000000-0005-0000-0000-000025090000}"/>
    <cellStyle name="Percent 3 3 2" xfId="2342" xr:uid="{00000000-0005-0000-0000-000026090000}"/>
    <cellStyle name="Percent 3 3 2 2" xfId="2343" xr:uid="{00000000-0005-0000-0000-000027090000}"/>
    <cellStyle name="Percent 3 3 3" xfId="2344" xr:uid="{00000000-0005-0000-0000-000028090000}"/>
    <cellStyle name="Percent 3 3 3 2" xfId="2345" xr:uid="{00000000-0005-0000-0000-000029090000}"/>
    <cellStyle name="Percent 3 3 4" xfId="2346" xr:uid="{00000000-0005-0000-0000-00002A090000}"/>
    <cellStyle name="Percent 3 3 4 2" xfId="2347" xr:uid="{00000000-0005-0000-0000-00002B090000}"/>
    <cellStyle name="Percent 3 3 5" xfId="2348" xr:uid="{00000000-0005-0000-0000-00002C090000}"/>
    <cellStyle name="Percent 3 3 5 2" xfId="2349" xr:uid="{00000000-0005-0000-0000-00002D090000}"/>
    <cellStyle name="Percent 3 3 6" xfId="2350" xr:uid="{00000000-0005-0000-0000-00002E090000}"/>
    <cellStyle name="Percent 3 3 6 2" xfId="2351" xr:uid="{00000000-0005-0000-0000-00002F090000}"/>
    <cellStyle name="Percent 3 3 7" xfId="2352" xr:uid="{00000000-0005-0000-0000-000030090000}"/>
    <cellStyle name="Percent 3 4" xfId="2353" xr:uid="{00000000-0005-0000-0000-000031090000}"/>
    <cellStyle name="Percent 3 4 2" xfId="2354" xr:uid="{00000000-0005-0000-0000-000032090000}"/>
    <cellStyle name="Percent 3 5" xfId="2355" xr:uid="{00000000-0005-0000-0000-000033090000}"/>
    <cellStyle name="Percent 3 5 2" xfId="2356" xr:uid="{00000000-0005-0000-0000-000034090000}"/>
    <cellStyle name="Percent 3 6" xfId="2357" xr:uid="{00000000-0005-0000-0000-000035090000}"/>
    <cellStyle name="Percent 3 6 2" xfId="2358" xr:uid="{00000000-0005-0000-0000-000036090000}"/>
    <cellStyle name="Percent 3 7" xfId="2359" xr:uid="{00000000-0005-0000-0000-000037090000}"/>
    <cellStyle name="Percent 3 7 2" xfId="2360" xr:uid="{00000000-0005-0000-0000-000038090000}"/>
    <cellStyle name="Percent 3 8" xfId="2361" xr:uid="{00000000-0005-0000-0000-000039090000}"/>
    <cellStyle name="Percent 3 8 2" xfId="2362" xr:uid="{00000000-0005-0000-0000-00003A090000}"/>
    <cellStyle name="Percent 3 9" xfId="2363" xr:uid="{00000000-0005-0000-0000-00003B090000}"/>
    <cellStyle name="Percent 3 9 2" xfId="2364" xr:uid="{00000000-0005-0000-0000-00003C090000}"/>
    <cellStyle name="Percent 30" xfId="2365" xr:uid="{00000000-0005-0000-0000-00003D090000}"/>
    <cellStyle name="Percent 300" xfId="2366" xr:uid="{00000000-0005-0000-0000-00003E090000}"/>
    <cellStyle name="Percent 301" xfId="2367" xr:uid="{00000000-0005-0000-0000-00003F090000}"/>
    <cellStyle name="Percent 302" xfId="2368" xr:uid="{00000000-0005-0000-0000-000040090000}"/>
    <cellStyle name="Percent 303" xfId="2369" xr:uid="{00000000-0005-0000-0000-000041090000}"/>
    <cellStyle name="Percent 304" xfId="2370" xr:uid="{00000000-0005-0000-0000-000042090000}"/>
    <cellStyle name="Percent 305" xfId="2371" xr:uid="{00000000-0005-0000-0000-000043090000}"/>
    <cellStyle name="Percent 306" xfId="2372" xr:uid="{00000000-0005-0000-0000-000044090000}"/>
    <cellStyle name="Percent 307" xfId="2373" xr:uid="{00000000-0005-0000-0000-000045090000}"/>
    <cellStyle name="Percent 308" xfId="2374" xr:uid="{00000000-0005-0000-0000-000046090000}"/>
    <cellStyle name="Percent 309" xfId="2375" xr:uid="{00000000-0005-0000-0000-000047090000}"/>
    <cellStyle name="Percent 31" xfId="2376" xr:uid="{00000000-0005-0000-0000-000048090000}"/>
    <cellStyle name="Percent 310" xfId="2377" xr:uid="{00000000-0005-0000-0000-000049090000}"/>
    <cellStyle name="Percent 311" xfId="2378" xr:uid="{00000000-0005-0000-0000-00004A090000}"/>
    <cellStyle name="Percent 312" xfId="2379" xr:uid="{00000000-0005-0000-0000-00004B090000}"/>
    <cellStyle name="Percent 313" xfId="2380" xr:uid="{00000000-0005-0000-0000-00004C090000}"/>
    <cellStyle name="Percent 314" xfId="2381" xr:uid="{00000000-0005-0000-0000-00004D090000}"/>
    <cellStyle name="Percent 315" xfId="2382" xr:uid="{00000000-0005-0000-0000-00004E090000}"/>
    <cellStyle name="Percent 316" xfId="2383" xr:uid="{00000000-0005-0000-0000-00004F090000}"/>
    <cellStyle name="Percent 317" xfId="2384" xr:uid="{00000000-0005-0000-0000-000050090000}"/>
    <cellStyle name="Percent 318" xfId="2385" xr:uid="{00000000-0005-0000-0000-000051090000}"/>
    <cellStyle name="Percent 318 2" xfId="2386" xr:uid="{00000000-0005-0000-0000-000052090000}"/>
    <cellStyle name="Percent 319" xfId="2387" xr:uid="{00000000-0005-0000-0000-000053090000}"/>
    <cellStyle name="Percent 319 2" xfId="2388" xr:uid="{00000000-0005-0000-0000-000054090000}"/>
    <cellStyle name="Percent 32" xfId="2389" xr:uid="{00000000-0005-0000-0000-000055090000}"/>
    <cellStyle name="Percent 320" xfId="2390" xr:uid="{00000000-0005-0000-0000-000056090000}"/>
    <cellStyle name="Percent 320 2" xfId="2391" xr:uid="{00000000-0005-0000-0000-000057090000}"/>
    <cellStyle name="Percent 321" xfId="2392" xr:uid="{00000000-0005-0000-0000-000058090000}"/>
    <cellStyle name="Percent 321 2" xfId="2393" xr:uid="{00000000-0005-0000-0000-000059090000}"/>
    <cellStyle name="Percent 322" xfId="2394" xr:uid="{00000000-0005-0000-0000-00005A090000}"/>
    <cellStyle name="Percent 323" xfId="2395" xr:uid="{00000000-0005-0000-0000-00005B090000}"/>
    <cellStyle name="Percent 324" xfId="2396" xr:uid="{00000000-0005-0000-0000-00005C090000}"/>
    <cellStyle name="Percent 325" xfId="2397" xr:uid="{00000000-0005-0000-0000-00005D090000}"/>
    <cellStyle name="Percent 33" xfId="2398" xr:uid="{00000000-0005-0000-0000-00005E090000}"/>
    <cellStyle name="Percent 34" xfId="2399" xr:uid="{00000000-0005-0000-0000-00005F090000}"/>
    <cellStyle name="Percent 35" xfId="2400" xr:uid="{00000000-0005-0000-0000-000060090000}"/>
    <cellStyle name="Percent 36" xfId="2401" xr:uid="{00000000-0005-0000-0000-000061090000}"/>
    <cellStyle name="Percent 37" xfId="2402" xr:uid="{00000000-0005-0000-0000-000062090000}"/>
    <cellStyle name="Percent 38" xfId="2403" xr:uid="{00000000-0005-0000-0000-000063090000}"/>
    <cellStyle name="Percent 39" xfId="2404" xr:uid="{00000000-0005-0000-0000-000064090000}"/>
    <cellStyle name="Percent 4" xfId="2405" xr:uid="{00000000-0005-0000-0000-000065090000}"/>
    <cellStyle name="Percent 4 10" xfId="2406" xr:uid="{00000000-0005-0000-0000-000066090000}"/>
    <cellStyle name="Percent 4 10 2" xfId="2407" xr:uid="{00000000-0005-0000-0000-000067090000}"/>
    <cellStyle name="Percent 4 11" xfId="2408" xr:uid="{00000000-0005-0000-0000-000068090000}"/>
    <cellStyle name="Percent 4 11 2" xfId="2409" xr:uid="{00000000-0005-0000-0000-000069090000}"/>
    <cellStyle name="Percent 4 12" xfId="2410" xr:uid="{00000000-0005-0000-0000-00006A090000}"/>
    <cellStyle name="Percent 4 12 2" xfId="2411" xr:uid="{00000000-0005-0000-0000-00006B090000}"/>
    <cellStyle name="Percent 4 13" xfId="2412" xr:uid="{00000000-0005-0000-0000-00006C090000}"/>
    <cellStyle name="Percent 4 13 2" xfId="2413" xr:uid="{00000000-0005-0000-0000-00006D090000}"/>
    <cellStyle name="Percent 4 14" xfId="2414" xr:uid="{00000000-0005-0000-0000-00006E090000}"/>
    <cellStyle name="Percent 4 15" xfId="2415" xr:uid="{00000000-0005-0000-0000-00006F090000}"/>
    <cellStyle name="Percent 4 16" xfId="2416" xr:uid="{00000000-0005-0000-0000-000070090000}"/>
    <cellStyle name="Percent 4 2" xfId="2417" xr:uid="{00000000-0005-0000-0000-000071090000}"/>
    <cellStyle name="Percent 4 2 2" xfId="2418" xr:uid="{00000000-0005-0000-0000-000072090000}"/>
    <cellStyle name="Percent 4 2 2 2" xfId="2419" xr:uid="{00000000-0005-0000-0000-000073090000}"/>
    <cellStyle name="Percent 4 2 3" xfId="2420" xr:uid="{00000000-0005-0000-0000-000074090000}"/>
    <cellStyle name="Percent 4 2 3 2" xfId="2421" xr:uid="{00000000-0005-0000-0000-000075090000}"/>
    <cellStyle name="Percent 4 2 4" xfId="2422" xr:uid="{00000000-0005-0000-0000-000076090000}"/>
    <cellStyle name="Percent 4 2 4 2" xfId="2423" xr:uid="{00000000-0005-0000-0000-000077090000}"/>
    <cellStyle name="Percent 4 2 5" xfId="2424" xr:uid="{00000000-0005-0000-0000-000078090000}"/>
    <cellStyle name="Percent 4 2 5 2" xfId="2425" xr:uid="{00000000-0005-0000-0000-000079090000}"/>
    <cellStyle name="Percent 4 2 6" xfId="2426" xr:uid="{00000000-0005-0000-0000-00007A090000}"/>
    <cellStyle name="Percent 4 2 6 2" xfId="2427" xr:uid="{00000000-0005-0000-0000-00007B090000}"/>
    <cellStyle name="Percent 4 2 7" xfId="2428" xr:uid="{00000000-0005-0000-0000-00007C090000}"/>
    <cellStyle name="Percent 4 3" xfId="2429" xr:uid="{00000000-0005-0000-0000-00007D090000}"/>
    <cellStyle name="Percent 4 3 2" xfId="2430" xr:uid="{00000000-0005-0000-0000-00007E090000}"/>
    <cellStyle name="Percent 4 3 2 2" xfId="2431" xr:uid="{00000000-0005-0000-0000-00007F090000}"/>
    <cellStyle name="Percent 4 3 3" xfId="2432" xr:uid="{00000000-0005-0000-0000-000080090000}"/>
    <cellStyle name="Percent 4 3 3 2" xfId="2433" xr:uid="{00000000-0005-0000-0000-000081090000}"/>
    <cellStyle name="Percent 4 3 4" xfId="2434" xr:uid="{00000000-0005-0000-0000-000082090000}"/>
    <cellStyle name="Percent 4 3 4 2" xfId="2435" xr:uid="{00000000-0005-0000-0000-000083090000}"/>
    <cellStyle name="Percent 4 3 5" xfId="2436" xr:uid="{00000000-0005-0000-0000-000084090000}"/>
    <cellStyle name="Percent 4 3 5 2" xfId="2437" xr:uid="{00000000-0005-0000-0000-000085090000}"/>
    <cellStyle name="Percent 4 3 6" xfId="2438" xr:uid="{00000000-0005-0000-0000-000086090000}"/>
    <cellStyle name="Percent 4 3 6 2" xfId="2439" xr:uid="{00000000-0005-0000-0000-000087090000}"/>
    <cellStyle name="Percent 4 3 7" xfId="2440" xr:uid="{00000000-0005-0000-0000-000088090000}"/>
    <cellStyle name="Percent 4 4" xfId="2441" xr:uid="{00000000-0005-0000-0000-000089090000}"/>
    <cellStyle name="Percent 4 4 2" xfId="2442" xr:uid="{00000000-0005-0000-0000-00008A090000}"/>
    <cellStyle name="Percent 4 5" xfId="2443" xr:uid="{00000000-0005-0000-0000-00008B090000}"/>
    <cellStyle name="Percent 4 5 2" xfId="2444" xr:uid="{00000000-0005-0000-0000-00008C090000}"/>
    <cellStyle name="Percent 4 6" xfId="2445" xr:uid="{00000000-0005-0000-0000-00008D090000}"/>
    <cellStyle name="Percent 4 6 2" xfId="2446" xr:uid="{00000000-0005-0000-0000-00008E090000}"/>
    <cellStyle name="Percent 4 7" xfId="2447" xr:uid="{00000000-0005-0000-0000-00008F090000}"/>
    <cellStyle name="Percent 4 7 2" xfId="2448" xr:uid="{00000000-0005-0000-0000-000090090000}"/>
    <cellStyle name="Percent 4 8" xfId="2449" xr:uid="{00000000-0005-0000-0000-000091090000}"/>
    <cellStyle name="Percent 4 8 2" xfId="2450" xr:uid="{00000000-0005-0000-0000-000092090000}"/>
    <cellStyle name="Percent 4 9" xfId="2451" xr:uid="{00000000-0005-0000-0000-000093090000}"/>
    <cellStyle name="Percent 4 9 2" xfId="2452" xr:uid="{00000000-0005-0000-0000-000094090000}"/>
    <cellStyle name="Percent 40" xfId="2453" xr:uid="{00000000-0005-0000-0000-000095090000}"/>
    <cellStyle name="Percent 41" xfId="2454" xr:uid="{00000000-0005-0000-0000-000096090000}"/>
    <cellStyle name="Percent 42" xfId="2455" xr:uid="{00000000-0005-0000-0000-000097090000}"/>
    <cellStyle name="Percent 43" xfId="2456" xr:uid="{00000000-0005-0000-0000-000098090000}"/>
    <cellStyle name="Percent 44" xfId="2457" xr:uid="{00000000-0005-0000-0000-000099090000}"/>
    <cellStyle name="Percent 45" xfId="2458" xr:uid="{00000000-0005-0000-0000-00009A090000}"/>
    <cellStyle name="Percent 46" xfId="2459" xr:uid="{00000000-0005-0000-0000-00009B090000}"/>
    <cellStyle name="Percent 47" xfId="2460" xr:uid="{00000000-0005-0000-0000-00009C090000}"/>
    <cellStyle name="Percent 48" xfId="2461" xr:uid="{00000000-0005-0000-0000-00009D090000}"/>
    <cellStyle name="Percent 49" xfId="2462" xr:uid="{00000000-0005-0000-0000-00009E090000}"/>
    <cellStyle name="Percent 5" xfId="2463" xr:uid="{00000000-0005-0000-0000-00009F090000}"/>
    <cellStyle name="Percent 5 2" xfId="2464" xr:uid="{00000000-0005-0000-0000-0000A0090000}"/>
    <cellStyle name="Percent 50" xfId="2465" xr:uid="{00000000-0005-0000-0000-0000A1090000}"/>
    <cellStyle name="Percent 51" xfId="2466" xr:uid="{00000000-0005-0000-0000-0000A2090000}"/>
    <cellStyle name="Percent 52" xfId="2467" xr:uid="{00000000-0005-0000-0000-0000A3090000}"/>
    <cellStyle name="Percent 53" xfId="2468" xr:uid="{00000000-0005-0000-0000-0000A4090000}"/>
    <cellStyle name="Percent 54" xfId="2469" xr:uid="{00000000-0005-0000-0000-0000A5090000}"/>
    <cellStyle name="Percent 55" xfId="2470" xr:uid="{00000000-0005-0000-0000-0000A6090000}"/>
    <cellStyle name="Percent 56" xfId="2471" xr:uid="{00000000-0005-0000-0000-0000A7090000}"/>
    <cellStyle name="Percent 57" xfId="2472" xr:uid="{00000000-0005-0000-0000-0000A8090000}"/>
    <cellStyle name="Percent 57 2" xfId="2473" xr:uid="{00000000-0005-0000-0000-0000A9090000}"/>
    <cellStyle name="Percent 58" xfId="2474" xr:uid="{00000000-0005-0000-0000-0000AA090000}"/>
    <cellStyle name="Percent 58 2" xfId="2475" xr:uid="{00000000-0005-0000-0000-0000AB090000}"/>
    <cellStyle name="Percent 59" xfId="2476" xr:uid="{00000000-0005-0000-0000-0000AC090000}"/>
    <cellStyle name="Percent 59 2" xfId="2477" xr:uid="{00000000-0005-0000-0000-0000AD090000}"/>
    <cellStyle name="Percent 6" xfId="2478" xr:uid="{00000000-0005-0000-0000-0000AE090000}"/>
    <cellStyle name="Percent 6 2" xfId="2479" xr:uid="{00000000-0005-0000-0000-0000AF090000}"/>
    <cellStyle name="Percent 60" xfId="2480" xr:uid="{00000000-0005-0000-0000-0000B0090000}"/>
    <cellStyle name="Percent 60 2" xfId="2481" xr:uid="{00000000-0005-0000-0000-0000B1090000}"/>
    <cellStyle name="Percent 61" xfId="2482" xr:uid="{00000000-0005-0000-0000-0000B2090000}"/>
    <cellStyle name="Percent 61 2" xfId="2483" xr:uid="{00000000-0005-0000-0000-0000B3090000}"/>
    <cellStyle name="Percent 62" xfId="2484" xr:uid="{00000000-0005-0000-0000-0000B4090000}"/>
    <cellStyle name="Percent 62 2" xfId="2485" xr:uid="{00000000-0005-0000-0000-0000B5090000}"/>
    <cellStyle name="Percent 63" xfId="2486" xr:uid="{00000000-0005-0000-0000-0000B6090000}"/>
    <cellStyle name="Percent 63 2" xfId="2487" xr:uid="{00000000-0005-0000-0000-0000B7090000}"/>
    <cellStyle name="Percent 64" xfId="2488" xr:uid="{00000000-0005-0000-0000-0000B8090000}"/>
    <cellStyle name="Percent 64 2" xfId="2489" xr:uid="{00000000-0005-0000-0000-0000B9090000}"/>
    <cellStyle name="Percent 65" xfId="2490" xr:uid="{00000000-0005-0000-0000-0000BA090000}"/>
    <cellStyle name="Percent 65 2" xfId="2491" xr:uid="{00000000-0005-0000-0000-0000BB090000}"/>
    <cellStyle name="Percent 66" xfId="2492" xr:uid="{00000000-0005-0000-0000-0000BC090000}"/>
    <cellStyle name="Percent 66 2" xfId="2493" xr:uid="{00000000-0005-0000-0000-0000BD090000}"/>
    <cellStyle name="Percent 67" xfId="2494" xr:uid="{00000000-0005-0000-0000-0000BE090000}"/>
    <cellStyle name="Percent 67 2" xfId="2495" xr:uid="{00000000-0005-0000-0000-0000BF090000}"/>
    <cellStyle name="Percent 68" xfId="2496" xr:uid="{00000000-0005-0000-0000-0000C0090000}"/>
    <cellStyle name="Percent 68 2" xfId="2497" xr:uid="{00000000-0005-0000-0000-0000C1090000}"/>
    <cellStyle name="Percent 69" xfId="2498" xr:uid="{00000000-0005-0000-0000-0000C2090000}"/>
    <cellStyle name="Percent 69 2" xfId="2499" xr:uid="{00000000-0005-0000-0000-0000C3090000}"/>
    <cellStyle name="Percent 7" xfId="2500" xr:uid="{00000000-0005-0000-0000-0000C4090000}"/>
    <cellStyle name="Percent 7 2" xfId="2501" xr:uid="{00000000-0005-0000-0000-0000C5090000}"/>
    <cellStyle name="Percent 70" xfId="2502" xr:uid="{00000000-0005-0000-0000-0000C6090000}"/>
    <cellStyle name="Percent 70 2" xfId="2503" xr:uid="{00000000-0005-0000-0000-0000C7090000}"/>
    <cellStyle name="Percent 71" xfId="2504" xr:uid="{00000000-0005-0000-0000-0000C8090000}"/>
    <cellStyle name="Percent 71 2" xfId="2505" xr:uid="{00000000-0005-0000-0000-0000C9090000}"/>
    <cellStyle name="Percent 72" xfId="2506" xr:uid="{00000000-0005-0000-0000-0000CA090000}"/>
    <cellStyle name="Percent 72 2" xfId="2507" xr:uid="{00000000-0005-0000-0000-0000CB090000}"/>
    <cellStyle name="Percent 73" xfId="2508" xr:uid="{00000000-0005-0000-0000-0000CC090000}"/>
    <cellStyle name="Percent 73 2" xfId="2509" xr:uid="{00000000-0005-0000-0000-0000CD090000}"/>
    <cellStyle name="Percent 74" xfId="2510" xr:uid="{00000000-0005-0000-0000-0000CE090000}"/>
    <cellStyle name="Percent 74 2" xfId="2511" xr:uid="{00000000-0005-0000-0000-0000CF090000}"/>
    <cellStyle name="Percent 75" xfId="2512" xr:uid="{00000000-0005-0000-0000-0000D0090000}"/>
    <cellStyle name="Percent 75 2" xfId="2513" xr:uid="{00000000-0005-0000-0000-0000D1090000}"/>
    <cellStyle name="Percent 76" xfId="2514" xr:uid="{00000000-0005-0000-0000-0000D2090000}"/>
    <cellStyle name="Percent 76 2" xfId="2515" xr:uid="{00000000-0005-0000-0000-0000D3090000}"/>
    <cellStyle name="Percent 77" xfId="2516" xr:uid="{00000000-0005-0000-0000-0000D4090000}"/>
    <cellStyle name="Percent 77 2" xfId="2517" xr:uid="{00000000-0005-0000-0000-0000D5090000}"/>
    <cellStyle name="Percent 78" xfId="2518" xr:uid="{00000000-0005-0000-0000-0000D6090000}"/>
    <cellStyle name="Percent 78 2" xfId="2519" xr:uid="{00000000-0005-0000-0000-0000D7090000}"/>
    <cellStyle name="Percent 79" xfId="2520" xr:uid="{00000000-0005-0000-0000-0000D8090000}"/>
    <cellStyle name="Percent 79 2" xfId="2521" xr:uid="{00000000-0005-0000-0000-0000D9090000}"/>
    <cellStyle name="Percent 8" xfId="2522" xr:uid="{00000000-0005-0000-0000-0000DA090000}"/>
    <cellStyle name="Percent 8 2" xfId="2523" xr:uid="{00000000-0005-0000-0000-0000DB090000}"/>
    <cellStyle name="Percent 80" xfId="2524" xr:uid="{00000000-0005-0000-0000-0000DC090000}"/>
    <cellStyle name="Percent 80 2" xfId="2525" xr:uid="{00000000-0005-0000-0000-0000DD090000}"/>
    <cellStyle name="Percent 81" xfId="2526" xr:uid="{00000000-0005-0000-0000-0000DE090000}"/>
    <cellStyle name="Percent 81 2" xfId="2527" xr:uid="{00000000-0005-0000-0000-0000DF090000}"/>
    <cellStyle name="Percent 82" xfId="2528" xr:uid="{00000000-0005-0000-0000-0000E0090000}"/>
    <cellStyle name="Percent 83" xfId="2529" xr:uid="{00000000-0005-0000-0000-0000E1090000}"/>
    <cellStyle name="Percent 84" xfId="2530" xr:uid="{00000000-0005-0000-0000-0000E2090000}"/>
    <cellStyle name="Percent 85" xfId="2531" xr:uid="{00000000-0005-0000-0000-0000E3090000}"/>
    <cellStyle name="Percent 85 2" xfId="2532" xr:uid="{00000000-0005-0000-0000-0000E4090000}"/>
    <cellStyle name="Percent 86" xfId="2533" xr:uid="{00000000-0005-0000-0000-0000E5090000}"/>
    <cellStyle name="Percent 86 2" xfId="2534" xr:uid="{00000000-0005-0000-0000-0000E6090000}"/>
    <cellStyle name="Percent 87" xfId="2535" xr:uid="{00000000-0005-0000-0000-0000E7090000}"/>
    <cellStyle name="Percent 87 2" xfId="2536" xr:uid="{00000000-0005-0000-0000-0000E8090000}"/>
    <cellStyle name="Percent 88" xfId="2537" xr:uid="{00000000-0005-0000-0000-0000E9090000}"/>
    <cellStyle name="Percent 89" xfId="2538" xr:uid="{00000000-0005-0000-0000-0000EA090000}"/>
    <cellStyle name="Percent 9" xfId="2539" xr:uid="{00000000-0005-0000-0000-0000EB090000}"/>
    <cellStyle name="Percent 9 2" xfId="2540" xr:uid="{00000000-0005-0000-0000-0000EC090000}"/>
    <cellStyle name="Percent 90" xfId="2541" xr:uid="{00000000-0005-0000-0000-0000ED090000}"/>
    <cellStyle name="Percent 90 2" xfId="2542" xr:uid="{00000000-0005-0000-0000-0000EE090000}"/>
    <cellStyle name="Percent 91" xfId="2543" xr:uid="{00000000-0005-0000-0000-0000EF090000}"/>
    <cellStyle name="Percent 91 2" xfId="2544" xr:uid="{00000000-0005-0000-0000-0000F0090000}"/>
    <cellStyle name="Percent 92" xfId="2545" xr:uid="{00000000-0005-0000-0000-0000F1090000}"/>
    <cellStyle name="Percent 92 2" xfId="2546" xr:uid="{00000000-0005-0000-0000-0000F2090000}"/>
    <cellStyle name="Percent 93" xfId="2547" xr:uid="{00000000-0005-0000-0000-0000F3090000}"/>
    <cellStyle name="Percent 93 2" xfId="2548" xr:uid="{00000000-0005-0000-0000-0000F4090000}"/>
    <cellStyle name="Percent 94" xfId="2549" xr:uid="{00000000-0005-0000-0000-0000F5090000}"/>
    <cellStyle name="Percent 94 2" xfId="2550" xr:uid="{00000000-0005-0000-0000-0000F6090000}"/>
    <cellStyle name="Percent 95" xfId="2551" xr:uid="{00000000-0005-0000-0000-0000F7090000}"/>
    <cellStyle name="Percent 95 2" xfId="2552" xr:uid="{00000000-0005-0000-0000-0000F8090000}"/>
    <cellStyle name="Percent 96" xfId="2553" xr:uid="{00000000-0005-0000-0000-0000F9090000}"/>
    <cellStyle name="Percent 96 2" xfId="2554" xr:uid="{00000000-0005-0000-0000-0000FA090000}"/>
    <cellStyle name="Percent 97" xfId="2555" xr:uid="{00000000-0005-0000-0000-0000FB090000}"/>
    <cellStyle name="Percent 97 2" xfId="2556" xr:uid="{00000000-0005-0000-0000-0000FC090000}"/>
    <cellStyle name="Percent 98" xfId="2557" xr:uid="{00000000-0005-0000-0000-0000FD090000}"/>
    <cellStyle name="Percent 98 2" xfId="2558" xr:uid="{00000000-0005-0000-0000-0000FE090000}"/>
    <cellStyle name="Percent 99" xfId="2559" xr:uid="{00000000-0005-0000-0000-0000FF090000}"/>
    <cellStyle name="Porcentagem 2" xfId="2560" xr:uid="{00000000-0005-0000-0000-0000000A0000}"/>
    <cellStyle name="Porcentaje" xfId="1905" builtinId="5"/>
    <cellStyle name="Pourcentage 2" xfId="2561" xr:uid="{00000000-0005-0000-0000-0000010A0000}"/>
    <cellStyle name="Salida" xfId="1897" builtinId="21" customBuiltin="1"/>
    <cellStyle name="SAPBEXchaText" xfId="2562" xr:uid="{00000000-0005-0000-0000-0000020A0000}"/>
    <cellStyle name="SAPBEXstdData" xfId="2563" xr:uid="{00000000-0005-0000-0000-0000030A0000}"/>
    <cellStyle name="SAPBEXstdItem" xfId="2564" xr:uid="{00000000-0005-0000-0000-0000040A0000}"/>
    <cellStyle name="SAPBEXstdItem 10" xfId="2565" xr:uid="{00000000-0005-0000-0000-0000050A0000}"/>
    <cellStyle name="SAPBEXstdItem 11" xfId="2566" xr:uid="{00000000-0005-0000-0000-0000060A0000}"/>
    <cellStyle name="SAPBEXstdItem 12" xfId="2567" xr:uid="{00000000-0005-0000-0000-0000070A0000}"/>
    <cellStyle name="SAPBEXstdItem 2" xfId="2568" xr:uid="{00000000-0005-0000-0000-0000080A0000}"/>
    <cellStyle name="SAPBEXstdItem 2 10" xfId="2569" xr:uid="{00000000-0005-0000-0000-0000090A0000}"/>
    <cellStyle name="SAPBEXstdItem 2 11" xfId="2570" xr:uid="{00000000-0005-0000-0000-00000A0A0000}"/>
    <cellStyle name="SAPBEXstdItem 2 2" xfId="2571" xr:uid="{00000000-0005-0000-0000-00000B0A0000}"/>
    <cellStyle name="SAPBEXstdItem 2 3" xfId="2572" xr:uid="{00000000-0005-0000-0000-00000C0A0000}"/>
    <cellStyle name="SAPBEXstdItem 2 4" xfId="2573" xr:uid="{00000000-0005-0000-0000-00000D0A0000}"/>
    <cellStyle name="SAPBEXstdItem 2 5" xfId="2574" xr:uid="{00000000-0005-0000-0000-00000E0A0000}"/>
    <cellStyle name="SAPBEXstdItem 2 6" xfId="2575" xr:uid="{00000000-0005-0000-0000-00000F0A0000}"/>
    <cellStyle name="SAPBEXstdItem 2 7" xfId="2576" xr:uid="{00000000-0005-0000-0000-0000100A0000}"/>
    <cellStyle name="SAPBEXstdItem 2 8" xfId="2577" xr:uid="{00000000-0005-0000-0000-0000110A0000}"/>
    <cellStyle name="SAPBEXstdItem 2 9" xfId="2578" xr:uid="{00000000-0005-0000-0000-0000120A0000}"/>
    <cellStyle name="SAPBEXstdItem 3" xfId="2579" xr:uid="{00000000-0005-0000-0000-0000130A0000}"/>
    <cellStyle name="SAPBEXstdItem 4" xfId="2580" xr:uid="{00000000-0005-0000-0000-0000140A0000}"/>
    <cellStyle name="SAPBEXstdItem 5" xfId="2581" xr:uid="{00000000-0005-0000-0000-0000150A0000}"/>
    <cellStyle name="SAPBEXstdItem 6" xfId="2582" xr:uid="{00000000-0005-0000-0000-0000160A0000}"/>
    <cellStyle name="SAPBEXstdItem 7" xfId="2583" xr:uid="{00000000-0005-0000-0000-0000170A0000}"/>
    <cellStyle name="SAPBEXstdItem 8" xfId="2584" xr:uid="{00000000-0005-0000-0000-0000180A0000}"/>
    <cellStyle name="SAPBEXstdItem 9" xfId="2585" xr:uid="{00000000-0005-0000-0000-0000190A0000}"/>
    <cellStyle name="SAPBEXstdItemX" xfId="2586" xr:uid="{00000000-0005-0000-0000-00001A0A0000}"/>
    <cellStyle name="SAPBEXstdItemX 10" xfId="2587" xr:uid="{00000000-0005-0000-0000-00001B0A0000}"/>
    <cellStyle name="SAPBEXstdItemX 11" xfId="2588" xr:uid="{00000000-0005-0000-0000-00001C0A0000}"/>
    <cellStyle name="SAPBEXstdItemX 2" xfId="2589" xr:uid="{00000000-0005-0000-0000-00001D0A0000}"/>
    <cellStyle name="SAPBEXstdItemX 3" xfId="2590" xr:uid="{00000000-0005-0000-0000-00001E0A0000}"/>
    <cellStyle name="SAPBEXstdItemX 4" xfId="2591" xr:uid="{00000000-0005-0000-0000-00001F0A0000}"/>
    <cellStyle name="SAPBEXstdItemX 5" xfId="2592" xr:uid="{00000000-0005-0000-0000-0000200A0000}"/>
    <cellStyle name="SAPBEXstdItemX 6" xfId="2593" xr:uid="{00000000-0005-0000-0000-0000210A0000}"/>
    <cellStyle name="SAPBEXstdItemX 7" xfId="2594" xr:uid="{00000000-0005-0000-0000-0000220A0000}"/>
    <cellStyle name="SAPBEXstdItemX 8" xfId="2595" xr:uid="{00000000-0005-0000-0000-0000230A0000}"/>
    <cellStyle name="SAPBEXstdItemX 9" xfId="2596" xr:uid="{00000000-0005-0000-0000-0000240A0000}"/>
    <cellStyle name="Schlecht" xfId="2597" xr:uid="{00000000-0005-0000-0000-0000250A0000}"/>
    <cellStyle name="Separador de milhares 2" xfId="2598" xr:uid="{00000000-0005-0000-0000-0000260A0000}"/>
    <cellStyle name="Standard_COST INPUT SHEET" xfId="2599" xr:uid="{00000000-0005-0000-0000-0000270A0000}"/>
    <cellStyle name="Texto de advertencia" xfId="2620" builtinId="11" customBuiltin="1"/>
    <cellStyle name="Texto explicativo" xfId="867" builtinId="53" customBuiltin="1"/>
    <cellStyle name="Title 2" xfId="2601" xr:uid="{00000000-0005-0000-0000-0000290A0000}"/>
    <cellStyle name="Title 3" xfId="2602" xr:uid="{00000000-0005-0000-0000-00002A0A0000}"/>
    <cellStyle name="Title 4" xfId="2603" xr:uid="{00000000-0005-0000-0000-00002B0A0000}"/>
    <cellStyle name="Title 4 2" xfId="2604" xr:uid="{00000000-0005-0000-0000-00002C0A0000}"/>
    <cellStyle name="Title 4 3" xfId="2605" xr:uid="{00000000-0005-0000-0000-00002D0A0000}"/>
    <cellStyle name="Title 4 4" xfId="2606" xr:uid="{00000000-0005-0000-0000-00002E0A0000}"/>
    <cellStyle name="Title 4 5" xfId="2607" xr:uid="{00000000-0005-0000-0000-00002F0A0000}"/>
    <cellStyle name="Título" xfId="2600" builtinId="15" customBuiltin="1"/>
    <cellStyle name="Título 2" xfId="882" builtinId="17" customBuiltin="1"/>
    <cellStyle name="Título 3" xfId="885" builtinId="18" customBuiltin="1"/>
    <cellStyle name="Total" xfId="2608" builtinId="25" customBuiltin="1"/>
    <cellStyle name="Total 2" xfId="2609" xr:uid="{00000000-0005-0000-0000-0000310A0000}"/>
    <cellStyle name="Überschrift" xfId="2610" xr:uid="{00000000-0005-0000-0000-0000320A0000}"/>
    <cellStyle name="Überschrift 1" xfId="2611" xr:uid="{00000000-0005-0000-0000-0000330A0000}"/>
    <cellStyle name="Überschrift 2" xfId="2612" xr:uid="{00000000-0005-0000-0000-0000340A0000}"/>
    <cellStyle name="Überschrift 3" xfId="2613" xr:uid="{00000000-0005-0000-0000-0000350A0000}"/>
    <cellStyle name="Überschrift 4" xfId="2614" xr:uid="{00000000-0005-0000-0000-0000360A0000}"/>
    <cellStyle name="Überschrift 5" xfId="2615" xr:uid="{00000000-0005-0000-0000-0000370A0000}"/>
    <cellStyle name="Verknüpfte Zelle" xfId="2616" xr:uid="{00000000-0005-0000-0000-0000380A0000}"/>
    <cellStyle name="Vertex42 Style" xfId="2617" xr:uid="{00000000-0005-0000-0000-0000390A0000}"/>
    <cellStyle name="Währung_Fleet Information 05JUN" xfId="2618" xr:uid="{00000000-0005-0000-0000-00003A0A0000}"/>
    <cellStyle name="Warnender Text" xfId="2619" xr:uid="{00000000-0005-0000-0000-00003B0A0000}"/>
    <cellStyle name="Warning Text 2" xfId="2621" xr:uid="{00000000-0005-0000-0000-00003D0A0000}"/>
    <cellStyle name="Zelle überprüfen" xfId="2622" xr:uid="{00000000-0005-0000-0000-00003E0A0000}"/>
    <cellStyle name="Обычный 2" xfId="2623" xr:uid="{00000000-0005-0000-0000-00003F0A0000}"/>
    <cellStyle name="Обычный 3" xfId="2624" xr:uid="{00000000-0005-0000-0000-0000400A0000}"/>
    <cellStyle name="Обычный 4" xfId="2625" xr:uid="{00000000-0005-0000-0000-0000410A0000}"/>
    <cellStyle name="Обычный 4 2" xfId="2626" xr:uid="{00000000-0005-0000-0000-0000420A0000}"/>
    <cellStyle name="Обычный 5" xfId="2627" xr:uid="{00000000-0005-0000-0000-0000430A0000}"/>
    <cellStyle name="Обычный 5 2" xfId="2628" xr:uid="{00000000-0005-0000-0000-0000440A0000}"/>
    <cellStyle name="Процентный 2" xfId="2629" xr:uid="{00000000-0005-0000-0000-0000450A0000}"/>
    <cellStyle name="Процентный 3" xfId="2630" xr:uid="{00000000-0005-0000-0000-0000460A0000}"/>
    <cellStyle name="Финансовый 2" xfId="2631" xr:uid="{00000000-0005-0000-0000-0000470A0000}"/>
    <cellStyle name="Финансовый 3" xfId="2632" xr:uid="{00000000-0005-0000-0000-0000480A0000}"/>
    <cellStyle name="Финансовый 4" xfId="2633" xr:uid="{00000000-0005-0000-0000-0000490A0000}"/>
    <cellStyle name="표준_Sheet1" xfId="2634" xr:uid="{00000000-0005-0000-0000-00004A0A0000}"/>
    <cellStyle name="常规_Apu200511ok" xfId="2635" xr:uid="{00000000-0005-0000-0000-00004B0A0000}"/>
  </cellStyles>
  <dxfs count="10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6" tint="0.39994506668294322"/>
        </patternFill>
      </fill>
    </dxf>
    <dxf>
      <font>
        <color rgb="FF9C0006"/>
      </font>
      <fill>
        <patternFill>
          <bgColor rgb="FFFFC7CE"/>
        </patternFill>
      </fill>
    </dxf>
    <dxf>
      <font>
        <color rgb="FF006100"/>
      </font>
      <fill>
        <patternFill>
          <bgColor rgb="FFC6EFCE"/>
        </patternFill>
      </fill>
    </dxf>
    <dxf>
      <fill>
        <patternFill>
          <bgColor theme="6" tint="0.39994506668294322"/>
        </patternFill>
      </fill>
    </dxf>
    <dxf>
      <font>
        <color rgb="FF9C0006"/>
      </font>
      <fill>
        <patternFill>
          <bgColor rgb="FFFFC7CE"/>
        </patternFill>
      </fill>
    </dxf>
    <dxf>
      <font>
        <color rgb="FF006100"/>
      </font>
      <fill>
        <patternFill>
          <bgColor rgb="FFC6EFCE"/>
        </patternFill>
      </fill>
    </dxf>
    <dxf>
      <fill>
        <patternFill>
          <bgColor theme="6" tint="0.39994506668294322"/>
        </patternFill>
      </fill>
    </dxf>
    <dxf>
      <font>
        <color auto="1"/>
      </font>
      <fill>
        <patternFill>
          <bgColor rgb="FFFF0000"/>
        </patternFill>
      </fill>
    </dxf>
    <dxf>
      <font>
        <color auto="1"/>
      </font>
      <fill>
        <patternFill>
          <bgColor rgb="FF00FF00"/>
        </patternFill>
      </fill>
    </dxf>
    <dxf>
      <font>
        <color auto="1"/>
      </font>
      <fill>
        <patternFill>
          <bgColor rgb="FFFF0000"/>
        </patternFill>
      </fill>
    </dxf>
    <dxf>
      <font>
        <color auto="1"/>
      </font>
      <fill>
        <patternFill>
          <bgColor rgb="FF00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600" b="1" i="0" u="none" strike="noStrike" baseline="0">
                <a:solidFill>
                  <a:srgbClr val="000000"/>
                </a:solidFill>
                <a:latin typeface="Calibri"/>
                <a:ea typeface="Calibri"/>
                <a:cs typeface="Calibri"/>
              </a:defRPr>
            </a:pPr>
            <a:r>
              <a:rPr lang="en-US"/>
              <a:t>ACMG Airline Cost Structure - FY2017 </a:t>
            </a:r>
          </a:p>
        </c:rich>
      </c:tx>
      <c:layout>
        <c:manualLayout>
          <c:xMode val="edge"/>
          <c:yMode val="edge"/>
          <c:x val="0.26147322493779185"/>
          <c:y val="2.5188791235120505E-2"/>
        </c:manualLayout>
      </c:layout>
      <c:overlay val="0"/>
      <c:spPr>
        <a:solidFill>
          <a:schemeClr val="tx2">
            <a:lumMod val="40000"/>
            <a:lumOff val="60000"/>
          </a:schemeClr>
        </a:solidFill>
        <a:ln w="25400">
          <a:noFill/>
        </a:ln>
      </c:spPr>
    </c:title>
    <c:autoTitleDeleted val="0"/>
    <c:plotArea>
      <c:layout>
        <c:manualLayout>
          <c:layoutTarget val="inner"/>
          <c:xMode val="edge"/>
          <c:yMode val="edge"/>
          <c:x val="0.25088989769543213"/>
          <c:y val="0.23703760859762876"/>
          <c:w val="0.4074736636330068"/>
          <c:h val="0.56543346217559365"/>
        </c:manualLayout>
      </c:layout>
      <c:pieChart>
        <c:varyColors val="1"/>
        <c:ser>
          <c:idx val="0"/>
          <c:order val="0"/>
          <c:dPt>
            <c:idx val="0"/>
            <c:bubble3D val="0"/>
            <c:extLst>
              <c:ext xmlns:c16="http://schemas.microsoft.com/office/drawing/2014/chart" uri="{C3380CC4-5D6E-409C-BE32-E72D297353CC}">
                <c16:uniqueId val="{00000000-5716-4FEA-AAB1-C776C06D9C07}"/>
              </c:ext>
            </c:extLst>
          </c:dPt>
          <c:dPt>
            <c:idx val="1"/>
            <c:bubble3D val="0"/>
            <c:extLst>
              <c:ext xmlns:c16="http://schemas.microsoft.com/office/drawing/2014/chart" uri="{C3380CC4-5D6E-409C-BE32-E72D297353CC}">
                <c16:uniqueId val="{00000001-5716-4FEA-AAB1-C776C06D9C07}"/>
              </c:ext>
            </c:extLst>
          </c:dPt>
          <c:dPt>
            <c:idx val="2"/>
            <c:bubble3D val="0"/>
            <c:extLst>
              <c:ext xmlns:c16="http://schemas.microsoft.com/office/drawing/2014/chart" uri="{C3380CC4-5D6E-409C-BE32-E72D297353CC}">
                <c16:uniqueId val="{00000002-5716-4FEA-AAB1-C776C06D9C07}"/>
              </c:ext>
            </c:extLst>
          </c:dPt>
          <c:dPt>
            <c:idx val="3"/>
            <c:bubble3D val="0"/>
            <c:extLst>
              <c:ext xmlns:c16="http://schemas.microsoft.com/office/drawing/2014/chart" uri="{C3380CC4-5D6E-409C-BE32-E72D297353CC}">
                <c16:uniqueId val="{00000003-5716-4FEA-AAB1-C776C06D9C07}"/>
              </c:ext>
            </c:extLst>
          </c:dPt>
          <c:dPt>
            <c:idx val="4"/>
            <c:bubble3D val="0"/>
            <c:extLst>
              <c:ext xmlns:c16="http://schemas.microsoft.com/office/drawing/2014/chart" uri="{C3380CC4-5D6E-409C-BE32-E72D297353CC}">
                <c16:uniqueId val="{00000004-5716-4FEA-AAB1-C776C06D9C07}"/>
              </c:ext>
            </c:extLst>
          </c:dPt>
          <c:dPt>
            <c:idx val="5"/>
            <c:bubble3D val="0"/>
            <c:extLst>
              <c:ext xmlns:c16="http://schemas.microsoft.com/office/drawing/2014/chart" uri="{C3380CC4-5D6E-409C-BE32-E72D297353CC}">
                <c16:uniqueId val="{00000005-5716-4FEA-AAB1-C776C06D9C07}"/>
              </c:ext>
            </c:extLst>
          </c:dPt>
          <c:dPt>
            <c:idx val="6"/>
            <c:bubble3D val="0"/>
            <c:extLst>
              <c:ext xmlns:c16="http://schemas.microsoft.com/office/drawing/2014/chart" uri="{C3380CC4-5D6E-409C-BE32-E72D297353CC}">
                <c16:uniqueId val="{00000006-5716-4FEA-AAB1-C776C06D9C07}"/>
              </c:ext>
            </c:extLst>
          </c:dPt>
          <c:dPt>
            <c:idx val="7"/>
            <c:bubble3D val="0"/>
            <c:extLst>
              <c:ext xmlns:c16="http://schemas.microsoft.com/office/drawing/2014/chart" uri="{C3380CC4-5D6E-409C-BE32-E72D297353CC}">
                <c16:uniqueId val="{00000007-5716-4FEA-AAB1-C776C06D9C07}"/>
              </c:ext>
            </c:extLst>
          </c:dPt>
          <c:dPt>
            <c:idx val="8"/>
            <c:bubble3D val="0"/>
            <c:extLst>
              <c:ext xmlns:c16="http://schemas.microsoft.com/office/drawing/2014/chart" uri="{C3380CC4-5D6E-409C-BE32-E72D297353CC}">
                <c16:uniqueId val="{00000008-5716-4FEA-AAB1-C776C06D9C07}"/>
              </c:ext>
            </c:extLst>
          </c:dPt>
          <c:dPt>
            <c:idx val="9"/>
            <c:bubble3D val="0"/>
            <c:extLst>
              <c:ext xmlns:c16="http://schemas.microsoft.com/office/drawing/2014/chart" uri="{C3380CC4-5D6E-409C-BE32-E72D297353CC}">
                <c16:uniqueId val="{00000009-5716-4FEA-AAB1-C776C06D9C07}"/>
              </c:ext>
            </c:extLst>
          </c:dPt>
          <c:dPt>
            <c:idx val="10"/>
            <c:bubble3D val="0"/>
            <c:extLst>
              <c:ext xmlns:c16="http://schemas.microsoft.com/office/drawing/2014/chart" uri="{C3380CC4-5D6E-409C-BE32-E72D297353CC}">
                <c16:uniqueId val="{0000000A-5716-4FEA-AAB1-C776C06D9C07}"/>
              </c:ext>
            </c:extLst>
          </c:dPt>
          <c:dPt>
            <c:idx val="11"/>
            <c:bubble3D val="0"/>
            <c:extLst>
              <c:ext xmlns:c16="http://schemas.microsoft.com/office/drawing/2014/chart" uri="{C3380CC4-5D6E-409C-BE32-E72D297353CC}">
                <c16:uniqueId val="{0000000B-5716-4FEA-AAB1-C776C06D9C07}"/>
              </c:ext>
            </c:extLst>
          </c:dPt>
          <c:dPt>
            <c:idx val="12"/>
            <c:bubble3D val="0"/>
            <c:extLst>
              <c:ext xmlns:c16="http://schemas.microsoft.com/office/drawing/2014/chart" uri="{C3380CC4-5D6E-409C-BE32-E72D297353CC}">
                <c16:uniqueId val="{0000000C-5716-4FEA-AAB1-C776C06D9C07}"/>
              </c:ext>
            </c:extLst>
          </c:dPt>
          <c:dLbls>
            <c:dLbl>
              <c:idx val="0"/>
              <c:layout>
                <c:manualLayout>
                  <c:x val="4.8396632239151922E-2"/>
                  <c:y val="0.1005726358893935"/>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5716-4FEA-AAB1-C776C06D9C07}"/>
                </c:ext>
              </c:extLst>
            </c:dLbl>
            <c:dLbl>
              <c:idx val="1"/>
              <c:layout>
                <c:manualLayout>
                  <c:x val="1.4326318640774886E-2"/>
                  <c:y val="7.913418230128642E-3"/>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716-4FEA-AAB1-C776C06D9C07}"/>
                </c:ext>
              </c:extLst>
            </c:dLbl>
            <c:dLbl>
              <c:idx val="2"/>
              <c:layout>
                <c:manualLayout>
                  <c:x val="3.3381530155705628E-2"/>
                  <c:y val="2.521784776902887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716-4FEA-AAB1-C776C06D9C07}"/>
                </c:ext>
              </c:extLst>
            </c:dLbl>
            <c:dLbl>
              <c:idx val="3"/>
              <c:layout>
                <c:manualLayout>
                  <c:x val="1.8271534240038145E-2"/>
                  <c:y val="3.5880680889992488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716-4FEA-AAB1-C776C06D9C07}"/>
                </c:ext>
              </c:extLst>
            </c:dLbl>
            <c:dLbl>
              <c:idx val="4"/>
              <c:layout>
                <c:manualLayout>
                  <c:x val="-3.4180268619845022E-2"/>
                  <c:y val="-6.4537002147670641E-3"/>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5716-4FEA-AAB1-C776C06D9C07}"/>
                </c:ext>
              </c:extLst>
            </c:dLbl>
            <c:dLbl>
              <c:idx val="5"/>
              <c:layout>
                <c:manualLayout>
                  <c:x val="-4.3906743123467776E-2"/>
                  <c:y val="-1.1110577638403792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716-4FEA-AAB1-C776C06D9C07}"/>
                </c:ext>
              </c:extLst>
            </c:dLbl>
            <c:dLbl>
              <c:idx val="6"/>
              <c:layout>
                <c:manualLayout>
                  <c:x val="-1.4946899867384527E-2"/>
                  <c:y val="4.0208384618816879E-3"/>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5716-4FEA-AAB1-C776C06D9C07}"/>
                </c:ext>
              </c:extLst>
            </c:dLbl>
            <c:dLbl>
              <c:idx val="7"/>
              <c:layout>
                <c:manualLayout>
                  <c:x val="-5.9175375805297067E-2"/>
                  <c:y val="1.9904541640679466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5716-4FEA-AAB1-C776C06D9C07}"/>
                </c:ext>
              </c:extLst>
            </c:dLbl>
            <c:dLbl>
              <c:idx val="8"/>
              <c:layout>
                <c:manualLayout>
                  <c:x val="-6.9196986740293828E-2"/>
                  <c:y val="1.2824129184220831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5716-4FEA-AAB1-C776C06D9C07}"/>
                </c:ext>
              </c:extLst>
            </c:dLbl>
            <c:dLbl>
              <c:idx val="9"/>
              <c:layout>
                <c:manualLayout>
                  <c:x val="-4.37680744452398E-2"/>
                  <c:y val="-2.1062194883523174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5716-4FEA-AAB1-C776C06D9C07}"/>
                </c:ext>
              </c:extLst>
            </c:dLbl>
            <c:dLbl>
              <c:idx val="10"/>
              <c:layout>
                <c:manualLayout>
                  <c:x val="-8.2542863960186792E-3"/>
                  <c:y val="-5.4214824802282638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5716-4FEA-AAB1-C776C06D9C07}"/>
                </c:ext>
              </c:extLst>
            </c:dLbl>
            <c:dLbl>
              <c:idx val="11"/>
              <c:layout>
                <c:manualLayout>
                  <c:x val="0.1041251661724102"/>
                  <c:y val="-5.1002711797954708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5716-4FEA-AAB1-C776C06D9C07}"/>
                </c:ext>
              </c:extLst>
            </c:dLbl>
            <c:dLbl>
              <c:idx val="12"/>
              <c:layout>
                <c:manualLayout>
                  <c:x val="0.15192964515799148"/>
                  <c:y val="7.8693980679800921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C-5716-4FEA-AAB1-C776C06D9C07}"/>
                </c:ext>
              </c:extLst>
            </c:dLbl>
            <c:dLbl>
              <c:idx val="13"/>
              <c:delete val="1"/>
              <c:extLst>
                <c:ext xmlns:c15="http://schemas.microsoft.com/office/drawing/2012/chart" uri="{CE6537A1-D6FC-4f65-9D91-7224C49458BB}"/>
                <c:ext xmlns:c16="http://schemas.microsoft.com/office/drawing/2014/chart" uri="{C3380CC4-5D6E-409C-BE32-E72D297353CC}">
                  <c16:uniqueId val="{0000000D-5716-4FEA-AAB1-C776C06D9C07}"/>
                </c:ext>
              </c:extLst>
            </c:dLbl>
            <c:dLbl>
              <c:idx val="14"/>
              <c:delete val="1"/>
              <c:extLst>
                <c:ext xmlns:c15="http://schemas.microsoft.com/office/drawing/2012/chart" uri="{CE6537A1-D6FC-4f65-9D91-7224C49458BB}"/>
                <c:ext xmlns:c16="http://schemas.microsoft.com/office/drawing/2014/chart" uri="{C3380CC4-5D6E-409C-BE32-E72D297353CC}">
                  <c16:uniqueId val="{0000000E-5716-4FEA-AAB1-C776C06D9C07}"/>
                </c:ext>
              </c:extLst>
            </c:dLbl>
            <c:numFmt formatCode="0.0%" sourceLinked="0"/>
            <c:spPr>
              <a:noFill/>
              <a:ln w="25400">
                <a:noFill/>
              </a:ln>
            </c:spPr>
            <c:txPr>
              <a:bodyPr wrap="square" lIns="38100" tIns="19050" rIns="38100" bIns="19050" anchor="ctr">
                <a:spAutoFit/>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'Strategic KPIs Comparison'!$C$25:$C$37</c:f>
              <c:strCache>
                <c:ptCount val="13"/>
                <c:pt idx="0">
                  <c:v>Fuel and Oil</c:v>
                </c:pt>
                <c:pt idx="1">
                  <c:v>Aircraft Ownership</c:v>
                </c:pt>
                <c:pt idx="2">
                  <c:v>Maintenance and Overhaul</c:v>
                </c:pt>
                <c:pt idx="3">
                  <c:v>Reservation, Ticketing, Sales and Promotion</c:v>
                </c:pt>
                <c:pt idx="4">
                  <c:v>General and Administrative</c:v>
                </c:pt>
                <c:pt idx="5">
                  <c:v>Station and Ground</c:v>
                </c:pt>
                <c:pt idx="6">
                  <c:v>Flight Deck Crew</c:v>
                </c:pt>
                <c:pt idx="7">
                  <c:v>Airport Charges</c:v>
                </c:pt>
                <c:pt idx="8">
                  <c:v>Passenger Service</c:v>
                </c:pt>
                <c:pt idx="9">
                  <c:v>Cabin Attendants</c:v>
                </c:pt>
                <c:pt idx="10">
                  <c:v>Air Navigation Charges</c:v>
                </c:pt>
                <c:pt idx="11">
                  <c:v>IT and Communications</c:v>
                </c:pt>
                <c:pt idx="12">
                  <c:v>Flight Equipment Insurance</c:v>
                </c:pt>
              </c:strCache>
            </c:strRef>
          </c:cat>
          <c:val>
            <c:numRef>
              <c:f>'Strategic KPIs Comparison'!$D$25:$D$37</c:f>
              <c:numCache>
                <c:formatCode>[&gt;=1000000000]\ "$"#,##0.0,,,\ "Bil";[&gt;=1000000]"$"#0.0,,\ "Mil";\ "$"#0.0,\ "K"</c:formatCode>
                <c:ptCount val="13"/>
                <c:pt idx="0">
                  <c:v>30305916974.17194</c:v>
                </c:pt>
                <c:pt idx="1">
                  <c:v>16256233302.790068</c:v>
                </c:pt>
                <c:pt idx="2">
                  <c:v>13816461579.490637</c:v>
                </c:pt>
                <c:pt idx="3">
                  <c:v>9375404266.060667</c:v>
                </c:pt>
                <c:pt idx="4">
                  <c:v>9570111982.2715034</c:v>
                </c:pt>
                <c:pt idx="5">
                  <c:v>8677870182.660223</c:v>
                </c:pt>
                <c:pt idx="6">
                  <c:v>8412570053.0893726</c:v>
                </c:pt>
                <c:pt idx="7">
                  <c:v>7650121914.4493427</c:v>
                </c:pt>
                <c:pt idx="8">
                  <c:v>6417461261.9540396</c:v>
                </c:pt>
                <c:pt idx="9">
                  <c:v>6336680604.4320831</c:v>
                </c:pt>
                <c:pt idx="10">
                  <c:v>5379050475.5477428</c:v>
                </c:pt>
                <c:pt idx="11">
                  <c:v>1374391119.7594001</c:v>
                </c:pt>
                <c:pt idx="12">
                  <c:v>187520817.4695321</c:v>
                </c:pt>
              </c:numCache>
            </c:numRef>
          </c:val>
          <c:extLst>
            <c:ext xmlns:c16="http://schemas.microsoft.com/office/drawing/2014/chart" uri="{C3380CC4-5D6E-409C-BE32-E72D297353CC}">
              <c16:uniqueId val="{0000000F-5716-4FEA-AAB1-C776C06D9C07}"/>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tx2">
        <a:lumMod val="20000"/>
        <a:lumOff val="80000"/>
      </a:schemeClr>
    </a:solidFill>
    <a:ln w="19050">
      <a:solidFill>
        <a:schemeClr val="tx2">
          <a:lumMod val="40000"/>
          <a:lumOff val="60000"/>
        </a:schemeClr>
      </a:solidFill>
    </a:ln>
  </c:spPr>
  <c:txPr>
    <a:bodyPr/>
    <a:lstStyle/>
    <a:p>
      <a:pPr>
        <a:defRPr sz="1000" b="0" i="0" u="none" strike="noStrike" baseline="0">
          <a:solidFill>
            <a:srgbClr val="000000"/>
          </a:solidFill>
          <a:latin typeface="Calibri"/>
          <a:ea typeface="Calibri"/>
          <a:cs typeface="Calibri"/>
        </a:defRPr>
      </a:pPr>
      <a:endParaRPr lang="es-ES"/>
    </a:p>
  </c:txPr>
  <c:printSettings>
    <c:headerFooter/>
    <c:pageMargins b="0.75000000000000078" l="0.70000000000000062" r="0.70000000000000062" t="0.75000000000000078"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600" b="1" i="0" u="none" strike="noStrike" baseline="0">
                <a:solidFill>
                  <a:srgbClr val="000000"/>
                </a:solidFill>
                <a:latin typeface="Calibri"/>
                <a:ea typeface="Calibri"/>
                <a:cs typeface="Calibri"/>
              </a:defRPr>
            </a:pPr>
            <a:r>
              <a:rPr lang="en-US"/>
              <a:t>Your Airline Cost Structure - FY2018 </a:t>
            </a:r>
          </a:p>
        </c:rich>
      </c:tx>
      <c:layout>
        <c:manualLayout>
          <c:xMode val="edge"/>
          <c:yMode val="edge"/>
          <c:x val="0.26288400720337973"/>
          <c:y val="8.0577923978784327E-3"/>
        </c:manualLayout>
      </c:layout>
      <c:overlay val="0"/>
      <c:spPr>
        <a:solidFill>
          <a:schemeClr val="accent4">
            <a:lumMod val="40000"/>
            <a:lumOff val="60000"/>
          </a:schemeClr>
        </a:solidFill>
        <a:ln w="25400">
          <a:noFill/>
        </a:ln>
      </c:spPr>
    </c:title>
    <c:autoTitleDeleted val="0"/>
    <c:plotArea>
      <c:layout>
        <c:manualLayout>
          <c:layoutTarget val="inner"/>
          <c:xMode val="edge"/>
          <c:yMode val="edge"/>
          <c:x val="0.27301916696451456"/>
          <c:y val="0.28842952446789977"/>
          <c:w val="0.4074736636330068"/>
          <c:h val="0.56543346217559365"/>
        </c:manualLayout>
      </c:layout>
      <c:pieChart>
        <c:varyColors val="1"/>
        <c:ser>
          <c:idx val="0"/>
          <c:order val="0"/>
          <c:dPt>
            <c:idx val="0"/>
            <c:bubble3D val="0"/>
            <c:extLst>
              <c:ext xmlns:c16="http://schemas.microsoft.com/office/drawing/2014/chart" uri="{C3380CC4-5D6E-409C-BE32-E72D297353CC}">
                <c16:uniqueId val="{00000000-CC39-4794-9E74-7D409A75E953}"/>
              </c:ext>
            </c:extLst>
          </c:dPt>
          <c:dPt>
            <c:idx val="1"/>
            <c:bubble3D val="0"/>
            <c:extLst>
              <c:ext xmlns:c16="http://schemas.microsoft.com/office/drawing/2014/chart" uri="{C3380CC4-5D6E-409C-BE32-E72D297353CC}">
                <c16:uniqueId val="{00000001-CC39-4794-9E74-7D409A75E953}"/>
              </c:ext>
            </c:extLst>
          </c:dPt>
          <c:dPt>
            <c:idx val="2"/>
            <c:bubble3D val="0"/>
            <c:extLst>
              <c:ext xmlns:c16="http://schemas.microsoft.com/office/drawing/2014/chart" uri="{C3380CC4-5D6E-409C-BE32-E72D297353CC}">
                <c16:uniqueId val="{00000002-CC39-4794-9E74-7D409A75E953}"/>
              </c:ext>
            </c:extLst>
          </c:dPt>
          <c:dPt>
            <c:idx val="3"/>
            <c:bubble3D val="0"/>
            <c:extLst>
              <c:ext xmlns:c16="http://schemas.microsoft.com/office/drawing/2014/chart" uri="{C3380CC4-5D6E-409C-BE32-E72D297353CC}">
                <c16:uniqueId val="{00000003-CC39-4794-9E74-7D409A75E953}"/>
              </c:ext>
            </c:extLst>
          </c:dPt>
          <c:dPt>
            <c:idx val="4"/>
            <c:bubble3D val="0"/>
            <c:extLst>
              <c:ext xmlns:c16="http://schemas.microsoft.com/office/drawing/2014/chart" uri="{C3380CC4-5D6E-409C-BE32-E72D297353CC}">
                <c16:uniqueId val="{00000004-CC39-4794-9E74-7D409A75E953}"/>
              </c:ext>
            </c:extLst>
          </c:dPt>
          <c:dPt>
            <c:idx val="5"/>
            <c:bubble3D val="0"/>
            <c:extLst>
              <c:ext xmlns:c16="http://schemas.microsoft.com/office/drawing/2014/chart" uri="{C3380CC4-5D6E-409C-BE32-E72D297353CC}">
                <c16:uniqueId val="{00000005-CC39-4794-9E74-7D409A75E953}"/>
              </c:ext>
            </c:extLst>
          </c:dPt>
          <c:dPt>
            <c:idx val="6"/>
            <c:bubble3D val="0"/>
            <c:extLst>
              <c:ext xmlns:c16="http://schemas.microsoft.com/office/drawing/2014/chart" uri="{C3380CC4-5D6E-409C-BE32-E72D297353CC}">
                <c16:uniqueId val="{00000006-CC39-4794-9E74-7D409A75E953}"/>
              </c:ext>
            </c:extLst>
          </c:dPt>
          <c:dPt>
            <c:idx val="7"/>
            <c:bubble3D val="0"/>
            <c:extLst>
              <c:ext xmlns:c16="http://schemas.microsoft.com/office/drawing/2014/chart" uri="{C3380CC4-5D6E-409C-BE32-E72D297353CC}">
                <c16:uniqueId val="{00000007-CC39-4794-9E74-7D409A75E953}"/>
              </c:ext>
            </c:extLst>
          </c:dPt>
          <c:dPt>
            <c:idx val="8"/>
            <c:bubble3D val="0"/>
            <c:extLst>
              <c:ext xmlns:c16="http://schemas.microsoft.com/office/drawing/2014/chart" uri="{C3380CC4-5D6E-409C-BE32-E72D297353CC}">
                <c16:uniqueId val="{00000008-CC39-4794-9E74-7D409A75E953}"/>
              </c:ext>
            </c:extLst>
          </c:dPt>
          <c:dPt>
            <c:idx val="9"/>
            <c:bubble3D val="0"/>
            <c:extLst>
              <c:ext xmlns:c16="http://schemas.microsoft.com/office/drawing/2014/chart" uri="{C3380CC4-5D6E-409C-BE32-E72D297353CC}">
                <c16:uniqueId val="{00000009-CC39-4794-9E74-7D409A75E953}"/>
              </c:ext>
            </c:extLst>
          </c:dPt>
          <c:dPt>
            <c:idx val="10"/>
            <c:bubble3D val="0"/>
            <c:extLst>
              <c:ext xmlns:c16="http://schemas.microsoft.com/office/drawing/2014/chart" uri="{C3380CC4-5D6E-409C-BE32-E72D297353CC}">
                <c16:uniqueId val="{0000000A-CC39-4794-9E74-7D409A75E953}"/>
              </c:ext>
            </c:extLst>
          </c:dPt>
          <c:dPt>
            <c:idx val="11"/>
            <c:bubble3D val="0"/>
            <c:extLst>
              <c:ext xmlns:c16="http://schemas.microsoft.com/office/drawing/2014/chart" uri="{C3380CC4-5D6E-409C-BE32-E72D297353CC}">
                <c16:uniqueId val="{0000000B-CC39-4794-9E74-7D409A75E953}"/>
              </c:ext>
            </c:extLst>
          </c:dPt>
          <c:dPt>
            <c:idx val="12"/>
            <c:bubble3D val="0"/>
            <c:extLst>
              <c:ext xmlns:c16="http://schemas.microsoft.com/office/drawing/2014/chart" uri="{C3380CC4-5D6E-409C-BE32-E72D297353CC}">
                <c16:uniqueId val="{0000000C-CC39-4794-9E74-7D409A75E953}"/>
              </c:ext>
            </c:extLst>
          </c:dPt>
          <c:dLbls>
            <c:dLbl>
              <c:idx val="0"/>
              <c:layout>
                <c:manualLayout>
                  <c:x val="1.0301416949215868E-2"/>
                  <c:y val="3.7538641003207933E-3"/>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C39-4794-9E74-7D409A75E953}"/>
                </c:ext>
              </c:extLst>
            </c:dLbl>
            <c:dLbl>
              <c:idx val="1"/>
              <c:layout>
                <c:manualLayout>
                  <c:x val="1.4326318640774886E-2"/>
                  <c:y val="7.913418230128642E-3"/>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C39-4794-9E74-7D409A75E953}"/>
                </c:ext>
              </c:extLst>
            </c:dLbl>
            <c:dLbl>
              <c:idx val="2"/>
              <c:layout>
                <c:manualLayout>
                  <c:x val="3.3381530155705628E-2"/>
                  <c:y val="2.521784776902887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C39-4794-9E74-7D409A75E953}"/>
                </c:ext>
              </c:extLst>
            </c:dLbl>
            <c:dLbl>
              <c:idx val="3"/>
              <c:layout>
                <c:manualLayout>
                  <c:x val="-2.8481759078998335E-2"/>
                  <c:y val="1.9283228709533102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C39-4794-9E74-7D409A75E953}"/>
                </c:ext>
              </c:extLst>
            </c:dLbl>
            <c:dLbl>
              <c:idx val="4"/>
              <c:layout>
                <c:manualLayout>
                  <c:x val="-3.4180268619845022E-2"/>
                  <c:y val="-6.4537002147670641E-3"/>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C39-4794-9E74-7D409A75E953}"/>
                </c:ext>
              </c:extLst>
            </c:dLbl>
            <c:dLbl>
              <c:idx val="5"/>
              <c:layout>
                <c:manualLayout>
                  <c:x val="-4.3906743123467776E-2"/>
                  <c:y val="-1.1110577638403792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C39-4794-9E74-7D409A75E953}"/>
                </c:ext>
              </c:extLst>
            </c:dLbl>
            <c:dLbl>
              <c:idx val="6"/>
              <c:layout>
                <c:manualLayout>
                  <c:x val="-1.4946899867384527E-2"/>
                  <c:y val="4.0208384618816879E-3"/>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C39-4794-9E74-7D409A75E953}"/>
                </c:ext>
              </c:extLst>
            </c:dLbl>
            <c:dLbl>
              <c:idx val="7"/>
              <c:layout>
                <c:manualLayout>
                  <c:x val="-5.9175375805297067E-2"/>
                  <c:y val="1.9904541640679466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C39-4794-9E74-7D409A75E953}"/>
                </c:ext>
              </c:extLst>
            </c:dLbl>
            <c:dLbl>
              <c:idx val="8"/>
              <c:layout>
                <c:manualLayout>
                  <c:x val="-6.9196986740293828E-2"/>
                  <c:y val="1.2824129184220831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C39-4794-9E74-7D409A75E953}"/>
                </c:ext>
              </c:extLst>
            </c:dLbl>
            <c:dLbl>
              <c:idx val="9"/>
              <c:layout>
                <c:manualLayout>
                  <c:x val="-4.37680744452398E-2"/>
                  <c:y val="-2.1062194883523174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C39-4794-9E74-7D409A75E953}"/>
                </c:ext>
              </c:extLst>
            </c:dLbl>
            <c:dLbl>
              <c:idx val="10"/>
              <c:layout>
                <c:manualLayout>
                  <c:x val="-8.2542863960186792E-3"/>
                  <c:y val="-5.4214824802282638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CC39-4794-9E74-7D409A75E953}"/>
                </c:ext>
              </c:extLst>
            </c:dLbl>
            <c:dLbl>
              <c:idx val="11"/>
              <c:layout>
                <c:manualLayout>
                  <c:x val="5.2177176303694249E-2"/>
                  <c:y val="-5.100272416047183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CC39-4794-9E74-7D409A75E953}"/>
                </c:ext>
              </c:extLst>
            </c:dLbl>
            <c:dLbl>
              <c:idx val="12"/>
              <c:layout>
                <c:manualLayout>
                  <c:x val="8.439719402665552E-2"/>
                  <c:y val="1.2303935348989287E-2"/>
                </c:manualLayout>
              </c:layout>
              <c:numFmt formatCode="0.0%" sourceLinked="0"/>
              <c:spPr>
                <a:noFill/>
                <a:ln w="25400">
                  <a:noFill/>
                </a:ln>
              </c:spPr>
              <c:txPr>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C-CC39-4794-9E74-7D409A75E953}"/>
                </c:ext>
              </c:extLst>
            </c:dLbl>
            <c:dLbl>
              <c:idx val="13"/>
              <c:delete val="1"/>
              <c:extLst>
                <c:ext xmlns:c15="http://schemas.microsoft.com/office/drawing/2012/chart" uri="{CE6537A1-D6FC-4f65-9D91-7224C49458BB}"/>
                <c:ext xmlns:c16="http://schemas.microsoft.com/office/drawing/2014/chart" uri="{C3380CC4-5D6E-409C-BE32-E72D297353CC}">
                  <c16:uniqueId val="{0000000D-CC39-4794-9E74-7D409A75E953}"/>
                </c:ext>
              </c:extLst>
            </c:dLbl>
            <c:dLbl>
              <c:idx val="14"/>
              <c:delete val="1"/>
              <c:extLst>
                <c:ext xmlns:c15="http://schemas.microsoft.com/office/drawing/2012/chart" uri="{CE6537A1-D6FC-4f65-9D91-7224C49458BB}"/>
                <c:ext xmlns:c16="http://schemas.microsoft.com/office/drawing/2014/chart" uri="{C3380CC4-5D6E-409C-BE32-E72D297353CC}">
                  <c16:uniqueId val="{0000000E-CC39-4794-9E74-7D409A75E953}"/>
                </c:ext>
              </c:extLst>
            </c:dLbl>
            <c:numFmt formatCode="0.0%" sourceLinked="0"/>
            <c:spPr>
              <a:noFill/>
              <a:ln w="25400">
                <a:noFill/>
              </a:ln>
            </c:spPr>
            <c:txPr>
              <a:bodyPr wrap="square" lIns="38100" tIns="19050" rIns="38100" bIns="19050" anchor="ctr">
                <a:spAutoFit/>
              </a:bodyPr>
              <a:lstStyle/>
              <a:p>
                <a:pPr>
                  <a:defRPr sz="1150" b="1" i="0" u="none" strike="noStrike" baseline="0">
                    <a:solidFill>
                      <a:srgbClr val="000000"/>
                    </a:solidFill>
                    <a:latin typeface="Calibri"/>
                    <a:ea typeface="Calibri"/>
                    <a:cs typeface="Calibri"/>
                  </a:defRPr>
                </a:pPr>
                <a:endParaRPr lang="es-ES"/>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'Strategic KPIs Comparison'!$C$25:$C$37</c:f>
              <c:strCache>
                <c:ptCount val="13"/>
                <c:pt idx="0">
                  <c:v>Fuel and Oil</c:v>
                </c:pt>
                <c:pt idx="1">
                  <c:v>Aircraft Ownership</c:v>
                </c:pt>
                <c:pt idx="2">
                  <c:v>Maintenance and Overhaul</c:v>
                </c:pt>
                <c:pt idx="3">
                  <c:v>Reservation, Ticketing, Sales and Promotion</c:v>
                </c:pt>
                <c:pt idx="4">
                  <c:v>General and Administrative</c:v>
                </c:pt>
                <c:pt idx="5">
                  <c:v>Station and Ground</c:v>
                </c:pt>
                <c:pt idx="6">
                  <c:v>Flight Deck Crew</c:v>
                </c:pt>
                <c:pt idx="7">
                  <c:v>Airport Charges</c:v>
                </c:pt>
                <c:pt idx="8">
                  <c:v>Passenger Service</c:v>
                </c:pt>
                <c:pt idx="9">
                  <c:v>Cabin Attendants</c:v>
                </c:pt>
                <c:pt idx="10">
                  <c:v>Air Navigation Charges</c:v>
                </c:pt>
                <c:pt idx="11">
                  <c:v>IT and Communications</c:v>
                </c:pt>
                <c:pt idx="12">
                  <c:v>Flight Equipment Insurance</c:v>
                </c:pt>
              </c:strCache>
            </c:strRef>
          </c:cat>
          <c:val>
            <c:numRef>
              <c:f>'Strategic KPIs Comparison'!$F$25:$F$37</c:f>
              <c:numCache>
                <c:formatCode>[&gt;=1000000000]\ "$"#,##0.0,,,\ "Bil";[&gt;=1000000]"$"#0.0,,\ "Mil";\ "$"#0.0,\ "K"</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F-CC39-4794-9E74-7D409A75E953}"/>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accent4">
        <a:lumMod val="20000"/>
        <a:lumOff val="80000"/>
      </a:schemeClr>
    </a:solidFill>
    <a:ln w="28575">
      <a:solidFill>
        <a:schemeClr val="accent4">
          <a:lumMod val="60000"/>
          <a:lumOff val="40000"/>
        </a:schemeClr>
      </a:solidFill>
    </a:ln>
  </c:spPr>
  <c:txPr>
    <a:bodyPr/>
    <a:lstStyle/>
    <a:p>
      <a:pPr>
        <a:defRPr sz="1000" b="0" i="0" u="none" strike="noStrike" baseline="0">
          <a:solidFill>
            <a:srgbClr val="000000"/>
          </a:solidFill>
          <a:latin typeface="Calibri"/>
          <a:ea typeface="Calibri"/>
          <a:cs typeface="Calibri"/>
        </a:defRPr>
      </a:pPr>
      <a:endParaRPr lang="es-ES"/>
    </a:p>
  </c:txPr>
  <c:printSettings>
    <c:headerFooter/>
    <c:pageMargins b="0.75000000000000078" l="0.70000000000000062" r="0.70000000000000062" t="0.75000000000000078" header="0.30000000000000032" footer="0.30000000000000032"/>
    <c:pageSetup/>
  </c:printSettings>
</c:chartSpace>
</file>

<file path=xl/ctrlProps/ctrlProp1.xml><?xml version="1.0" encoding="utf-8"?>
<formControlPr xmlns="http://schemas.microsoft.com/office/spreadsheetml/2009/9/main" objectType="CheckBox" fmlaLink="$D$10" noThreeD="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9.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chart" Target="../charts/chart2.xml"/><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3</xdr:col>
      <xdr:colOff>57150</xdr:colOff>
      <xdr:row>0</xdr:row>
      <xdr:rowOff>0</xdr:rowOff>
    </xdr:from>
    <xdr:to>
      <xdr:col>3</xdr:col>
      <xdr:colOff>895350</xdr:colOff>
      <xdr:row>1</xdr:row>
      <xdr:rowOff>47625</xdr:rowOff>
    </xdr:to>
    <xdr:pic>
      <xdr:nvPicPr>
        <xdr:cNvPr id="5223800" name="logoIATA">
          <a:extLst>
            <a:ext uri="{FF2B5EF4-FFF2-40B4-BE49-F238E27FC236}">
              <a16:creationId xmlns:a16="http://schemas.microsoft.com/office/drawing/2014/main" id="{00000000-0008-0000-0000-000078B54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0"/>
          <a:ext cx="8382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editAs="oneCell">
    <xdr:from>
      <xdr:col>3</xdr:col>
      <xdr:colOff>457200</xdr:colOff>
      <xdr:row>14</xdr:row>
      <xdr:rowOff>209550</xdr:rowOff>
    </xdr:from>
    <xdr:to>
      <xdr:col>3</xdr:col>
      <xdr:colOff>4495800</xdr:colOff>
      <xdr:row>17</xdr:row>
      <xdr:rowOff>47625</xdr:rowOff>
    </xdr:to>
    <xdr:pic>
      <xdr:nvPicPr>
        <xdr:cNvPr id="5223801" name="Picture 3">
          <a:extLst>
            <a:ext uri="{FF2B5EF4-FFF2-40B4-BE49-F238E27FC236}">
              <a16:creationId xmlns:a16="http://schemas.microsoft.com/office/drawing/2014/main" id="{00000000-0008-0000-0000-000079B54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61758" b="19058"/>
        <a:stretch>
          <a:fillRect/>
        </a:stretch>
      </xdr:blipFill>
      <xdr:spPr bwMode="auto">
        <a:xfrm>
          <a:off x="581025" y="3162300"/>
          <a:ext cx="403860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101600</xdr:colOff>
          <xdr:row>6</xdr:row>
          <xdr:rowOff>482600</xdr:rowOff>
        </xdr:from>
        <xdr:to>
          <xdr:col>3</xdr:col>
          <xdr:colOff>7543800</xdr:colOff>
          <xdr:row>8</xdr:row>
          <xdr:rowOff>139700</xdr:rowOff>
        </xdr:to>
        <xdr:sp macro="" textlink="">
          <xdr:nvSpPr>
            <xdr:cNvPr id="5223609" name="Check Box 1209" hidden="1">
              <a:extLst>
                <a:ext uri="{63B3BB69-23CF-44E3-9099-C40C66FF867C}">
                  <a14:compatExt spid="_x0000_s5223609"/>
                </a:ext>
                <a:ext uri="{FF2B5EF4-FFF2-40B4-BE49-F238E27FC236}">
                  <a16:creationId xmlns:a16="http://schemas.microsoft.com/office/drawing/2014/main" id="{00000000-0008-0000-0000-0000B9B44F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22860" rIns="0" bIns="22860" anchor="ctr" upright="1"/>
            <a:lstStyle/>
            <a:p>
              <a:pPr algn="l" rtl="0">
                <a:defRPr sz="1000"/>
              </a:pPr>
              <a:r>
                <a:rPr lang="es-ES_tradnl" sz="800" b="0" i="0" u="none" strike="noStrike" baseline="0">
                  <a:solidFill>
                    <a:srgbClr val="000000"/>
                  </a:solidFill>
                  <a:latin typeface="Segoe UI"/>
                </a:rPr>
                <a:t>Please check here to indicate that you have read and agree to the above payment terms and the Terms and Conditions further below on this page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9525</xdr:colOff>
      <xdr:row>0</xdr:row>
      <xdr:rowOff>133350</xdr:rowOff>
    </xdr:from>
    <xdr:to>
      <xdr:col>1</xdr:col>
      <xdr:colOff>990600</xdr:colOff>
      <xdr:row>1</xdr:row>
      <xdr:rowOff>123825</xdr:rowOff>
    </xdr:to>
    <xdr:pic>
      <xdr:nvPicPr>
        <xdr:cNvPr id="5597189" name="Picture 6">
          <a:extLst>
            <a:ext uri="{FF2B5EF4-FFF2-40B4-BE49-F238E27FC236}">
              <a16:creationId xmlns:a16="http://schemas.microsoft.com/office/drawing/2014/main" id="{00000000-0008-0000-0100-000005685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7175" y="133350"/>
          <a:ext cx="981075" cy="504825"/>
        </a:xfrm>
        <a:prstGeom prst="rect">
          <a:avLst/>
        </a:prstGeom>
        <a:solidFill>
          <a:srgbClr val="FFFFFF"/>
        </a:solidFill>
        <a:ln w="9525">
          <a:solidFill>
            <a:srgbClr val="000000"/>
          </a:solid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19050</xdr:rowOff>
    </xdr:from>
    <xdr:to>
      <xdr:col>1</xdr:col>
      <xdr:colOff>28575</xdr:colOff>
      <xdr:row>0</xdr:row>
      <xdr:rowOff>504825</xdr:rowOff>
    </xdr:to>
    <xdr:pic>
      <xdr:nvPicPr>
        <xdr:cNvPr id="12264" name="logoIATA">
          <a:extLst>
            <a:ext uri="{FF2B5EF4-FFF2-40B4-BE49-F238E27FC236}">
              <a16:creationId xmlns:a16="http://schemas.microsoft.com/office/drawing/2014/main" id="{00000000-0008-0000-0200-0000E82F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
          <a:ext cx="8477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352425</xdr:colOff>
      <xdr:row>0</xdr:row>
      <xdr:rowOff>552450</xdr:rowOff>
    </xdr:to>
    <xdr:pic>
      <xdr:nvPicPr>
        <xdr:cNvPr id="13305" name="logoIATA">
          <a:extLst>
            <a:ext uri="{FF2B5EF4-FFF2-40B4-BE49-F238E27FC236}">
              <a16:creationId xmlns:a16="http://schemas.microsoft.com/office/drawing/2014/main" id="{00000000-0008-0000-0300-0000F93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5252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19050</xdr:colOff>
      <xdr:row>0</xdr:row>
      <xdr:rowOff>504825</xdr:rowOff>
    </xdr:to>
    <xdr:pic>
      <xdr:nvPicPr>
        <xdr:cNvPr id="4944210" name="logoIATA">
          <a:extLst>
            <a:ext uri="{FF2B5EF4-FFF2-40B4-BE49-F238E27FC236}">
              <a16:creationId xmlns:a16="http://schemas.microsoft.com/office/drawing/2014/main" id="{00000000-0008-0000-0400-000052714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57150"/>
          <a:ext cx="7239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19050</xdr:rowOff>
    </xdr:from>
    <xdr:to>
      <xdr:col>1</xdr:col>
      <xdr:colOff>28575</xdr:colOff>
      <xdr:row>0</xdr:row>
      <xdr:rowOff>504825</xdr:rowOff>
    </xdr:to>
    <xdr:pic>
      <xdr:nvPicPr>
        <xdr:cNvPr id="5191881" name="logoIATA">
          <a:extLst>
            <a:ext uri="{FF2B5EF4-FFF2-40B4-BE49-F238E27FC236}">
              <a16:creationId xmlns:a16="http://schemas.microsoft.com/office/drawing/2014/main" id="{00000000-0008-0000-0500-0000C9384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
          <a:ext cx="8477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19050</xdr:rowOff>
    </xdr:from>
    <xdr:to>
      <xdr:col>1</xdr:col>
      <xdr:colOff>28575</xdr:colOff>
      <xdr:row>0</xdr:row>
      <xdr:rowOff>504825</xdr:rowOff>
    </xdr:to>
    <xdr:pic>
      <xdr:nvPicPr>
        <xdr:cNvPr id="5192905" name="logoIATA">
          <a:extLst>
            <a:ext uri="{FF2B5EF4-FFF2-40B4-BE49-F238E27FC236}">
              <a16:creationId xmlns:a16="http://schemas.microsoft.com/office/drawing/2014/main" id="{00000000-0008-0000-0600-0000C93C4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
          <a:ext cx="8477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19050</xdr:rowOff>
    </xdr:from>
    <xdr:to>
      <xdr:col>1</xdr:col>
      <xdr:colOff>28575</xdr:colOff>
      <xdr:row>0</xdr:row>
      <xdr:rowOff>504825</xdr:rowOff>
    </xdr:to>
    <xdr:pic>
      <xdr:nvPicPr>
        <xdr:cNvPr id="3822583" name="logoIATA">
          <a:extLst>
            <a:ext uri="{FF2B5EF4-FFF2-40B4-BE49-F238E27FC236}">
              <a16:creationId xmlns:a16="http://schemas.microsoft.com/office/drawing/2014/main" id="{00000000-0008-0000-0700-0000F7533A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
          <a:ext cx="8477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371475</xdr:colOff>
      <xdr:row>0</xdr:row>
      <xdr:rowOff>0</xdr:rowOff>
    </xdr:from>
    <xdr:to>
      <xdr:col>2</xdr:col>
      <xdr:colOff>19050</xdr:colOff>
      <xdr:row>0</xdr:row>
      <xdr:rowOff>485775</xdr:rowOff>
    </xdr:to>
    <xdr:pic>
      <xdr:nvPicPr>
        <xdr:cNvPr id="3825632" name="logoIATA">
          <a:extLst>
            <a:ext uri="{FF2B5EF4-FFF2-40B4-BE49-F238E27FC236}">
              <a16:creationId xmlns:a16="http://schemas.microsoft.com/office/drawing/2014/main" id="{00000000-0008-0000-0800-0000E05F3A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0"/>
          <a:ext cx="8477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9</xdr:col>
      <xdr:colOff>19050</xdr:colOff>
      <xdr:row>1</xdr:row>
      <xdr:rowOff>76200</xdr:rowOff>
    </xdr:from>
    <xdr:to>
      <xdr:col>21</xdr:col>
      <xdr:colOff>38100</xdr:colOff>
      <xdr:row>26</xdr:row>
      <xdr:rowOff>19050</xdr:rowOff>
    </xdr:to>
    <xdr:graphicFrame macro="">
      <xdr:nvGraphicFramePr>
        <xdr:cNvPr id="5194331" name="Chart 14">
          <a:extLst>
            <a:ext uri="{FF2B5EF4-FFF2-40B4-BE49-F238E27FC236}">
              <a16:creationId xmlns:a16="http://schemas.microsoft.com/office/drawing/2014/main" id="{00000000-0008-0000-0900-00005B424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9525</xdr:colOff>
      <xdr:row>27</xdr:row>
      <xdr:rowOff>19050</xdr:rowOff>
    </xdr:from>
    <xdr:to>
      <xdr:col>21</xdr:col>
      <xdr:colOff>38100</xdr:colOff>
      <xdr:row>56</xdr:row>
      <xdr:rowOff>28575</xdr:rowOff>
    </xdr:to>
    <xdr:graphicFrame macro="">
      <xdr:nvGraphicFramePr>
        <xdr:cNvPr id="5194332" name="Chart 14">
          <a:extLst>
            <a:ext uri="{FF2B5EF4-FFF2-40B4-BE49-F238E27FC236}">
              <a16:creationId xmlns:a16="http://schemas.microsoft.com/office/drawing/2014/main" id="{00000000-0008-0000-0900-00005C424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xdr:colOff>
      <xdr:row>0</xdr:row>
      <xdr:rowOff>9525</xdr:rowOff>
    </xdr:from>
    <xdr:to>
      <xdr:col>1</xdr:col>
      <xdr:colOff>266700</xdr:colOff>
      <xdr:row>0</xdr:row>
      <xdr:rowOff>495300</xdr:rowOff>
    </xdr:to>
    <xdr:pic>
      <xdr:nvPicPr>
        <xdr:cNvPr id="5194333" name="logoIATA">
          <a:extLst>
            <a:ext uri="{FF2B5EF4-FFF2-40B4-BE49-F238E27FC236}">
              <a16:creationId xmlns:a16="http://schemas.microsoft.com/office/drawing/2014/main" id="{00000000-0008-0000-0900-00005D424F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525" y="9525"/>
          <a:ext cx="86677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1.xml><?xml version="1.0" encoding="utf-8"?>
<c:userShapes xmlns:c="http://schemas.openxmlformats.org/drawingml/2006/chart">
  <cdr:relSizeAnchor xmlns:cdr="http://schemas.openxmlformats.org/drawingml/2006/chartDrawing">
    <cdr:from>
      <cdr:x>0.70087</cdr:x>
      <cdr:y>0.09918</cdr:y>
    </cdr:from>
    <cdr:to>
      <cdr:x>0.89091</cdr:x>
      <cdr:y>0.19608</cdr:y>
    </cdr:to>
    <cdr:sp macro="" textlink="">
      <cdr:nvSpPr>
        <cdr:cNvPr id="2" name="TextBox 1"/>
        <cdr:cNvSpPr txBox="1">
          <a:spLocks xmlns:a="http://schemas.openxmlformats.org/drawingml/2006/main" noChangeArrowheads="1"/>
        </cdr:cNvSpPr>
      </cdr:nvSpPr>
      <cdr:spPr bwMode="auto">
        <a:xfrm xmlns:a="http://schemas.openxmlformats.org/drawingml/2006/main">
          <a:off x="5140356" y="474234"/>
          <a:ext cx="1393794" cy="4633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7432" rIns="0" bIns="0" anchor="t" upright="1"/>
        <a:lstStyle xmlns:a="http://schemas.openxmlformats.org/drawingml/2006/main"/>
        <a:p xmlns:a="http://schemas.openxmlformats.org/drawingml/2006/main">
          <a:pPr algn="l" rtl="0">
            <a:defRPr sz="1000"/>
          </a:pPr>
          <a:r>
            <a:rPr lang="en-US" sz="1200" b="1" i="1" u="none" strike="noStrike" baseline="0">
              <a:solidFill>
                <a:srgbClr val="000000"/>
              </a:solidFill>
              <a:latin typeface="Calibri"/>
            </a:rPr>
            <a:t>Total = $123.8 Billion</a:t>
          </a:r>
        </a:p>
        <a:p xmlns:a="http://schemas.openxmlformats.org/drawingml/2006/main">
          <a:pPr algn="l" rtl="0">
            <a:defRPr sz="1000"/>
          </a:pPr>
          <a:r>
            <a:rPr lang="en-US" sz="1200" b="1" i="1" u="none" strike="noStrike" baseline="0">
              <a:solidFill>
                <a:srgbClr val="000000"/>
              </a:solidFill>
              <a:latin typeface="Calibri"/>
            </a:rPr>
            <a:t>(51 airlines)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0</xdr:colOff>
      <xdr:row>0</xdr:row>
      <xdr:rowOff>161925</xdr:rowOff>
    </xdr:from>
    <xdr:to>
      <xdr:col>1</xdr:col>
      <xdr:colOff>561975</xdr:colOff>
      <xdr:row>0</xdr:row>
      <xdr:rowOff>647700</xdr:rowOff>
    </xdr:to>
    <xdr:pic>
      <xdr:nvPicPr>
        <xdr:cNvPr id="4699597" name="logoIATA">
          <a:extLst>
            <a:ext uri="{FF2B5EF4-FFF2-40B4-BE49-F238E27FC236}">
              <a16:creationId xmlns:a16="http://schemas.microsoft.com/office/drawing/2014/main" id="{00000000-0008-0000-0A00-0000CDB54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1925"/>
          <a:ext cx="86677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609600</xdr:colOff>
          <xdr:row>0</xdr:row>
          <xdr:rowOff>215900</xdr:rowOff>
        </xdr:from>
        <xdr:to>
          <xdr:col>1</xdr:col>
          <xdr:colOff>1930400</xdr:colOff>
          <xdr:row>0</xdr:row>
          <xdr:rowOff>685800</xdr:rowOff>
        </xdr:to>
        <xdr:sp macro="" textlink="">
          <xdr:nvSpPr>
            <xdr:cNvPr id="4699286" name="Button 150" hidden="1">
              <a:extLst>
                <a:ext uri="{63B3BB69-23CF-44E3-9099-C40C66FF867C}">
                  <a14:compatExt spid="_x0000_s4699286"/>
                </a:ext>
                <a:ext uri="{FF2B5EF4-FFF2-40B4-BE49-F238E27FC236}">
                  <a16:creationId xmlns:a16="http://schemas.microsoft.com/office/drawing/2014/main" id="{00000000-0008-0000-0A00-000096B44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1" i="0" u="none" strike="noStrike" baseline="0">
                  <a:solidFill>
                    <a:srgbClr val="000000"/>
                  </a:solidFill>
                  <a:latin typeface="Arial" pitchFamily="2" charset="0"/>
                  <a:cs typeface="Arial" pitchFamily="2" charset="0"/>
                </a:rPr>
                <a:t>Update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acmg@iata.org"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F56"/>
  <sheetViews>
    <sheetView tabSelected="1" topLeftCell="C1" zoomScaleNormal="100" workbookViewId="0">
      <selection activeCell="D21" sqref="D21"/>
    </sheetView>
  </sheetViews>
  <sheetFormatPr baseColWidth="10" defaultColWidth="0" defaultRowHeight="0" customHeight="1" zeroHeight="1"/>
  <cols>
    <col min="1" max="2" width="9.1640625" style="110" hidden="1" customWidth="1"/>
    <col min="3" max="3" width="1.83203125" style="108" customWidth="1"/>
    <col min="4" max="4" width="123.33203125" style="110" customWidth="1"/>
    <col min="5" max="5" width="1.6640625" style="108" customWidth="1"/>
    <col min="6" max="6" width="0.83203125" style="110" customWidth="1"/>
    <col min="7" max="16384" width="2.33203125" style="110" hidden="1"/>
  </cols>
  <sheetData>
    <row r="1" spans="4:6" ht="35" customHeight="1">
      <c r="D1" s="298" t="s">
        <v>2245</v>
      </c>
      <c r="F1" s="109"/>
    </row>
    <row r="2" spans="4:6" ht="10" customHeight="1">
      <c r="D2" s="219"/>
      <c r="F2" s="109"/>
    </row>
    <row r="3" spans="4:6" ht="20" customHeight="1">
      <c r="D3" s="282" t="s">
        <v>2216</v>
      </c>
      <c r="F3" s="109"/>
    </row>
    <row r="4" spans="4:6" ht="10" customHeight="1">
      <c r="D4" s="219"/>
      <c r="F4" s="109"/>
    </row>
    <row r="5" spans="4:6" ht="17">
      <c r="D5" s="271" t="s">
        <v>2479</v>
      </c>
      <c r="F5" s="109"/>
    </row>
    <row r="6" spans="4:6" ht="13">
      <c r="D6" s="272"/>
      <c r="F6" s="109"/>
    </row>
    <row r="7" spans="4:6" ht="41.25" customHeight="1">
      <c r="D7" s="285" t="s">
        <v>2480</v>
      </c>
      <c r="F7" s="109"/>
    </row>
    <row r="8" spans="4:6" ht="13">
      <c r="D8" s="273"/>
      <c r="F8" s="109"/>
    </row>
    <row r="9" spans="4:6" ht="14" thickBot="1">
      <c r="D9" s="285"/>
      <c r="F9" s="109"/>
    </row>
    <row r="10" spans="4:6" ht="14" hidden="1" thickBot="1">
      <c r="D10" s="609" t="b">
        <v>0</v>
      </c>
      <c r="F10" s="109"/>
    </row>
    <row r="11" spans="4:6" ht="24.75" customHeight="1" thickTop="1" thickBot="1">
      <c r="D11" s="608" t="str">
        <f>IF(D10=TRUE,"Thank you for agreeing to ACMG-Participation Terms and Conditions!","Please ‘CHECK’ the above-referenced box before proceeding!")</f>
        <v>Please ‘CHECK’ the above-referenced box before proceeding!</v>
      </c>
      <c r="F11" s="109"/>
    </row>
    <row r="12" spans="4:6" ht="14" thickTop="1">
      <c r="D12" s="273"/>
      <c r="F12" s="109"/>
    </row>
    <row r="13" spans="4:6" ht="17">
      <c r="D13" s="274" t="s">
        <v>2213</v>
      </c>
      <c r="F13" s="109"/>
    </row>
    <row r="14" spans="4:6" s="108" customFormat="1" ht="13">
      <c r="D14" s="275"/>
      <c r="F14" s="109"/>
    </row>
    <row r="15" spans="4:6" s="108" customFormat="1" ht="14">
      <c r="D15" s="515" t="s">
        <v>2446</v>
      </c>
      <c r="F15" s="109"/>
    </row>
    <row r="16" spans="4:6" s="108" customFormat="1" ht="14">
      <c r="D16" s="276" t="s">
        <v>2210</v>
      </c>
      <c r="F16" s="109"/>
    </row>
    <row r="17" spans="4:6" s="108" customFormat="1" ht="14">
      <c r="D17" s="276" t="s">
        <v>2217</v>
      </c>
      <c r="F17" s="109"/>
    </row>
    <row r="18" spans="4:6" s="108" customFormat="1" ht="13">
      <c r="D18" s="276"/>
      <c r="F18" s="109"/>
    </row>
    <row r="19" spans="4:6" s="108" customFormat="1" ht="14">
      <c r="D19" s="283" t="s">
        <v>2223</v>
      </c>
      <c r="F19" s="109"/>
    </row>
    <row r="20" spans="4:6" s="108" customFormat="1" ht="13">
      <c r="D20" s="277"/>
      <c r="F20" s="109"/>
    </row>
    <row r="21" spans="4:6" s="108" customFormat="1" ht="14">
      <c r="D21" s="285" t="s">
        <v>2212</v>
      </c>
      <c r="F21" s="109"/>
    </row>
    <row r="22" spans="4:6" s="108" customFormat="1" ht="14">
      <c r="D22" s="286" t="s">
        <v>2290</v>
      </c>
      <c r="F22" s="109"/>
    </row>
    <row r="23" spans="4:6" s="108" customFormat="1" ht="14">
      <c r="D23" s="285" t="s">
        <v>2226</v>
      </c>
      <c r="F23" s="109"/>
    </row>
    <row r="24" spans="4:6" s="108" customFormat="1" ht="28">
      <c r="D24" s="286" t="s">
        <v>2481</v>
      </c>
      <c r="F24" s="109"/>
    </row>
    <row r="25" spans="4:6" s="108" customFormat="1" ht="14">
      <c r="D25" s="285" t="s">
        <v>2225</v>
      </c>
      <c r="F25" s="109"/>
    </row>
    <row r="26" spans="4:6" s="108" customFormat="1" ht="42">
      <c r="D26" s="487" t="s">
        <v>2291</v>
      </c>
      <c r="F26" s="109"/>
    </row>
    <row r="27" spans="4:6" s="108" customFormat="1" ht="13">
      <c r="D27" s="278"/>
      <c r="F27" s="109"/>
    </row>
    <row r="28" spans="4:6" s="108" customFormat="1" ht="17">
      <c r="D28" s="274" t="s">
        <v>2214</v>
      </c>
      <c r="F28" s="109"/>
    </row>
    <row r="29" spans="4:6" s="108" customFormat="1" ht="16">
      <c r="D29" s="274"/>
      <c r="F29" s="109"/>
    </row>
    <row r="30" spans="4:6" s="108" customFormat="1" ht="14">
      <c r="D30" s="285" t="s">
        <v>2394</v>
      </c>
      <c r="F30" s="109"/>
    </row>
    <row r="31" spans="4:6" s="108" customFormat="1" ht="13">
      <c r="D31" s="278"/>
      <c r="F31" s="109"/>
    </row>
    <row r="32" spans="4:6" s="108" customFormat="1" ht="28">
      <c r="D32" s="591" t="s">
        <v>2397</v>
      </c>
      <c r="F32" s="109"/>
    </row>
    <row r="33" spans="4:6" s="108" customFormat="1" ht="14">
      <c r="D33" s="591" t="s">
        <v>2395</v>
      </c>
      <c r="F33" s="109"/>
    </row>
    <row r="34" spans="4:6" s="108" customFormat="1" ht="14">
      <c r="D34" s="592" t="s">
        <v>2391</v>
      </c>
      <c r="F34" s="109"/>
    </row>
    <row r="35" spans="4:6" s="108" customFormat="1" ht="14">
      <c r="D35" s="593" t="s">
        <v>2292</v>
      </c>
      <c r="F35" s="109"/>
    </row>
    <row r="36" spans="4:6" s="108" customFormat="1" ht="13">
      <c r="D36" s="337"/>
      <c r="F36" s="109"/>
    </row>
    <row r="37" spans="4:6" s="108" customFormat="1" ht="14">
      <c r="D37" s="337" t="s">
        <v>2396</v>
      </c>
      <c r="F37" s="109"/>
    </row>
    <row r="38" spans="4:6" s="108" customFormat="1" ht="13">
      <c r="D38" s="337"/>
      <c r="F38" s="109"/>
    </row>
    <row r="39" spans="4:6" s="108" customFormat="1" ht="17">
      <c r="D39" s="274" t="s">
        <v>2470</v>
      </c>
      <c r="F39" s="109"/>
    </row>
    <row r="40" spans="4:6" s="108" customFormat="1" ht="16">
      <c r="D40" s="371"/>
      <c r="F40" s="109"/>
    </row>
    <row r="41" spans="4:6" s="108" customFormat="1" ht="27.75" customHeight="1">
      <c r="D41" s="484" t="s">
        <v>2482</v>
      </c>
      <c r="F41" s="109"/>
    </row>
    <row r="42" spans="4:6" s="108" customFormat="1" ht="16">
      <c r="D42" s="521"/>
      <c r="F42" s="109"/>
    </row>
    <row r="43" spans="4:6" s="108" customFormat="1" ht="28">
      <c r="D43" s="484" t="s">
        <v>2483</v>
      </c>
      <c r="F43" s="109"/>
    </row>
    <row r="44" spans="4:6" s="108" customFormat="1" ht="16">
      <c r="D44" s="371"/>
      <c r="F44" s="109"/>
    </row>
    <row r="45" spans="4:6" s="108" customFormat="1" ht="17">
      <c r="D45" s="274" t="s">
        <v>2215</v>
      </c>
      <c r="F45" s="109"/>
    </row>
    <row r="46" spans="4:6" s="108" customFormat="1" ht="13">
      <c r="D46" s="279"/>
      <c r="F46" s="109"/>
    </row>
    <row r="47" spans="4:6" s="108" customFormat="1" ht="14">
      <c r="D47" s="273" t="s">
        <v>2211</v>
      </c>
      <c r="F47" s="109"/>
    </row>
    <row r="48" spans="4:6" s="108" customFormat="1" ht="30" customHeight="1">
      <c r="D48" s="280" t="s">
        <v>2246</v>
      </c>
      <c r="F48" s="109"/>
    </row>
    <row r="49" spans="4:6" s="108" customFormat="1" ht="17">
      <c r="D49" s="274" t="s">
        <v>2472</v>
      </c>
      <c r="F49" s="109"/>
    </row>
    <row r="50" spans="4:6" s="108" customFormat="1" ht="13">
      <c r="D50" s="615"/>
      <c r="F50" s="109"/>
    </row>
    <row r="51" spans="4:6" s="108" customFormat="1" ht="409.5" customHeight="1">
      <c r="D51" s="616" t="s">
        <v>2473</v>
      </c>
      <c r="F51" s="109"/>
    </row>
    <row r="52" spans="4:6" s="109" customFormat="1" ht="12.75" customHeight="1">
      <c r="D52" s="281"/>
    </row>
    <row r="53" spans="4:6" s="108" customFormat="1" ht="13" hidden="1"/>
    <row r="54" spans="4:6" ht="12.75" hidden="1" customHeight="1">
      <c r="D54" s="109"/>
    </row>
    <row r="55" spans="4:6" ht="0" hidden="1" customHeight="1"/>
    <row r="56" spans="4:6" ht="0" hidden="1" customHeight="1"/>
  </sheetData>
  <protectedRanges>
    <protectedRange sqref="D10" name="Range1"/>
  </protectedRanges>
  <conditionalFormatting sqref="D11">
    <cfRule type="containsText" dxfId="104" priority="1" stopIfTrue="1" operator="containsText" text="Thank you for agreeing to ACMG-Participation Terms and Conditions!">
      <formula>NOT(ISERROR(SEARCH("Thank you for agreeing to ACMG-Participation Terms and Conditions!",D11)))</formula>
    </cfRule>
    <cfRule type="containsText" dxfId="103" priority="2" stopIfTrue="1" operator="containsText" text="Thank you for agreeing to ACMG Participation Terms and Conditions!">
      <formula>NOT(ISERROR(SEARCH("Thank you for agreeing to ACMG Participation Terms and Conditions!",D11)))</formula>
    </cfRule>
    <cfRule type="containsText" dxfId="102" priority="3" stopIfTrue="1" operator="containsText" text="Thank you for agreeing to ACMG Terms and Conditions!">
      <formula>NOT(ISERROR(SEARCH("Thank you for agreeing to ACMG Terms and Conditions!",D11)))</formula>
    </cfRule>
    <cfRule type="containsText" dxfId="101" priority="4" stopIfTrue="1" operator="containsText" text="Thank you for agreeing to the ACMG Terms and Conditions!">
      <formula>NOT(ISERROR(SEARCH("Thank you for agreeing to the ACMG Terms and Conditions!",D11)))</formula>
    </cfRule>
    <cfRule type="containsText" dxfId="100" priority="5" stopIfTrue="1" operator="containsText" text="Thank you for agreeing to the ACMG Terms and Conditions! ">
      <formula>NOT(ISERROR(SEARCH("Thank you for agreeing to the ACMG Terms and Conditions! ",D11)))</formula>
    </cfRule>
    <cfRule type="containsText" dxfId="99" priority="6" stopIfTrue="1" operator="containsText" text="Please ‘CHECK’ the above-referenced box before proceeding!">
      <formula>NOT(ISERROR(SEARCH("Please ‘CHECK’ the above-referenced box before proceeding!",D11)))</formula>
    </cfRule>
    <cfRule type="containsText" dxfId="98" priority="7" stopIfTrue="1" operator="containsText" text="Thank you for agreeing to the ACMG Terms and Conditions! ">
      <formula>NOT(ISERROR(SEARCH("Thank you for agreeing to the ACMG Terms and Conditions! ",D11)))</formula>
    </cfRule>
  </conditionalFormatting>
  <hyperlinks>
    <hyperlink ref="D48" r:id="rId1" xr:uid="{00000000-0004-0000-0000-000000000000}"/>
  </hyperlinks>
  <pageMargins left="0.7" right="0.7" top="0.75" bottom="0.75" header="0.3" footer="0.3"/>
  <pageSetup scale="8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223609" r:id="rId5" name="Check Box 1209">
              <controlPr defaultSize="0" autoFill="0" autoLine="0" autoPict="0">
                <anchor moveWithCells="1">
                  <from>
                    <xdr:col>3</xdr:col>
                    <xdr:colOff>101600</xdr:colOff>
                    <xdr:row>6</xdr:row>
                    <xdr:rowOff>482600</xdr:rowOff>
                  </from>
                  <to>
                    <xdr:col>3</xdr:col>
                    <xdr:colOff>7543800</xdr:colOff>
                    <xdr:row>8</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L69"/>
  <sheetViews>
    <sheetView showGridLines="0" topLeftCell="B1" workbookViewId="0">
      <selection activeCell="C10" sqref="C10:E10"/>
    </sheetView>
  </sheetViews>
  <sheetFormatPr baseColWidth="10" defaultColWidth="0" defaultRowHeight="13" zeroHeight="1"/>
  <cols>
    <col min="1" max="1" width="3.6640625" style="5" customWidth="1"/>
    <col min="2" max="2" width="17.33203125" style="5" customWidth="1"/>
    <col min="3" max="5" width="17.6640625" style="5" customWidth="1"/>
    <col min="6" max="7" width="8.6640625" style="5" customWidth="1"/>
    <col min="8" max="8" width="5.33203125" style="5" customWidth="1"/>
    <col min="9" max="9" width="3.33203125" style="5" customWidth="1"/>
    <col min="10" max="10" width="77.6640625" style="5" bestFit="1" customWidth="1"/>
    <col min="11" max="11" width="1.6640625" style="5" customWidth="1"/>
    <col min="12" max="12" width="0.83203125" style="5" customWidth="1"/>
    <col min="13" max="16384" width="0" style="5" hidden="1"/>
  </cols>
  <sheetData>
    <row r="1" spans="1:12" ht="40.5" customHeight="1">
      <c r="A1" s="46"/>
      <c r="B1" s="425"/>
      <c r="C1" s="649" t="s">
        <v>2400</v>
      </c>
      <c r="D1" s="650"/>
      <c r="E1" s="650"/>
      <c r="F1" s="650"/>
      <c r="G1" s="425"/>
      <c r="H1" s="43"/>
      <c r="J1" s="7" t="s">
        <v>252</v>
      </c>
      <c r="L1" s="157"/>
    </row>
    <row r="2" spans="1:12" ht="13.5" customHeight="1" thickBot="1">
      <c r="A2" s="46"/>
      <c r="B2" s="44"/>
      <c r="C2" s="651"/>
      <c r="D2" s="651"/>
      <c r="E2" s="651"/>
      <c r="F2" s="44"/>
      <c r="G2" s="151"/>
      <c r="H2" s="45"/>
      <c r="J2" s="6" t="s">
        <v>1928</v>
      </c>
      <c r="L2" s="157"/>
    </row>
    <row r="3" spans="1:12" ht="13.5" customHeight="1" thickBot="1">
      <c r="A3" s="46"/>
      <c r="B3" s="640" t="s">
        <v>2399</v>
      </c>
      <c r="C3" s="641"/>
      <c r="D3" s="641"/>
      <c r="E3" s="642"/>
      <c r="F3" s="44"/>
      <c r="G3" s="151"/>
      <c r="H3" s="45"/>
      <c r="K3" s="7"/>
      <c r="L3" s="157"/>
    </row>
    <row r="4" spans="1:12" ht="13.5" customHeight="1">
      <c r="A4" s="46"/>
      <c r="B4" s="338" t="s">
        <v>2261</v>
      </c>
      <c r="C4" s="657"/>
      <c r="D4" s="658"/>
      <c r="E4" s="659"/>
      <c r="F4" s="46"/>
      <c r="G4" s="46"/>
      <c r="H4" s="45"/>
      <c r="J4" s="6" t="s">
        <v>250</v>
      </c>
      <c r="K4" s="7"/>
      <c r="L4" s="157"/>
    </row>
    <row r="5" spans="1:12" ht="13.5" customHeight="1">
      <c r="A5" s="46"/>
      <c r="B5" s="339" t="s">
        <v>2310</v>
      </c>
      <c r="C5" s="666"/>
      <c r="D5" s="667"/>
      <c r="E5" s="668"/>
      <c r="F5" s="46"/>
      <c r="G5" s="46"/>
      <c r="H5" s="45"/>
      <c r="J5" s="148" t="s">
        <v>2296</v>
      </c>
      <c r="L5" s="157"/>
    </row>
    <row r="6" spans="1:12" ht="13.5" customHeight="1">
      <c r="A6" s="46"/>
      <c r="B6" s="339" t="s">
        <v>2332</v>
      </c>
      <c r="C6" s="458"/>
      <c r="D6" s="655" t="s">
        <v>2331</v>
      </c>
      <c r="E6" s="656"/>
      <c r="F6" s="46"/>
      <c r="G6" s="46"/>
      <c r="H6" s="45"/>
      <c r="L6" s="157"/>
    </row>
    <row r="7" spans="1:12" ht="13.5" customHeight="1">
      <c r="A7" s="46"/>
      <c r="B7" s="339" t="s">
        <v>1961</v>
      </c>
      <c r="C7" s="669" t="s">
        <v>1161</v>
      </c>
      <c r="D7" s="670"/>
      <c r="E7" s="671"/>
      <c r="F7" s="46"/>
      <c r="G7" s="46"/>
      <c r="H7" s="104"/>
      <c r="J7" s="414" t="s">
        <v>2324</v>
      </c>
      <c r="L7" s="157"/>
    </row>
    <row r="8" spans="1:12" ht="13.5" customHeight="1">
      <c r="A8" s="46"/>
      <c r="B8" s="339" t="s">
        <v>1328</v>
      </c>
      <c r="C8" s="660"/>
      <c r="D8" s="661"/>
      <c r="E8" s="662"/>
      <c r="F8" s="46"/>
      <c r="G8" s="46"/>
      <c r="H8" s="45"/>
      <c r="L8" s="157"/>
    </row>
    <row r="9" spans="1:12" ht="13.5" customHeight="1">
      <c r="A9" s="46"/>
      <c r="B9" s="339" t="s">
        <v>1329</v>
      </c>
      <c r="C9" s="673"/>
      <c r="D9" s="661"/>
      <c r="E9" s="662"/>
      <c r="F9" s="46"/>
      <c r="G9" s="46"/>
      <c r="H9" s="45"/>
      <c r="J9" s="672" t="s">
        <v>2389</v>
      </c>
      <c r="L9" s="157"/>
    </row>
    <row r="10" spans="1:12" ht="12" customHeight="1" thickBot="1">
      <c r="A10" s="46"/>
      <c r="B10" s="340" t="s">
        <v>1330</v>
      </c>
      <c r="C10" s="663">
        <v>2018</v>
      </c>
      <c r="D10" s="664"/>
      <c r="E10" s="665"/>
      <c r="F10" s="46"/>
      <c r="G10" s="46"/>
      <c r="H10" s="45"/>
      <c r="J10" s="672"/>
      <c r="L10" s="157"/>
    </row>
    <row r="11" spans="1:12" ht="12.75" customHeight="1" thickBot="1">
      <c r="A11" s="46"/>
      <c r="B11" s="46"/>
      <c r="C11" s="46"/>
      <c r="D11" s="46"/>
      <c r="E11" s="46"/>
      <c r="F11" s="46"/>
      <c r="G11" s="150"/>
      <c r="H11" s="45"/>
      <c r="J11" s="483"/>
      <c r="L11" s="157"/>
    </row>
    <row r="12" spans="1:12" ht="13.5" customHeight="1" thickBot="1">
      <c r="A12" s="46"/>
      <c r="B12" s="640" t="s">
        <v>2379</v>
      </c>
      <c r="C12" s="641"/>
      <c r="D12" s="641"/>
      <c r="E12" s="641"/>
      <c r="F12" s="641"/>
      <c r="G12" s="642"/>
      <c r="H12" s="45"/>
      <c r="J12" s="6" t="s">
        <v>2455</v>
      </c>
      <c r="L12" s="157"/>
    </row>
    <row r="13" spans="1:12" ht="13.5" customHeight="1">
      <c r="A13" s="46"/>
      <c r="B13" s="299" t="s">
        <v>1331</v>
      </c>
      <c r="C13" s="637"/>
      <c r="D13" s="638"/>
      <c r="E13" s="638"/>
      <c r="F13" s="638"/>
      <c r="G13" s="639"/>
      <c r="H13" s="45"/>
      <c r="J13" s="148" t="s">
        <v>251</v>
      </c>
      <c r="L13" s="157"/>
    </row>
    <row r="14" spans="1:12" ht="13.5" customHeight="1">
      <c r="A14" s="46"/>
      <c r="B14" s="300" t="s">
        <v>1332</v>
      </c>
      <c r="C14" s="646"/>
      <c r="D14" s="647"/>
      <c r="E14" s="647"/>
      <c r="F14" s="647"/>
      <c r="G14" s="648"/>
      <c r="H14" s="45"/>
      <c r="J14" s="148" t="s">
        <v>2171</v>
      </c>
      <c r="L14" s="157"/>
    </row>
    <row r="15" spans="1:12" ht="13.5" customHeight="1">
      <c r="A15" s="46"/>
      <c r="B15" s="300" t="s">
        <v>1333</v>
      </c>
      <c r="C15" s="646"/>
      <c r="D15" s="647"/>
      <c r="E15" s="647"/>
      <c r="F15" s="647"/>
      <c r="G15" s="648"/>
      <c r="H15" s="45"/>
      <c r="J15" s="148" t="s">
        <v>2293</v>
      </c>
      <c r="L15" s="157"/>
    </row>
    <row r="16" spans="1:12" ht="14.25" customHeight="1">
      <c r="A16" s="46"/>
      <c r="B16" s="300" t="s">
        <v>1334</v>
      </c>
      <c r="C16" s="646"/>
      <c r="D16" s="647"/>
      <c r="E16" s="647"/>
      <c r="F16" s="647"/>
      <c r="G16" s="648"/>
      <c r="H16" s="45"/>
      <c r="J16" s="672" t="s">
        <v>2294</v>
      </c>
      <c r="L16" s="157"/>
    </row>
    <row r="17" spans="1:12" ht="13.5" customHeight="1">
      <c r="A17" s="46"/>
      <c r="B17" s="300" t="s">
        <v>1335</v>
      </c>
      <c r="C17" s="646"/>
      <c r="D17" s="647"/>
      <c r="E17" s="647"/>
      <c r="F17" s="647"/>
      <c r="G17" s="648"/>
      <c r="H17" s="45"/>
      <c r="J17" s="672"/>
      <c r="L17" s="157"/>
    </row>
    <row r="18" spans="1:12" ht="13.5" customHeight="1">
      <c r="A18" s="46"/>
      <c r="B18" s="610" t="s">
        <v>2471</v>
      </c>
      <c r="C18" s="611"/>
      <c r="D18" s="612"/>
      <c r="E18" s="612"/>
      <c r="F18" s="612"/>
      <c r="G18" s="613"/>
      <c r="H18" s="45"/>
      <c r="J18" s="106"/>
      <c r="L18" s="157"/>
    </row>
    <row r="19" spans="1:12" ht="13.5" customHeight="1" thickBot="1">
      <c r="A19" s="46"/>
      <c r="B19" s="301" t="s">
        <v>1336</v>
      </c>
      <c r="C19" s="652"/>
      <c r="D19" s="653"/>
      <c r="E19" s="653"/>
      <c r="F19" s="653"/>
      <c r="G19" s="654"/>
      <c r="H19" s="45"/>
      <c r="J19" s="106" t="s">
        <v>2484</v>
      </c>
      <c r="L19" s="157"/>
    </row>
    <row r="20" spans="1:12" ht="13.5" customHeight="1" thickBot="1">
      <c r="A20" s="46"/>
      <c r="B20" s="46"/>
      <c r="C20" s="46"/>
      <c r="D20" s="46"/>
      <c r="E20" s="46"/>
      <c r="F20" s="46"/>
      <c r="G20" s="46"/>
      <c r="H20" s="45"/>
      <c r="J20" s="6"/>
      <c r="L20" s="157"/>
    </row>
    <row r="21" spans="1:12" ht="13.5" customHeight="1" thickBot="1">
      <c r="A21" s="46"/>
      <c r="B21" s="640" t="s">
        <v>2380</v>
      </c>
      <c r="C21" s="641"/>
      <c r="D21" s="641"/>
      <c r="E21" s="641"/>
      <c r="F21" s="641"/>
      <c r="G21" s="642"/>
      <c r="H21" s="45"/>
      <c r="J21" s="7" t="s">
        <v>2295</v>
      </c>
      <c r="L21" s="157"/>
    </row>
    <row r="22" spans="1:12" ht="13.5" customHeight="1">
      <c r="A22" s="46"/>
      <c r="B22" s="48" t="s">
        <v>1331</v>
      </c>
      <c r="C22" s="628"/>
      <c r="D22" s="629"/>
      <c r="E22" s="629"/>
      <c r="F22" s="629"/>
      <c r="G22" s="630"/>
      <c r="H22" s="45"/>
      <c r="J22" s="8"/>
      <c r="L22" s="157"/>
    </row>
    <row r="23" spans="1:12" ht="13.5" customHeight="1">
      <c r="A23" s="46"/>
      <c r="B23" s="49" t="s">
        <v>1332</v>
      </c>
      <c r="C23" s="631"/>
      <c r="D23" s="632"/>
      <c r="E23" s="632"/>
      <c r="F23" s="632"/>
      <c r="G23" s="633"/>
      <c r="H23" s="47"/>
      <c r="J23" s="6" t="s">
        <v>1853</v>
      </c>
      <c r="L23" s="157"/>
    </row>
    <row r="24" spans="1:12" ht="13.5" customHeight="1">
      <c r="A24" s="46"/>
      <c r="B24" s="49" t="s">
        <v>1333</v>
      </c>
      <c r="C24" s="631"/>
      <c r="D24" s="632"/>
      <c r="E24" s="632"/>
      <c r="F24" s="632"/>
      <c r="G24" s="633"/>
      <c r="H24" s="47"/>
      <c r="L24" s="157"/>
    </row>
    <row r="25" spans="1:12" ht="13.5" customHeight="1">
      <c r="A25" s="46"/>
      <c r="B25" s="49" t="s">
        <v>1334</v>
      </c>
      <c r="C25" s="631"/>
      <c r="D25" s="632"/>
      <c r="E25" s="632"/>
      <c r="F25" s="632"/>
      <c r="G25" s="633"/>
      <c r="H25" s="47"/>
      <c r="J25" s="5" t="s">
        <v>1922</v>
      </c>
      <c r="L25" s="157"/>
    </row>
    <row r="26" spans="1:12" ht="13.5" customHeight="1">
      <c r="A26" s="46"/>
      <c r="B26" s="49" t="s">
        <v>1335</v>
      </c>
      <c r="C26" s="631"/>
      <c r="D26" s="632"/>
      <c r="E26" s="632"/>
      <c r="F26" s="632"/>
      <c r="G26" s="633"/>
      <c r="H26" s="47"/>
      <c r="J26" s="6"/>
      <c r="L26" s="158"/>
    </row>
    <row r="27" spans="1:12" ht="13.5" customHeight="1" thickBot="1">
      <c r="A27" s="46"/>
      <c r="B27" s="50" t="s">
        <v>1336</v>
      </c>
      <c r="C27" s="625"/>
      <c r="D27" s="626"/>
      <c r="E27" s="626"/>
      <c r="F27" s="626"/>
      <c r="G27" s="627"/>
      <c r="H27" s="47"/>
      <c r="J27" s="100" t="s">
        <v>2246</v>
      </c>
      <c r="L27" s="157"/>
    </row>
    <row r="28" spans="1:12" ht="13.5" customHeight="1" thickBot="1">
      <c r="A28" s="46"/>
      <c r="B28" s="46"/>
      <c r="C28" s="46"/>
      <c r="D28" s="46"/>
      <c r="E28" s="46"/>
      <c r="F28" s="46"/>
      <c r="G28" s="46"/>
      <c r="H28" s="47"/>
      <c r="L28" s="159"/>
    </row>
    <row r="29" spans="1:12" ht="13.5" customHeight="1" thickBot="1">
      <c r="A29" s="46"/>
      <c r="B29" s="640" t="s">
        <v>2381</v>
      </c>
      <c r="C29" s="641"/>
      <c r="D29" s="641"/>
      <c r="E29" s="641"/>
      <c r="F29" s="641"/>
      <c r="G29" s="642"/>
      <c r="H29" s="47"/>
      <c r="J29" s="254" t="s">
        <v>2392</v>
      </c>
      <c r="L29" s="157"/>
    </row>
    <row r="30" spans="1:12" ht="13.5" customHeight="1" thickBot="1">
      <c r="A30" s="46"/>
      <c r="B30" s="643" t="s">
        <v>2282</v>
      </c>
      <c r="C30" s="644"/>
      <c r="D30" s="644"/>
      <c r="E30" s="644"/>
      <c r="F30" s="644"/>
      <c r="G30" s="645"/>
      <c r="H30" s="47"/>
      <c r="J30" s="41" t="s">
        <v>2401</v>
      </c>
      <c r="K30" s="8"/>
      <c r="L30" s="157"/>
    </row>
    <row r="31" spans="1:12" ht="13.5" customHeight="1">
      <c r="A31" s="46"/>
      <c r="B31" s="299" t="s">
        <v>2249</v>
      </c>
      <c r="C31" s="628"/>
      <c r="D31" s="629"/>
      <c r="E31" s="629"/>
      <c r="F31" s="629"/>
      <c r="G31" s="630"/>
      <c r="H31" s="47"/>
      <c r="J31" s="594" t="s">
        <v>2402</v>
      </c>
      <c r="K31" s="8"/>
      <c r="L31" s="157"/>
    </row>
    <row r="32" spans="1:12" ht="13.5" customHeight="1">
      <c r="A32" s="46"/>
      <c r="B32" s="300" t="s">
        <v>2250</v>
      </c>
      <c r="C32" s="448"/>
      <c r="D32" s="449"/>
      <c r="E32" s="449"/>
      <c r="F32" s="449"/>
      <c r="G32" s="450"/>
      <c r="H32" s="47"/>
      <c r="J32" s="595" t="s">
        <v>2390</v>
      </c>
      <c r="K32" s="8"/>
      <c r="L32" s="157"/>
    </row>
    <row r="33" spans="1:12" ht="13.5" customHeight="1">
      <c r="A33" s="46"/>
      <c r="B33" s="300" t="s">
        <v>2251</v>
      </c>
      <c r="C33" s="454"/>
      <c r="D33" s="455"/>
      <c r="E33" s="455"/>
      <c r="F33" s="455"/>
      <c r="G33" s="456"/>
      <c r="H33" s="47"/>
      <c r="J33" s="596" t="s">
        <v>2393</v>
      </c>
      <c r="K33" s="8"/>
      <c r="L33" s="157"/>
    </row>
    <row r="34" spans="1:12" ht="14" thickBot="1">
      <c r="A34" s="46"/>
      <c r="B34" s="301" t="s">
        <v>2252</v>
      </c>
      <c r="C34" s="451"/>
      <c r="D34" s="452"/>
      <c r="E34" s="452"/>
      <c r="F34" s="452"/>
      <c r="G34" s="453"/>
      <c r="H34" s="47"/>
      <c r="I34" s="8"/>
      <c r="K34" s="8"/>
      <c r="L34" s="127"/>
    </row>
    <row r="35" spans="1:12" ht="15" customHeight="1">
      <c r="A35" s="46"/>
      <c r="B35" s="46"/>
      <c r="C35" s="46"/>
      <c r="D35" s="46"/>
      <c r="E35" s="46"/>
      <c r="F35" s="46"/>
      <c r="G35" s="46"/>
      <c r="H35" s="47"/>
      <c r="I35" s="8"/>
      <c r="K35" s="8"/>
      <c r="L35" s="159"/>
    </row>
    <row r="36" spans="1:12" ht="13.5" customHeight="1" thickBot="1">
      <c r="A36" s="46"/>
      <c r="B36" s="46"/>
      <c r="C36" s="46"/>
      <c r="D36" s="46"/>
      <c r="E36" s="46"/>
      <c r="F36" s="46"/>
      <c r="G36" s="46"/>
      <c r="H36" s="47"/>
      <c r="I36" s="8"/>
      <c r="K36" s="8"/>
      <c r="L36" s="127"/>
    </row>
    <row r="37" spans="1:12" ht="13.5" customHeight="1" thickBot="1">
      <c r="A37" s="46"/>
      <c r="B37" s="640" t="s">
        <v>2382</v>
      </c>
      <c r="C37" s="641"/>
      <c r="D37" s="641"/>
      <c r="E37" s="641"/>
      <c r="F37" s="641"/>
      <c r="G37" s="642"/>
      <c r="H37" s="47"/>
      <c r="I37" s="8"/>
      <c r="K37" s="8"/>
      <c r="L37" s="127"/>
    </row>
    <row r="38" spans="1:12" ht="13.5" customHeight="1" thickBot="1">
      <c r="A38" s="46"/>
      <c r="B38" s="643" t="s">
        <v>2283</v>
      </c>
      <c r="C38" s="644"/>
      <c r="D38" s="644"/>
      <c r="E38" s="644"/>
      <c r="F38" s="644"/>
      <c r="G38" s="645"/>
      <c r="H38" s="47"/>
      <c r="K38" s="8"/>
      <c r="L38" s="157"/>
    </row>
    <row r="39" spans="1:12">
      <c r="A39" s="46"/>
      <c r="B39" s="299" t="s">
        <v>2249</v>
      </c>
      <c r="C39" s="628"/>
      <c r="D39" s="629"/>
      <c r="E39" s="629"/>
      <c r="F39" s="629"/>
      <c r="G39" s="630"/>
      <c r="H39" s="47"/>
      <c r="I39" s="8"/>
      <c r="J39" s="100"/>
      <c r="K39" s="8"/>
      <c r="L39" s="127"/>
    </row>
    <row r="40" spans="1:12">
      <c r="A40" s="46"/>
      <c r="B40" s="300" t="s">
        <v>2250</v>
      </c>
      <c r="C40" s="631"/>
      <c r="D40" s="632"/>
      <c r="E40" s="632"/>
      <c r="F40" s="632"/>
      <c r="G40" s="633"/>
      <c r="H40" s="47"/>
      <c r="I40" s="8"/>
      <c r="J40" s="100"/>
      <c r="K40" s="8"/>
      <c r="L40" s="127"/>
    </row>
    <row r="41" spans="1:12">
      <c r="A41" s="46"/>
      <c r="B41" s="300" t="s">
        <v>2251</v>
      </c>
      <c r="C41" s="634"/>
      <c r="D41" s="635"/>
      <c r="E41" s="635"/>
      <c r="F41" s="635"/>
      <c r="G41" s="636"/>
      <c r="H41" s="47"/>
      <c r="I41" s="8"/>
      <c r="J41" s="100"/>
      <c r="K41" s="8"/>
      <c r="L41" s="127"/>
    </row>
    <row r="42" spans="1:12" ht="14" thickBot="1">
      <c r="A42" s="46"/>
      <c r="B42" s="301" t="s">
        <v>2252</v>
      </c>
      <c r="C42" s="625"/>
      <c r="D42" s="626"/>
      <c r="E42" s="626"/>
      <c r="F42" s="626"/>
      <c r="G42" s="627"/>
      <c r="H42" s="47"/>
      <c r="I42" s="8"/>
      <c r="J42" s="100"/>
      <c r="K42" s="8"/>
      <c r="L42" s="127"/>
    </row>
    <row r="43" spans="1:12">
      <c r="A43" s="46"/>
      <c r="B43" s="46"/>
      <c r="C43" s="46"/>
      <c r="D43" s="46"/>
      <c r="E43" s="46"/>
      <c r="F43" s="46"/>
      <c r="G43" s="46"/>
      <c r="H43" s="47"/>
      <c r="I43" s="8"/>
      <c r="J43" s="100"/>
      <c r="K43" s="8"/>
      <c r="L43" s="127"/>
    </row>
    <row r="44" spans="1:12">
      <c r="A44" s="46"/>
      <c r="B44" s="46"/>
      <c r="C44" s="46"/>
      <c r="D44" s="46"/>
      <c r="E44" s="46"/>
      <c r="F44" s="46"/>
      <c r="G44" s="46"/>
      <c r="H44" s="47"/>
      <c r="I44" s="8"/>
    </row>
    <row r="45" spans="1:12">
      <c r="A45" s="46"/>
      <c r="B45" s="46"/>
      <c r="C45" s="46"/>
      <c r="D45" s="46"/>
      <c r="E45" s="46"/>
      <c r="F45" s="46"/>
      <c r="G45" s="46"/>
      <c r="H45" s="47"/>
      <c r="I45" s="8"/>
    </row>
    <row r="46" spans="1:12" ht="14" thickBot="1">
      <c r="A46" s="377"/>
      <c r="B46" s="46"/>
      <c r="C46" s="46"/>
      <c r="D46" s="46"/>
      <c r="E46" s="46"/>
      <c r="F46" s="46"/>
      <c r="G46" s="46"/>
      <c r="H46" s="47"/>
      <c r="I46" s="8"/>
    </row>
    <row r="47" spans="1:12" ht="14" thickBot="1">
      <c r="B47" s="377"/>
      <c r="C47" s="377"/>
      <c r="D47" s="377"/>
      <c r="E47" s="377"/>
      <c r="F47" s="377"/>
      <c r="G47" s="377"/>
      <c r="H47" s="614"/>
      <c r="I47" s="8"/>
    </row>
    <row r="48" spans="1:12">
      <c r="H48" s="8"/>
      <c r="I48" s="8"/>
    </row>
    <row r="49"/>
    <row r="50"/>
    <row r="51"/>
    <row r="52"/>
    <row r="53"/>
    <row r="54"/>
    <row r="55"/>
    <row r="56"/>
    <row r="57"/>
    <row r="58"/>
    <row r="59"/>
    <row r="60"/>
    <row r="61"/>
    <row r="62"/>
    <row r="63"/>
    <row r="64"/>
    <row r="65"/>
    <row r="66" hidden="1"/>
    <row r="67"/>
    <row r="68" hidden="1"/>
    <row r="69" hidden="1"/>
  </sheetData>
  <sheetProtection algorithmName="SHA-512" hashValue="iq4sPOqw+8e1cKzJ9JFYS0f1PoAbK33jt6yPSpDzK8bI32SZw3RJ9KK06QxOwsAhQMW4y25TTIBehCCJCoi27w==" saltValue="is/Eby31uIPr/oILLTqW8g==" spinCount="100000" sheet="1" objects="1" scenarios="1"/>
  <mergeCells count="35">
    <mergeCell ref="J9:J10"/>
    <mergeCell ref="J16:J17"/>
    <mergeCell ref="C26:G26"/>
    <mergeCell ref="B21:G21"/>
    <mergeCell ref="C9:E9"/>
    <mergeCell ref="C14:G14"/>
    <mergeCell ref="C16:G16"/>
    <mergeCell ref="B12:G12"/>
    <mergeCell ref="C1:F1"/>
    <mergeCell ref="C2:E2"/>
    <mergeCell ref="B29:G29"/>
    <mergeCell ref="C31:G31"/>
    <mergeCell ref="C19:G19"/>
    <mergeCell ref="C27:G27"/>
    <mergeCell ref="D6:E6"/>
    <mergeCell ref="C4:E4"/>
    <mergeCell ref="B30:G30"/>
    <mergeCell ref="C17:G17"/>
    <mergeCell ref="B3:E3"/>
    <mergeCell ref="C8:E8"/>
    <mergeCell ref="C10:E10"/>
    <mergeCell ref="C5:E5"/>
    <mergeCell ref="C7:E7"/>
    <mergeCell ref="C42:G42"/>
    <mergeCell ref="C39:G39"/>
    <mergeCell ref="C40:G40"/>
    <mergeCell ref="C41:G41"/>
    <mergeCell ref="C13:G13"/>
    <mergeCell ref="B37:G37"/>
    <mergeCell ref="B38:G38"/>
    <mergeCell ref="C23:G23"/>
    <mergeCell ref="C24:G24"/>
    <mergeCell ref="C25:G25"/>
    <mergeCell ref="C22:G22"/>
    <mergeCell ref="C15:G15"/>
  </mergeCells>
  <phoneticPr fontId="0" type="noConversion"/>
  <dataValidations disablePrompts="1" count="3">
    <dataValidation type="list" allowBlank="1" showInputMessage="1" showErrorMessage="1" sqref="C8:E8" xr:uid="{00000000-0002-0000-0100-000000000000}">
      <formula1>CountryNameAlone</formula1>
    </dataValidation>
    <dataValidation type="list" allowBlank="1" showInputMessage="1" showErrorMessage="1" sqref="C9:E9" xr:uid="{00000000-0002-0000-0100-000001000000}">
      <formula1>FinancialYearValue</formula1>
    </dataValidation>
    <dataValidation type="list" allowBlank="1" showInputMessage="1" showErrorMessage="1" sqref="C6" xr:uid="{00000000-0002-0000-0100-000002000000}">
      <formula1>AirlineBusinessModel</formula1>
    </dataValidation>
  </dataValidations>
  <printOptions horizontalCentered="1" verticalCentered="1" gridLinesSet="0"/>
  <pageMargins left="0.25" right="0.25" top="0.25" bottom="0.25" header="0.25" footer="0.25"/>
  <pageSetup paperSize="9" scale="82" orientation="landscape" verticalDpi="360" r:id="rId1"/>
  <headerFooter alignWithMargins="0">
    <oddFooter>&amp;L&amp;F&amp;C&amp;A&amp;R&amp;D</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Q71"/>
  <sheetViews>
    <sheetView showGridLines="0" workbookViewId="0">
      <selection activeCell="L4" sqref="L4"/>
    </sheetView>
  </sheetViews>
  <sheetFormatPr baseColWidth="10" defaultColWidth="0" defaultRowHeight="13" zeroHeight="1"/>
  <cols>
    <col min="1" max="1" width="12.33203125" style="30" customWidth="1"/>
    <col min="2" max="2" width="48.33203125" style="30" customWidth="1"/>
    <col min="3" max="5" width="14.6640625" style="30" customWidth="1"/>
    <col min="6" max="6" width="4.83203125" style="30" customWidth="1"/>
    <col min="7" max="9" width="13.33203125" style="30" customWidth="1"/>
    <col min="10" max="10" width="13.83203125" style="30" customWidth="1"/>
    <col min="11" max="12" width="14.5" style="30" customWidth="1"/>
    <col min="13" max="13" width="12.5" style="30" customWidth="1"/>
    <col min="14" max="14" width="1.6640625" style="30" customWidth="1"/>
    <col min="15" max="15" width="0.83203125" style="115" customWidth="1"/>
    <col min="16" max="16384" width="0" style="30" hidden="1"/>
  </cols>
  <sheetData>
    <row r="1" spans="1:15" ht="42" customHeight="1" thickBot="1">
      <c r="A1" s="112"/>
      <c r="B1" s="112" t="s">
        <v>1945</v>
      </c>
      <c r="C1" s="111"/>
      <c r="D1" s="111"/>
      <c r="E1" s="111"/>
      <c r="F1" s="111"/>
      <c r="G1" s="111"/>
      <c r="H1" s="111"/>
      <c r="I1" s="111"/>
      <c r="J1" s="111"/>
      <c r="K1" s="111"/>
      <c r="L1" s="111"/>
      <c r="M1" s="111"/>
    </row>
    <row r="2" spans="1:15" ht="10" customHeight="1" thickTop="1">
      <c r="A2" s="35"/>
      <c r="B2" s="36"/>
      <c r="C2" s="37"/>
      <c r="D2" s="22"/>
      <c r="E2" s="22"/>
      <c r="F2" s="10"/>
      <c r="G2" s="10"/>
      <c r="H2" s="10"/>
      <c r="I2" s="22"/>
      <c r="J2" s="22"/>
      <c r="K2" s="22"/>
      <c r="L2" s="22"/>
      <c r="M2" s="22"/>
    </row>
    <row r="3" spans="1:15">
      <c r="A3" s="53" t="s">
        <v>1337</v>
      </c>
      <c r="B3" s="51"/>
      <c r="C3" s="55">
        <v>1</v>
      </c>
      <c r="D3" s="22"/>
      <c r="E3" s="22"/>
      <c r="F3" s="10"/>
    </row>
    <row r="4" spans="1:15">
      <c r="A4" s="10"/>
      <c r="B4" s="10"/>
      <c r="C4" s="10"/>
      <c r="D4" s="10"/>
      <c r="E4" s="10"/>
      <c r="F4" s="10"/>
    </row>
    <row r="5" spans="1:15">
      <c r="A5" s="54" t="s">
        <v>1338</v>
      </c>
      <c r="B5" s="51"/>
      <c r="C5" s="52">
        <f>DataCollectionYear-3</f>
        <v>2015</v>
      </c>
      <c r="D5" s="52">
        <f>DataCollectionYear-2</f>
        <v>2016</v>
      </c>
      <c r="E5" s="52">
        <f>DataCollectionYear-1</f>
        <v>2017</v>
      </c>
      <c r="F5" s="10"/>
    </row>
    <row r="6" spans="1:15">
      <c r="A6" s="10"/>
      <c r="B6" s="10"/>
      <c r="C6" s="10"/>
      <c r="D6" s="10"/>
      <c r="E6" s="10"/>
      <c r="F6" s="10"/>
    </row>
    <row r="7" spans="1:15">
      <c r="A7" s="105"/>
      <c r="B7" s="36"/>
      <c r="C7" s="38"/>
      <c r="D7" s="38"/>
      <c r="E7" s="38"/>
      <c r="F7" s="10"/>
    </row>
    <row r="8" spans="1:15">
      <c r="A8" s="39" t="s">
        <v>1339</v>
      </c>
      <c r="B8" s="57" t="s">
        <v>1935</v>
      </c>
      <c r="C8" s="184"/>
      <c r="D8" s="184"/>
      <c r="E8" s="184"/>
      <c r="F8" s="10"/>
      <c r="G8" s="70" t="s">
        <v>2081</v>
      </c>
      <c r="H8" s="70"/>
      <c r="I8" s="70"/>
      <c r="J8" s="70"/>
      <c r="K8" s="70"/>
      <c r="L8" s="70"/>
      <c r="M8" s="70"/>
    </row>
    <row r="9" spans="1:15">
      <c r="A9" s="39" t="s">
        <v>1340</v>
      </c>
      <c r="B9" s="57" t="s">
        <v>1936</v>
      </c>
      <c r="C9" s="184"/>
      <c r="D9" s="185"/>
      <c r="E9" s="185"/>
      <c r="F9" s="10"/>
      <c r="G9" s="69"/>
      <c r="H9" s="69"/>
      <c r="I9" s="69"/>
      <c r="J9" s="69"/>
      <c r="K9" s="69"/>
      <c r="L9" s="69"/>
      <c r="M9" s="69"/>
    </row>
    <row r="10" spans="1:15">
      <c r="A10" s="39" t="s">
        <v>1341</v>
      </c>
      <c r="B10" s="57" t="s">
        <v>1937</v>
      </c>
      <c r="C10" s="184"/>
      <c r="D10" s="184"/>
      <c r="E10" s="184"/>
      <c r="F10" s="10"/>
      <c r="G10" s="71"/>
      <c r="H10" s="71"/>
      <c r="I10" s="71"/>
      <c r="J10" s="71"/>
      <c r="K10" s="71"/>
      <c r="L10" s="71"/>
      <c r="M10" s="71"/>
    </row>
    <row r="11" spans="1:15">
      <c r="A11" s="72" t="s">
        <v>1342</v>
      </c>
      <c r="B11" s="74" t="s">
        <v>1343</v>
      </c>
      <c r="C11" s="186">
        <f>C8+C9+C10</f>
        <v>0</v>
      </c>
      <c r="D11" s="186">
        <f>D8+D9+D10</f>
        <v>0</v>
      </c>
      <c r="E11" s="186"/>
      <c r="F11" s="10"/>
      <c r="G11" s="76" t="s">
        <v>1899</v>
      </c>
      <c r="H11" s="75"/>
      <c r="I11" s="75"/>
      <c r="J11" s="75"/>
      <c r="K11" s="75"/>
      <c r="L11" s="75"/>
      <c r="M11" s="75"/>
    </row>
    <row r="12" spans="1:15">
      <c r="A12" s="39" t="s">
        <v>1344</v>
      </c>
      <c r="B12" s="57" t="s">
        <v>1938</v>
      </c>
      <c r="C12" s="184"/>
      <c r="D12" s="184"/>
      <c r="E12" s="184"/>
      <c r="F12" s="10"/>
      <c r="G12" s="75"/>
      <c r="H12" s="75"/>
      <c r="I12" s="75"/>
      <c r="J12" s="75"/>
      <c r="K12" s="75"/>
      <c r="L12" s="75"/>
      <c r="M12" s="75"/>
    </row>
    <row r="13" spans="1:15">
      <c r="A13" s="39" t="s">
        <v>1345</v>
      </c>
      <c r="B13" s="57" t="s">
        <v>1939</v>
      </c>
      <c r="C13" s="184"/>
      <c r="D13" s="184"/>
      <c r="E13" s="184"/>
      <c r="F13" s="10"/>
      <c r="G13" s="75"/>
      <c r="H13" s="75"/>
      <c r="I13" s="75"/>
      <c r="J13" s="77">
        <f>C5</f>
        <v>2015</v>
      </c>
      <c r="K13" s="77">
        <f>D5</f>
        <v>2016</v>
      </c>
      <c r="L13" s="77"/>
      <c r="M13" s="75"/>
    </row>
    <row r="14" spans="1:15">
      <c r="A14" s="39" t="s">
        <v>1346</v>
      </c>
      <c r="B14" s="57" t="s">
        <v>1940</v>
      </c>
      <c r="C14" s="184"/>
      <c r="D14" s="184"/>
      <c r="E14" s="184"/>
      <c r="F14" s="10"/>
      <c r="G14" s="75" t="s">
        <v>150</v>
      </c>
      <c r="H14" s="75"/>
      <c r="I14" s="75"/>
      <c r="J14" s="190">
        <f>C15</f>
        <v>0</v>
      </c>
      <c r="K14" s="190">
        <f>D15</f>
        <v>0</v>
      </c>
      <c r="L14" s="190"/>
      <c r="M14" s="75"/>
    </row>
    <row r="15" spans="1:15">
      <c r="A15" s="73" t="s">
        <v>1347</v>
      </c>
      <c r="B15" s="74" t="s">
        <v>1348</v>
      </c>
      <c r="C15" s="186">
        <f>C11+C12+C13+C14</f>
        <v>0</v>
      </c>
      <c r="D15" s="186">
        <f>D11+D12+D13+D14</f>
        <v>0</v>
      </c>
      <c r="E15" s="186"/>
      <c r="F15" s="10"/>
      <c r="G15" s="75" t="s">
        <v>151</v>
      </c>
      <c r="H15" s="75"/>
      <c r="I15" s="75"/>
      <c r="J15" s="191">
        <f>C20</f>
        <v>0</v>
      </c>
      <c r="K15" s="191">
        <f>D20</f>
        <v>0</v>
      </c>
      <c r="L15" s="269"/>
      <c r="M15" s="75"/>
    </row>
    <row r="16" spans="1:15">
      <c r="A16" s="39" t="s">
        <v>1349</v>
      </c>
      <c r="B16" s="57" t="s">
        <v>1941</v>
      </c>
      <c r="C16" s="184"/>
      <c r="D16" s="184"/>
      <c r="E16" s="184"/>
      <c r="F16" s="10"/>
      <c r="G16" s="76" t="s">
        <v>1367</v>
      </c>
      <c r="H16" s="75"/>
      <c r="I16" s="75"/>
      <c r="J16" s="190">
        <f>J14-J15</f>
        <v>0</v>
      </c>
      <c r="K16" s="190">
        <f>K14-K15</f>
        <v>0</v>
      </c>
      <c r="L16" s="190"/>
      <c r="M16" s="75"/>
      <c r="N16" s="33"/>
      <c r="O16" s="116"/>
    </row>
    <row r="17" spans="1:17">
      <c r="A17" s="39" t="s">
        <v>1350</v>
      </c>
      <c r="B17" s="57" t="s">
        <v>1942</v>
      </c>
      <c r="C17" s="184"/>
      <c r="D17" s="184"/>
      <c r="E17" s="184"/>
      <c r="G17" s="76" t="s">
        <v>1353</v>
      </c>
      <c r="H17" s="75"/>
      <c r="I17" s="75"/>
      <c r="J17" s="78" t="str">
        <f>IF(J16&lt;&gt;0, "Problem", "OK")</f>
        <v>OK</v>
      </c>
      <c r="K17" s="78" t="str">
        <f>IF(K16&lt;&gt;0, "Problem", "OK")</f>
        <v>OK</v>
      </c>
      <c r="L17" s="78"/>
      <c r="M17" s="75"/>
      <c r="N17" s="33"/>
      <c r="O17" s="117"/>
      <c r="P17" s="82"/>
      <c r="Q17" s="33"/>
    </row>
    <row r="18" spans="1:17">
      <c r="A18" s="39" t="s">
        <v>1351</v>
      </c>
      <c r="B18" s="57" t="s">
        <v>1943</v>
      </c>
      <c r="C18" s="184"/>
      <c r="D18" s="184"/>
      <c r="E18" s="184"/>
      <c r="G18" s="75"/>
      <c r="H18" s="75"/>
      <c r="I18" s="75"/>
      <c r="J18" s="75"/>
      <c r="K18" s="75"/>
      <c r="L18" s="75"/>
      <c r="M18" s="75"/>
      <c r="P18" s="81"/>
      <c r="Q18" s="33"/>
    </row>
    <row r="19" spans="1:17">
      <c r="A19" s="39" t="s">
        <v>1352</v>
      </c>
      <c r="B19" s="57" t="s">
        <v>1944</v>
      </c>
      <c r="C19" s="184"/>
      <c r="D19" s="184"/>
      <c r="E19" s="184"/>
      <c r="G19" s="76" t="s">
        <v>1923</v>
      </c>
      <c r="H19" s="75"/>
      <c r="I19" s="75"/>
      <c r="J19" s="75"/>
      <c r="K19" s="75"/>
      <c r="L19" s="75"/>
      <c r="M19" s="75"/>
    </row>
    <row r="20" spans="1:17">
      <c r="A20" s="73" t="s">
        <v>1354</v>
      </c>
      <c r="B20" s="74" t="s">
        <v>1355</v>
      </c>
      <c r="C20" s="186">
        <f>C16+C17+C18+C19</f>
        <v>0</v>
      </c>
      <c r="D20" s="186">
        <f>D16+D17+D18+D19</f>
        <v>0</v>
      </c>
      <c r="E20" s="186"/>
      <c r="G20" s="75"/>
      <c r="H20" s="75"/>
      <c r="I20" s="75"/>
      <c r="J20" s="75"/>
      <c r="K20" s="75"/>
      <c r="L20" s="75"/>
      <c r="M20" s="75"/>
    </row>
    <row r="21" spans="1:17">
      <c r="A21" s="254"/>
      <c r="B21" s="217"/>
      <c r="C21" s="255"/>
      <c r="D21" s="255"/>
      <c r="E21" s="255"/>
      <c r="G21" s="75"/>
      <c r="H21" s="75"/>
      <c r="I21" s="75"/>
      <c r="J21" s="77">
        <f>C5</f>
        <v>2015</v>
      </c>
      <c r="K21" s="77">
        <f>D5</f>
        <v>2016</v>
      </c>
      <c r="L21" s="77"/>
      <c r="M21" s="75"/>
    </row>
    <row r="22" spans="1:17">
      <c r="A22" s="39" t="s">
        <v>1356</v>
      </c>
      <c r="B22" s="40" t="s">
        <v>1357</v>
      </c>
      <c r="C22" s="184"/>
      <c r="D22" s="184"/>
      <c r="E22" s="184"/>
      <c r="G22" s="75" t="s">
        <v>152</v>
      </c>
      <c r="H22" s="75"/>
      <c r="I22" s="75"/>
      <c r="J22" s="190">
        <f>C30</f>
        <v>0</v>
      </c>
      <c r="K22" s="190">
        <f>D30</f>
        <v>0</v>
      </c>
      <c r="L22" s="190"/>
      <c r="M22" s="75"/>
    </row>
    <row r="23" spans="1:17">
      <c r="A23" s="39" t="s">
        <v>1358</v>
      </c>
      <c r="B23" s="40" t="s">
        <v>1359</v>
      </c>
      <c r="C23" s="184"/>
      <c r="D23" s="184"/>
      <c r="E23" s="184"/>
      <c r="G23" s="75" t="s">
        <v>153</v>
      </c>
      <c r="H23" s="75"/>
      <c r="I23" s="75"/>
      <c r="J23" s="190">
        <f>C39</f>
        <v>0</v>
      </c>
      <c r="K23" s="190">
        <f>D39</f>
        <v>0</v>
      </c>
      <c r="L23" s="190"/>
      <c r="M23" s="75"/>
      <c r="N23" s="113"/>
    </row>
    <row r="24" spans="1:17">
      <c r="A24" s="119"/>
      <c r="B24" s="256"/>
      <c r="C24" s="218"/>
      <c r="D24" s="218"/>
      <c r="E24" s="218"/>
      <c r="G24" s="79" t="s">
        <v>1368</v>
      </c>
      <c r="H24" s="80"/>
      <c r="I24" s="80"/>
      <c r="J24" s="193" t="e">
        <f>J22/J23</f>
        <v>#DIV/0!</v>
      </c>
      <c r="K24" s="193" t="e">
        <f>K22/K23</f>
        <v>#DIV/0!</v>
      </c>
      <c r="L24" s="270"/>
      <c r="M24" s="75"/>
      <c r="N24" s="66"/>
      <c r="O24" s="118"/>
    </row>
    <row r="25" spans="1:17" s="66" customFormat="1">
      <c r="A25" s="41" t="s">
        <v>1360</v>
      </c>
      <c r="B25" s="42" t="s">
        <v>1361</v>
      </c>
      <c r="C25" s="187"/>
      <c r="D25" s="187"/>
      <c r="E25" s="187"/>
      <c r="G25" s="76" t="s">
        <v>1353</v>
      </c>
      <c r="H25" s="75"/>
      <c r="I25" s="75"/>
      <c r="J25" s="78" t="e">
        <f>IF(J24&gt;5000,IF(J24&lt;120000,"OK","Problem"),"Problem")</f>
        <v>#DIV/0!</v>
      </c>
      <c r="K25" s="78" t="e">
        <f>IF(K24&gt;5000,IF(K24&lt;120000,"OK","Problem"),"Problem")</f>
        <v>#DIV/0!</v>
      </c>
      <c r="L25" s="78"/>
      <c r="M25" s="75"/>
      <c r="N25" s="30"/>
      <c r="O25" s="115"/>
    </row>
    <row r="26" spans="1:17">
      <c r="A26" s="41" t="s">
        <v>1362</v>
      </c>
      <c r="B26" s="42" t="s">
        <v>1363</v>
      </c>
      <c r="C26" s="187"/>
      <c r="D26" s="187"/>
      <c r="E26" s="187"/>
      <c r="G26" s="114"/>
      <c r="H26" s="75"/>
      <c r="I26" s="75"/>
      <c r="J26" s="75"/>
      <c r="K26" s="75"/>
      <c r="L26" s="75"/>
      <c r="M26" s="75"/>
      <c r="N26" s="66"/>
      <c r="O26" s="118"/>
    </row>
    <row r="27" spans="1:17" s="66" customFormat="1">
      <c r="A27" s="64"/>
      <c r="B27" s="65"/>
      <c r="C27" s="188"/>
      <c r="D27" s="188"/>
      <c r="E27" s="188"/>
      <c r="G27" s="75"/>
      <c r="H27" s="75"/>
      <c r="I27" s="75"/>
      <c r="J27" s="75"/>
      <c r="K27" s="75"/>
      <c r="L27" s="75"/>
      <c r="M27" s="75"/>
      <c r="N27" s="30"/>
      <c r="O27" s="115"/>
    </row>
    <row r="28" spans="1:17">
      <c r="A28" s="39" t="s">
        <v>1366</v>
      </c>
      <c r="B28" s="42" t="s">
        <v>2196</v>
      </c>
      <c r="C28" s="187"/>
      <c r="D28" s="187"/>
      <c r="E28" s="187"/>
      <c r="G28" s="75"/>
      <c r="H28" s="75"/>
      <c r="I28" s="75"/>
      <c r="J28" s="75"/>
      <c r="K28" s="75"/>
      <c r="L28" s="75"/>
      <c r="M28" s="75"/>
    </row>
    <row r="29" spans="1:17">
      <c r="A29" s="67"/>
      <c r="B29" s="68"/>
      <c r="C29" s="189"/>
      <c r="D29" s="189"/>
      <c r="E29" s="189"/>
      <c r="F29" s="107"/>
      <c r="G29" s="76" t="s">
        <v>2082</v>
      </c>
      <c r="H29" s="75"/>
      <c r="I29" s="75"/>
      <c r="J29" s="75"/>
      <c r="K29" s="75"/>
      <c r="L29" s="75"/>
      <c r="M29" s="75"/>
    </row>
    <row r="30" spans="1:17">
      <c r="A30" s="39" t="s">
        <v>1365</v>
      </c>
      <c r="B30" s="42" t="s">
        <v>1888</v>
      </c>
      <c r="C30" s="184"/>
      <c r="D30" s="184"/>
      <c r="E30" s="184"/>
      <c r="G30" s="75"/>
      <c r="H30" s="674" t="s">
        <v>275</v>
      </c>
      <c r="I30" s="674"/>
      <c r="J30" s="674" t="s">
        <v>274</v>
      </c>
      <c r="K30" s="674"/>
      <c r="L30" s="78"/>
      <c r="M30" s="71"/>
    </row>
    <row r="31" spans="1:17">
      <c r="A31" s="119"/>
      <c r="B31" s="217"/>
      <c r="C31" s="218"/>
      <c r="D31" s="218"/>
      <c r="E31" s="218"/>
      <c r="F31" s="66"/>
      <c r="G31" s="75"/>
      <c r="H31" s="76">
        <v>2009</v>
      </c>
      <c r="I31" s="76">
        <v>2010</v>
      </c>
      <c r="J31" s="76">
        <v>2009</v>
      </c>
      <c r="K31" s="76">
        <v>2010</v>
      </c>
      <c r="L31" s="76"/>
      <c r="M31" s="71"/>
      <c r="N31" s="66"/>
      <c r="O31" s="118"/>
    </row>
    <row r="32" spans="1:17" s="66" customFormat="1">
      <c r="A32" s="89" t="s">
        <v>1856</v>
      </c>
      <c r="B32" s="57" t="s">
        <v>2172</v>
      </c>
      <c r="C32" s="184"/>
      <c r="D32" s="184"/>
      <c r="E32" s="184"/>
      <c r="F32" s="30"/>
      <c r="G32" s="75" t="s">
        <v>271</v>
      </c>
      <c r="H32" s="190">
        <f>C26</f>
        <v>0</v>
      </c>
      <c r="I32" s="190">
        <f>D26</f>
        <v>0</v>
      </c>
      <c r="J32" s="190">
        <f>C25</f>
        <v>0</v>
      </c>
      <c r="K32" s="190">
        <f>D25</f>
        <v>0</v>
      </c>
      <c r="L32" s="190"/>
      <c r="M32" s="71"/>
      <c r="N32" s="30"/>
      <c r="O32" s="115"/>
    </row>
    <row r="33" spans="1:14">
      <c r="A33" s="89" t="s">
        <v>1857</v>
      </c>
      <c r="B33" s="57" t="s">
        <v>2173</v>
      </c>
      <c r="C33" s="184"/>
      <c r="D33" s="184"/>
      <c r="E33" s="184"/>
      <c r="G33" s="75" t="s">
        <v>272</v>
      </c>
      <c r="H33" s="190" t="e">
        <f>#REF!</f>
        <v>#REF!</v>
      </c>
      <c r="I33" s="190" t="e">
        <f>#REF!</f>
        <v>#REF!</v>
      </c>
      <c r="J33" s="192" t="s">
        <v>248</v>
      </c>
      <c r="K33" s="192" t="s">
        <v>248</v>
      </c>
      <c r="L33" s="192"/>
      <c r="M33" s="71"/>
    </row>
    <row r="34" spans="1:14">
      <c r="A34" s="89" t="s">
        <v>1858</v>
      </c>
      <c r="B34" s="57" t="s">
        <v>2174</v>
      </c>
      <c r="C34" s="184"/>
      <c r="D34" s="184"/>
      <c r="E34" s="184"/>
      <c r="G34" s="75" t="s">
        <v>273</v>
      </c>
      <c r="H34" s="190">
        <f>'Form 3 - 2009'!C48</f>
        <v>0</v>
      </c>
      <c r="I34" s="190">
        <f>'Form 3 - 2010'!C48</f>
        <v>0</v>
      </c>
      <c r="J34" s="190">
        <f>'Form 3 - 2009'!C12</f>
        <v>0</v>
      </c>
      <c r="K34" s="190">
        <f>'Form 3 - 2010'!C12</f>
        <v>0</v>
      </c>
      <c r="L34" s="190"/>
      <c r="M34" s="71"/>
    </row>
    <row r="35" spans="1:14">
      <c r="A35" s="89" t="s">
        <v>1859</v>
      </c>
      <c r="B35" s="57" t="s">
        <v>2175</v>
      </c>
      <c r="C35" s="184"/>
      <c r="D35" s="184"/>
      <c r="E35" s="184"/>
      <c r="G35" s="75"/>
      <c r="H35" s="75"/>
      <c r="I35" s="75"/>
      <c r="J35" s="75"/>
      <c r="K35" s="75"/>
      <c r="L35" s="75"/>
      <c r="M35" s="75"/>
    </row>
    <row r="36" spans="1:14">
      <c r="A36" s="89" t="s">
        <v>1860</v>
      </c>
      <c r="B36" s="57" t="s">
        <v>2176</v>
      </c>
      <c r="C36" s="184"/>
      <c r="D36" s="184"/>
      <c r="E36" s="184"/>
      <c r="G36" s="75"/>
      <c r="H36" s="75"/>
      <c r="I36" s="75"/>
      <c r="J36" s="75"/>
      <c r="K36" s="75"/>
      <c r="L36" s="75"/>
      <c r="M36" s="75"/>
    </row>
    <row r="37" spans="1:14" ht="12.75" customHeight="1">
      <c r="A37" s="89" t="s">
        <v>1861</v>
      </c>
      <c r="B37" s="57" t="s">
        <v>2177</v>
      </c>
      <c r="C37" s="184"/>
      <c r="D37" s="184"/>
      <c r="E37" s="184"/>
      <c r="G37" s="75"/>
      <c r="H37" s="75"/>
      <c r="I37" s="75"/>
      <c r="J37" s="75"/>
      <c r="K37" s="75"/>
      <c r="L37" s="75"/>
      <c r="M37" s="75"/>
    </row>
    <row r="38" spans="1:14">
      <c r="A38" s="89" t="s">
        <v>1862</v>
      </c>
      <c r="B38" s="57" t="s">
        <v>2178</v>
      </c>
      <c r="C38" s="184"/>
      <c r="D38" s="184"/>
      <c r="E38" s="184"/>
    </row>
    <row r="39" spans="1:14" s="115" customFormat="1">
      <c r="A39" s="73" t="s">
        <v>1364</v>
      </c>
      <c r="B39" s="74" t="s">
        <v>1934</v>
      </c>
      <c r="C39" s="186">
        <f>SUM(C32:C38)</f>
        <v>0</v>
      </c>
      <c r="D39" s="186">
        <f>SUM(D32:D38)</f>
        <v>0</v>
      </c>
      <c r="E39" s="186"/>
      <c r="F39" s="30"/>
      <c r="G39" s="30"/>
      <c r="H39" s="30"/>
      <c r="I39" s="30"/>
      <c r="J39" s="30"/>
      <c r="K39" s="30"/>
      <c r="L39" s="30"/>
      <c r="M39" s="30"/>
      <c r="N39" s="30"/>
    </row>
    <row r="40" spans="1:14" ht="10" customHeight="1"/>
    <row r="41" spans="1:14" ht="5" customHeight="1">
      <c r="A41" s="115"/>
      <c r="B41" s="115"/>
      <c r="C41" s="115"/>
      <c r="D41" s="115"/>
      <c r="E41" s="115"/>
      <c r="F41" s="115"/>
      <c r="G41" s="115"/>
      <c r="H41" s="115"/>
      <c r="I41" s="115"/>
      <c r="J41" s="115"/>
      <c r="K41" s="115"/>
      <c r="L41" s="115"/>
      <c r="M41" s="115"/>
      <c r="N41" s="115"/>
    </row>
    <row r="42" spans="1:14" hidden="1"/>
    <row r="43" spans="1:14" hidden="1"/>
    <row r="44" spans="1:14" hidden="1"/>
    <row r="45" spans="1:14" hidden="1"/>
    <row r="46" spans="1:14" hidden="1"/>
    <row r="47" spans="1:14" hidden="1"/>
    <row r="48" spans="1:14" hidden="1"/>
    <row r="49" spans="6:6" hidden="1"/>
    <row r="50" spans="6:6" hidden="1"/>
    <row r="51" spans="6:6" hidden="1"/>
    <row r="52" spans="6:6" hidden="1"/>
    <row r="53" spans="6:6" hidden="1"/>
    <row r="54" spans="6:6" hidden="1"/>
    <row r="55" spans="6:6" hidden="1"/>
    <row r="56" spans="6:6" hidden="1"/>
    <row r="57" spans="6:6" hidden="1"/>
    <row r="58" spans="6:6" hidden="1"/>
    <row r="59" spans="6:6" hidden="1"/>
    <row r="60" spans="6:6" hidden="1"/>
    <row r="61" spans="6:6" hidden="1">
      <c r="F61" s="34"/>
    </row>
    <row r="62" spans="6:6" hidden="1">
      <c r="F62" s="34"/>
    </row>
    <row r="63" spans="6:6" hidden="1"/>
    <row r="64" spans="6:6" hidden="1"/>
    <row r="65" spans="6:6" hidden="1">
      <c r="F65" s="34"/>
    </row>
    <row r="66" spans="6:6" hidden="1">
      <c r="F66" s="34"/>
    </row>
    <row r="67" spans="6:6" hidden="1">
      <c r="F67" s="34"/>
    </row>
    <row r="68" spans="6:6" hidden="1">
      <c r="F68" s="34"/>
    </row>
    <row r="69" spans="6:6" hidden="1"/>
    <row r="70" spans="6:6" hidden="1"/>
    <row r="71" spans="6:6" hidden="1"/>
  </sheetData>
  <mergeCells count="2">
    <mergeCell ref="H30:I30"/>
    <mergeCell ref="J30:K30"/>
  </mergeCells>
  <phoneticPr fontId="0" type="noConversion"/>
  <printOptions horizontalCentered="1" gridLinesSet="0"/>
  <pageMargins left="0.28740157500000002" right="0.28740157500000002" top="0.484251969" bottom="0.484251969" header="0.5" footer="0.5"/>
  <pageSetup scale="75" orientation="landscape" r:id="rId1"/>
  <headerFooter alignWithMargins="0">
    <oddFooter>&amp;L&amp;F&amp;C&amp;A&amp;R&amp;D</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6"/>
  <sheetViews>
    <sheetView topLeftCell="B1" workbookViewId="0">
      <selection activeCell="C8" sqref="C8"/>
    </sheetView>
  </sheetViews>
  <sheetFormatPr baseColWidth="10" defaultColWidth="9.1640625" defaultRowHeight="13"/>
  <cols>
    <col min="1" max="1" width="12" style="288" customWidth="1"/>
    <col min="2" max="2" width="63.5" style="288" bestFit="1" customWidth="1"/>
    <col min="3" max="4" width="18.6640625" style="288" customWidth="1"/>
    <col min="5" max="5" width="19.6640625" style="288" customWidth="1"/>
    <col min="6" max="6" width="17.6640625" style="288" customWidth="1"/>
    <col min="7" max="7" width="6.6640625" style="288" customWidth="1"/>
    <col min="8" max="8" width="8.6640625" style="288" customWidth="1"/>
    <col min="9" max="10" width="9.1640625" style="288"/>
    <col min="11" max="11" width="20.5" style="288" customWidth="1"/>
    <col min="12" max="16384" width="9.1640625" style="288"/>
  </cols>
  <sheetData>
    <row r="1" spans="1:11" s="287" customFormat="1" ht="44.25" customHeight="1" thickBot="1">
      <c r="A1" s="176"/>
      <c r="B1" s="676" t="s">
        <v>2247</v>
      </c>
      <c r="C1" s="676"/>
      <c r="D1" s="676"/>
      <c r="E1" s="676"/>
      <c r="F1" s="676"/>
      <c r="G1" s="111"/>
      <c r="H1" s="111"/>
      <c r="I1" s="111"/>
      <c r="J1" s="111"/>
      <c r="K1" s="111"/>
    </row>
    <row r="2" spans="1:11" ht="14" thickTop="1">
      <c r="B2" s="353"/>
      <c r="C2" s="353"/>
      <c r="D2" s="353"/>
      <c r="E2" s="353"/>
      <c r="F2" s="353"/>
      <c r="G2" s="353"/>
      <c r="H2" s="353"/>
      <c r="I2" s="353"/>
      <c r="J2" s="353"/>
      <c r="K2" s="353"/>
    </row>
    <row r="3" spans="1:11">
      <c r="A3" s="53" t="s">
        <v>2228</v>
      </c>
      <c r="B3" s="355"/>
      <c r="C3" s="353"/>
      <c r="D3" s="353"/>
      <c r="E3" s="353"/>
      <c r="F3" s="353"/>
      <c r="G3" s="353"/>
      <c r="H3" s="353"/>
      <c r="I3" s="353"/>
      <c r="J3" s="353"/>
      <c r="K3" s="353"/>
    </row>
    <row r="4" spans="1:11" ht="14" thickBot="1">
      <c r="A4" s="354"/>
      <c r="B4" s="356"/>
      <c r="C4" s="355"/>
      <c r="D4" s="353"/>
      <c r="E4" s="353"/>
      <c r="F4" s="353"/>
      <c r="G4" s="353"/>
      <c r="H4" s="353"/>
      <c r="I4" s="353"/>
      <c r="J4" s="353"/>
      <c r="K4" s="353"/>
    </row>
    <row r="5" spans="1:11">
      <c r="A5" s="354"/>
      <c r="B5" s="380" t="s">
        <v>2305</v>
      </c>
      <c r="C5" s="381"/>
      <c r="D5" s="426" t="s">
        <v>2281</v>
      </c>
      <c r="E5" s="430">
        <f>IF(ISNUMBER(C5/$C$8),C5/$C$8,0)</f>
        <v>0</v>
      </c>
      <c r="F5" s="677" t="s">
        <v>2280</v>
      </c>
      <c r="G5" s="677"/>
      <c r="H5" s="678"/>
      <c r="I5" s="353"/>
      <c r="J5" s="353"/>
      <c r="K5" s="353"/>
    </row>
    <row r="6" spans="1:11">
      <c r="A6" s="354"/>
      <c r="B6" s="346" t="s">
        <v>2306</v>
      </c>
      <c r="C6" s="348"/>
      <c r="D6" s="427" t="s">
        <v>2281</v>
      </c>
      <c r="E6" s="431">
        <f>IF(ISNUMBER(C6/$C$8),C6/$C$8,0)</f>
        <v>0</v>
      </c>
      <c r="F6" s="679" t="s">
        <v>2280</v>
      </c>
      <c r="G6" s="679"/>
      <c r="H6" s="680"/>
      <c r="I6" s="353"/>
      <c r="J6" s="353"/>
      <c r="K6" s="353"/>
    </row>
    <row r="7" spans="1:11" ht="14" thickBot="1">
      <c r="A7" s="354"/>
      <c r="B7" s="382" t="s">
        <v>2307</v>
      </c>
      <c r="C7" s="383"/>
      <c r="D7" s="428" t="s">
        <v>2281</v>
      </c>
      <c r="E7" s="432">
        <f>IF(ISNUMBER(C7/$C$8),C7/$C$8,0)</f>
        <v>0</v>
      </c>
      <c r="F7" s="681" t="s">
        <v>2280</v>
      </c>
      <c r="G7" s="681"/>
      <c r="H7" s="682"/>
      <c r="I7" s="353"/>
      <c r="J7" s="353"/>
      <c r="K7" s="353"/>
    </row>
    <row r="8" spans="1:11">
      <c r="A8" s="354"/>
      <c r="B8" s="341" t="s">
        <v>2308</v>
      </c>
      <c r="C8" s="393">
        <f>SUM(C5:C7)</f>
        <v>0</v>
      </c>
      <c r="D8" s="353"/>
      <c r="E8" s="353"/>
      <c r="F8" s="353"/>
      <c r="G8" s="353"/>
      <c r="H8" s="353"/>
      <c r="I8" s="353"/>
      <c r="J8" s="353"/>
      <c r="K8" s="353"/>
    </row>
    <row r="9" spans="1:11">
      <c r="A9" s="354"/>
      <c r="B9" s="378" t="s">
        <v>2311</v>
      </c>
      <c r="C9" s="384"/>
      <c r="D9" s="379" t="s">
        <v>2304</v>
      </c>
      <c r="E9" s="353"/>
      <c r="F9" s="353"/>
      <c r="G9" s="353"/>
      <c r="H9" s="353"/>
      <c r="I9" s="353"/>
      <c r="J9" s="353"/>
      <c r="K9" s="353"/>
    </row>
    <row r="10" spans="1:11">
      <c r="A10" s="354"/>
      <c r="B10" s="341" t="s">
        <v>2232</v>
      </c>
      <c r="C10" s="347"/>
      <c r="D10" s="353"/>
      <c r="E10" s="353"/>
      <c r="F10" s="353"/>
      <c r="G10" s="353"/>
      <c r="H10" s="353"/>
      <c r="I10" s="353"/>
      <c r="J10" s="353"/>
      <c r="K10" s="353"/>
    </row>
    <row r="11" spans="1:11">
      <c r="A11" s="354"/>
      <c r="B11" s="346" t="s">
        <v>2448</v>
      </c>
      <c r="C11" s="349"/>
      <c r="D11" s="353"/>
      <c r="E11" s="353"/>
      <c r="F11" s="353"/>
      <c r="G11" s="353"/>
      <c r="H11" s="353"/>
      <c r="I11" s="353"/>
      <c r="J11" s="353"/>
      <c r="K11" s="353"/>
    </row>
    <row r="12" spans="1:11" ht="14" thickBot="1">
      <c r="A12" s="354"/>
      <c r="B12" s="345" t="s">
        <v>2449</v>
      </c>
      <c r="C12" s="350"/>
      <c r="D12" s="353"/>
      <c r="E12" s="353"/>
      <c r="F12" s="353"/>
      <c r="G12" s="353"/>
      <c r="H12" s="353"/>
      <c r="I12" s="353"/>
      <c r="J12" s="353"/>
      <c r="K12" s="353"/>
    </row>
    <row r="13" spans="1:11" ht="14" thickBot="1">
      <c r="A13" s="354"/>
      <c r="B13" s="439"/>
      <c r="C13" s="439"/>
      <c r="D13" s="353"/>
      <c r="E13" s="353"/>
      <c r="F13" s="353"/>
      <c r="G13" s="353"/>
      <c r="H13" s="353"/>
      <c r="I13" s="353"/>
      <c r="J13" s="353"/>
      <c r="K13" s="353"/>
    </row>
    <row r="14" spans="1:11">
      <c r="A14" s="354"/>
      <c r="B14" s="597" t="s">
        <v>2336</v>
      </c>
      <c r="C14" s="441">
        <f>IFERROR(($C$8-'Form 2'!$C$49)/$C$8,0)</f>
        <v>0</v>
      </c>
      <c r="D14" s="353"/>
      <c r="E14" s="353"/>
      <c r="F14" s="353"/>
      <c r="G14" s="353"/>
      <c r="H14" s="353"/>
      <c r="I14" s="353"/>
      <c r="J14" s="353"/>
      <c r="K14" s="353"/>
    </row>
    <row r="15" spans="1:11" ht="14" thickBot="1">
      <c r="A15" s="354"/>
      <c r="B15" s="598" t="s">
        <v>2374</v>
      </c>
      <c r="C15" s="440">
        <f>IFERROR((($C$8+$C$9)-('Form 2'!$C$49+'Form 2'!$C$50))/($C$8+$C$9),0)</f>
        <v>0</v>
      </c>
      <c r="D15" s="353"/>
      <c r="E15" s="353"/>
      <c r="F15" s="353"/>
      <c r="G15" s="353"/>
      <c r="H15" s="353"/>
      <c r="I15" s="353"/>
      <c r="J15" s="353"/>
      <c r="K15" s="353"/>
    </row>
    <row r="16" spans="1:11" ht="14" thickBot="1">
      <c r="A16" s="354"/>
      <c r="B16" s="353"/>
      <c r="C16" s="353"/>
      <c r="D16" s="353"/>
      <c r="E16" s="353"/>
      <c r="F16" s="353"/>
      <c r="G16" s="353"/>
      <c r="H16" s="353"/>
      <c r="I16" s="353"/>
      <c r="J16" s="353"/>
      <c r="K16" s="353"/>
    </row>
    <row r="17" spans="1:11" ht="22.5" customHeight="1">
      <c r="A17" s="358"/>
      <c r="B17" s="460" t="s">
        <v>2222</v>
      </c>
      <c r="C17" s="602" t="s">
        <v>2221</v>
      </c>
      <c r="D17" s="602" t="s">
        <v>2224</v>
      </c>
      <c r="E17" s="603" t="s">
        <v>2309</v>
      </c>
      <c r="F17" s="604" t="s">
        <v>2234</v>
      </c>
      <c r="G17" s="358"/>
      <c r="H17" s="358"/>
      <c r="I17" s="358"/>
      <c r="J17" s="357"/>
      <c r="K17" s="353"/>
    </row>
    <row r="18" spans="1:11">
      <c r="A18" s="359"/>
      <c r="B18" s="599" t="s">
        <v>2172</v>
      </c>
      <c r="C18" s="351"/>
      <c r="D18" s="352"/>
      <c r="E18" s="351"/>
      <c r="F18" s="433"/>
      <c r="G18" s="358"/>
      <c r="H18" s="358"/>
      <c r="I18" s="358"/>
      <c r="J18" s="353"/>
      <c r="K18" s="353"/>
    </row>
    <row r="19" spans="1:11">
      <c r="A19" s="359"/>
      <c r="B19" s="599" t="s">
        <v>2173</v>
      </c>
      <c r="C19" s="351"/>
      <c r="D19" s="352"/>
      <c r="E19" s="434"/>
      <c r="F19" s="342"/>
      <c r="G19" s="358"/>
      <c r="H19" s="358"/>
      <c r="I19" s="358"/>
      <c r="J19" s="353"/>
      <c r="K19" s="353"/>
    </row>
    <row r="20" spans="1:11">
      <c r="A20" s="359"/>
      <c r="B20" s="599" t="s">
        <v>2174</v>
      </c>
      <c r="C20" s="351"/>
      <c r="D20" s="352"/>
      <c r="E20" s="435"/>
      <c r="F20" s="342"/>
      <c r="G20" s="358"/>
      <c r="H20" s="358"/>
      <c r="I20" s="358"/>
      <c r="J20" s="353"/>
      <c r="K20" s="353"/>
    </row>
    <row r="21" spans="1:11">
      <c r="A21" s="359"/>
      <c r="B21" s="599" t="s">
        <v>2175</v>
      </c>
      <c r="C21" s="351"/>
      <c r="D21" s="352"/>
      <c r="E21" s="351"/>
      <c r="F21" s="433"/>
      <c r="G21" s="358"/>
      <c r="H21" s="358"/>
      <c r="I21" s="358"/>
      <c r="J21" s="353"/>
      <c r="K21" s="353"/>
    </row>
    <row r="22" spans="1:11">
      <c r="A22" s="359"/>
      <c r="B22" s="599" t="s">
        <v>2176</v>
      </c>
      <c r="C22" s="351"/>
      <c r="D22" s="352"/>
      <c r="E22" s="434"/>
      <c r="F22" s="342"/>
      <c r="G22" s="358"/>
      <c r="H22" s="358"/>
      <c r="I22" s="358"/>
      <c r="J22" s="353"/>
      <c r="K22" s="353"/>
    </row>
    <row r="23" spans="1:11">
      <c r="A23" s="359"/>
      <c r="B23" s="599" t="s">
        <v>2229</v>
      </c>
      <c r="C23" s="351"/>
      <c r="D23" s="352"/>
      <c r="E23" s="436"/>
      <c r="F23" s="342"/>
      <c r="G23" s="358"/>
      <c r="H23" s="358"/>
      <c r="I23" s="358"/>
      <c r="J23" s="353"/>
      <c r="K23" s="353"/>
    </row>
    <row r="24" spans="1:11">
      <c r="A24" s="359"/>
      <c r="B24" s="599" t="s">
        <v>2314</v>
      </c>
      <c r="C24" s="351"/>
      <c r="D24" s="352"/>
      <c r="E24" s="436"/>
      <c r="F24" s="342"/>
      <c r="G24" s="358"/>
      <c r="H24" s="358"/>
      <c r="I24" s="358"/>
      <c r="J24" s="353"/>
      <c r="K24" s="353"/>
    </row>
    <row r="25" spans="1:11">
      <c r="A25" s="359"/>
      <c r="B25" s="600" t="s">
        <v>2312</v>
      </c>
      <c r="C25" s="351"/>
      <c r="D25" s="352"/>
      <c r="E25" s="436"/>
      <c r="F25" s="342"/>
      <c r="G25" s="358"/>
      <c r="H25" s="358"/>
      <c r="I25" s="358"/>
      <c r="J25" s="353"/>
      <c r="K25" s="353"/>
    </row>
    <row r="26" spans="1:11">
      <c r="A26" s="359"/>
      <c r="B26" s="600" t="s">
        <v>2313</v>
      </c>
      <c r="C26" s="351"/>
      <c r="D26" s="352"/>
      <c r="E26" s="436"/>
      <c r="F26" s="342"/>
      <c r="G26" s="358"/>
      <c r="H26" s="358"/>
      <c r="I26" s="358"/>
      <c r="J26" s="353"/>
      <c r="K26" s="353"/>
    </row>
    <row r="27" spans="1:11">
      <c r="A27" s="359"/>
      <c r="B27" s="600" t="s">
        <v>2318</v>
      </c>
      <c r="C27" s="351"/>
      <c r="D27" s="352"/>
      <c r="E27" s="436"/>
      <c r="F27" s="342"/>
      <c r="G27" s="358"/>
      <c r="H27" s="358"/>
      <c r="I27" s="358"/>
      <c r="J27" s="353"/>
      <c r="K27" s="353"/>
    </row>
    <row r="28" spans="1:11">
      <c r="A28" s="359"/>
      <c r="B28" s="600" t="s">
        <v>2319</v>
      </c>
      <c r="C28" s="351"/>
      <c r="D28" s="352"/>
      <c r="E28" s="436"/>
      <c r="F28" s="342"/>
      <c r="G28" s="358"/>
      <c r="H28" s="358"/>
      <c r="I28" s="358"/>
      <c r="J28" s="353"/>
      <c r="K28" s="353"/>
    </row>
    <row r="29" spans="1:11">
      <c r="A29" s="359"/>
      <c r="B29" s="601" t="s">
        <v>2383</v>
      </c>
      <c r="C29" s="389">
        <f>SUM(C25:C28)</f>
        <v>0</v>
      </c>
      <c r="D29" s="429">
        <f>SUM(D25:D28)</f>
        <v>0</v>
      </c>
      <c r="E29" s="436"/>
      <c r="F29" s="342"/>
      <c r="G29" s="358"/>
      <c r="H29" s="358"/>
      <c r="I29" s="358"/>
      <c r="J29" s="353"/>
      <c r="K29" s="353"/>
    </row>
    <row r="30" spans="1:11" ht="14" thickBot="1">
      <c r="A30" s="360"/>
      <c r="B30" s="461" t="s">
        <v>2233</v>
      </c>
      <c r="C30" s="391">
        <f>SUM(C18:C28)</f>
        <v>0</v>
      </c>
      <c r="D30" s="392">
        <f>SUM(D18:D28)</f>
        <v>0</v>
      </c>
      <c r="E30" s="437"/>
      <c r="F30" s="344"/>
      <c r="G30" s="358"/>
      <c r="H30" s="358"/>
      <c r="I30" s="358"/>
      <c r="J30" s="353"/>
      <c r="K30" s="353"/>
    </row>
    <row r="31" spans="1:11">
      <c r="A31" s="353"/>
      <c r="G31" s="358"/>
      <c r="H31" s="358"/>
      <c r="I31" s="358"/>
      <c r="J31" s="353"/>
      <c r="K31" s="353"/>
    </row>
    <row r="32" spans="1:11" ht="18.75" customHeight="1">
      <c r="A32" s="353"/>
      <c r="B32" s="675" t="s">
        <v>2456</v>
      </c>
      <c r="C32" s="675"/>
      <c r="D32" s="675"/>
      <c r="E32" s="675"/>
      <c r="F32" s="675"/>
      <c r="G32" s="675"/>
      <c r="H32" s="675"/>
      <c r="I32" s="675"/>
      <c r="J32" s="675"/>
      <c r="K32" s="675"/>
    </row>
    <row r="33" spans="1:11" ht="18.75" customHeight="1">
      <c r="A33" s="353"/>
      <c r="B33" s="675"/>
      <c r="C33" s="675"/>
      <c r="D33" s="675"/>
      <c r="E33" s="675"/>
      <c r="F33" s="675"/>
      <c r="G33" s="675"/>
      <c r="H33" s="675"/>
      <c r="I33" s="675"/>
      <c r="J33" s="675"/>
      <c r="K33" s="675"/>
    </row>
    <row r="34" spans="1:11">
      <c r="A34" s="353"/>
      <c r="B34" s="353"/>
      <c r="C34" s="353"/>
      <c r="D34" s="353"/>
      <c r="E34" s="353"/>
      <c r="F34" s="353"/>
      <c r="G34" s="353"/>
      <c r="H34" s="353"/>
      <c r="I34" s="353"/>
      <c r="J34" s="353"/>
      <c r="K34" s="353"/>
    </row>
    <row r="35" spans="1:11">
      <c r="A35" s="353"/>
      <c r="B35" s="353"/>
      <c r="C35" s="353"/>
      <c r="D35" s="353"/>
      <c r="E35" s="353"/>
      <c r="F35" s="353"/>
      <c r="G35" s="353"/>
      <c r="H35" s="353"/>
      <c r="I35" s="353"/>
      <c r="J35" s="353"/>
      <c r="K35" s="353"/>
    </row>
    <row r="36" spans="1:11">
      <c r="A36" s="353"/>
      <c r="B36" s="353"/>
      <c r="C36" s="353"/>
      <c r="D36" s="353"/>
      <c r="E36" s="353"/>
      <c r="F36" s="353"/>
      <c r="G36" s="353"/>
      <c r="H36" s="353"/>
      <c r="I36" s="353"/>
      <c r="J36" s="353"/>
      <c r="K36" s="353"/>
    </row>
  </sheetData>
  <sheetProtection algorithmName="SHA-512" hashValue="uorcAqr9fYlmKWaYNo4SNlYlhd9P0C/elow+X0f0R5qsHsOlOjsjKS5DYpyIW5b07r6N725Hto+JzSWq1GBzkA==" saltValue="JLvD+eBr8vcft9kBOckp1Q==" spinCount="100000" sheet="1" objects="1" scenarios="1"/>
  <mergeCells count="5">
    <mergeCell ref="B32:K33"/>
    <mergeCell ref="B1:F1"/>
    <mergeCell ref="F5:H5"/>
    <mergeCell ref="F6:H6"/>
    <mergeCell ref="F7:H7"/>
  </mergeCell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5">
    <pageSetUpPr fitToPage="1"/>
  </sheetPr>
  <dimension ref="A1:GC98"/>
  <sheetViews>
    <sheetView showGridLines="0" workbookViewId="0">
      <pane xSplit="3" ySplit="7" topLeftCell="D8" activePane="bottomRight" state="frozenSplit"/>
      <selection activeCell="F37" sqref="F37"/>
      <selection pane="topRight" activeCell="F37" sqref="F37"/>
      <selection pane="bottomLeft" activeCell="F37" sqref="F37"/>
      <selection pane="bottomRight" activeCell="E11" sqref="E11"/>
    </sheetView>
  </sheetViews>
  <sheetFormatPr baseColWidth="10" defaultColWidth="0" defaultRowHeight="12.75" customHeight="1"/>
  <cols>
    <col min="1" max="1" width="11.1640625" style="10" customWidth="1"/>
    <col min="2" max="2" width="83" style="28" bestFit="1" customWidth="1"/>
    <col min="3" max="3" width="27.6640625" style="10" customWidth="1"/>
    <col min="4" max="33" width="22.83203125" style="10" customWidth="1"/>
    <col min="34" max="45" width="22.83203125" style="119" customWidth="1"/>
    <col min="46" max="16384" width="9.1640625" style="119" hidden="1"/>
  </cols>
  <sheetData>
    <row r="1" spans="1:185" ht="42" customHeight="1" thickBot="1">
      <c r="A1" s="176"/>
      <c r="B1" s="684" t="s">
        <v>2248</v>
      </c>
      <c r="C1" s="684"/>
      <c r="D1" s="684"/>
      <c r="E1" s="684"/>
      <c r="F1" s="684"/>
      <c r="G1" s="684"/>
      <c r="H1" s="684"/>
      <c r="I1" s="684"/>
      <c r="J1" s="684"/>
      <c r="K1" s="684"/>
      <c r="L1" s="684"/>
      <c r="M1" s="684"/>
      <c r="N1" s="684"/>
      <c r="O1" s="684"/>
      <c r="P1" s="684"/>
      <c r="Q1" s="684"/>
      <c r="R1" s="684"/>
      <c r="S1" s="684"/>
      <c r="T1" s="684"/>
      <c r="U1" s="684"/>
      <c r="V1" s="684"/>
      <c r="W1" s="684"/>
      <c r="X1" s="684"/>
      <c r="Y1" s="684"/>
      <c r="Z1" s="684"/>
      <c r="AA1" s="684"/>
      <c r="AB1" s="684"/>
      <c r="AC1" s="684"/>
      <c r="AD1" s="684"/>
      <c r="AE1" s="684"/>
      <c r="AF1" s="684"/>
      <c r="AG1" s="684"/>
    </row>
    <row r="2" spans="1:185" ht="14" thickTop="1">
      <c r="A2" s="9"/>
      <c r="B2" s="13"/>
      <c r="C2" s="13"/>
      <c r="D2" s="22"/>
      <c r="E2" s="22"/>
      <c r="G2" s="13"/>
      <c r="H2" s="13"/>
      <c r="I2" s="13"/>
      <c r="J2" s="13"/>
      <c r="K2" s="13"/>
      <c r="L2" s="13"/>
      <c r="M2" s="24"/>
      <c r="N2" s="25"/>
      <c r="O2" s="85"/>
      <c r="P2" s="24"/>
      <c r="Q2" s="13"/>
      <c r="R2" s="13"/>
      <c r="S2" s="13"/>
      <c r="T2" s="13"/>
      <c r="U2" s="13"/>
      <c r="V2" s="13"/>
      <c r="W2" s="13"/>
      <c r="X2" s="13"/>
      <c r="Y2" s="13"/>
      <c r="Z2" s="13"/>
      <c r="AA2" s="13"/>
      <c r="AB2" s="13"/>
      <c r="AC2" s="13"/>
      <c r="AD2" s="13"/>
      <c r="AE2" s="13"/>
      <c r="AF2" s="13"/>
      <c r="AG2" s="13"/>
    </row>
    <row r="3" spans="1:185" ht="13">
      <c r="A3" s="53" t="s">
        <v>1337</v>
      </c>
      <c r="B3" s="55">
        <v>2</v>
      </c>
      <c r="D3" s="22"/>
      <c r="E3" s="22"/>
      <c r="F3" s="225"/>
      <c r="G3" s="22"/>
      <c r="H3" s="22"/>
      <c r="I3" s="22"/>
      <c r="J3" s="22"/>
      <c r="K3" s="22"/>
      <c r="L3" s="13"/>
      <c r="M3" s="24"/>
      <c r="N3" s="25"/>
      <c r="O3" s="85"/>
      <c r="P3" s="24"/>
      <c r="Q3" s="13"/>
      <c r="R3" s="13"/>
      <c r="S3" s="13"/>
      <c r="T3" s="13"/>
      <c r="U3" s="13"/>
      <c r="V3" s="13"/>
      <c r="W3" s="13"/>
      <c r="X3" s="13"/>
      <c r="Y3" s="13"/>
      <c r="Z3" s="13"/>
      <c r="AA3" s="13"/>
      <c r="AB3" s="13"/>
      <c r="AC3" s="13"/>
      <c r="AD3" s="13"/>
      <c r="AE3" s="13"/>
      <c r="AF3" s="13"/>
      <c r="AG3" s="13"/>
    </row>
    <row r="4" spans="1:185" ht="13">
      <c r="A4" s="12"/>
      <c r="B4" s="12"/>
      <c r="C4" s="12"/>
      <c r="D4" s="12"/>
      <c r="E4" s="12"/>
      <c r="F4" s="12"/>
      <c r="G4" s="12"/>
      <c r="H4" s="12"/>
      <c r="I4" s="13"/>
      <c r="J4" s="13"/>
      <c r="K4" s="13"/>
      <c r="L4" s="13"/>
      <c r="M4" s="24"/>
      <c r="N4" s="24"/>
      <c r="O4" s="26"/>
      <c r="P4" s="24"/>
      <c r="Q4" s="13"/>
      <c r="R4" s="13"/>
      <c r="S4" s="13"/>
      <c r="T4" s="13"/>
      <c r="U4" s="13"/>
      <c r="V4" s="13"/>
      <c r="W4" s="13"/>
      <c r="X4" s="13"/>
      <c r="Y4" s="13"/>
      <c r="Z4" s="13"/>
      <c r="AA4" s="13"/>
      <c r="AB4" s="13"/>
      <c r="AC4" s="13"/>
      <c r="AD4" s="13"/>
      <c r="AE4" s="13"/>
      <c r="AF4" s="13"/>
      <c r="AG4" s="13"/>
    </row>
    <row r="5" spans="1:185" ht="13">
      <c r="A5" s="54" t="s">
        <v>1338</v>
      </c>
      <c r="B5" s="86">
        <f>DataCollectionYear</f>
        <v>2018</v>
      </c>
      <c r="D5" s="229" t="s">
        <v>2197</v>
      </c>
      <c r="E5" s="229"/>
      <c r="M5" s="27"/>
      <c r="N5" s="27"/>
      <c r="O5" s="85"/>
      <c r="P5" s="27"/>
    </row>
    <row r="6" spans="1:185" ht="24.75" customHeight="1">
      <c r="A6" s="228"/>
      <c r="B6" s="11"/>
      <c r="D6" s="168">
        <f ca="1">IF(D7 = "","",VLOOKUP(D7,ListAircraftNCode,3,FALSE))</f>
        <v>738</v>
      </c>
      <c r="E6" s="168" t="str">
        <f t="shared" ref="E6:AG6" si="0">IF(E7 = "","",VLOOKUP(E7,ListAircraftNCode,3,FALSE))</f>
        <v/>
      </c>
      <c r="F6" s="168" t="str">
        <f t="shared" si="0"/>
        <v/>
      </c>
      <c r="G6" s="168" t="str">
        <f t="shared" si="0"/>
        <v/>
      </c>
      <c r="H6" s="168" t="str">
        <f t="shared" si="0"/>
        <v/>
      </c>
      <c r="I6" s="168" t="str">
        <f t="shared" si="0"/>
        <v/>
      </c>
      <c r="J6" s="168" t="str">
        <f t="shared" si="0"/>
        <v/>
      </c>
      <c r="K6" s="168" t="str">
        <f t="shared" si="0"/>
        <v/>
      </c>
      <c r="L6" s="168" t="str">
        <f t="shared" si="0"/>
        <v/>
      </c>
      <c r="M6" s="168" t="str">
        <f t="shared" si="0"/>
        <v/>
      </c>
      <c r="N6" s="168" t="str">
        <f t="shared" si="0"/>
        <v/>
      </c>
      <c r="O6" s="168" t="str">
        <f t="shared" si="0"/>
        <v/>
      </c>
      <c r="P6" s="168" t="str">
        <f t="shared" si="0"/>
        <v/>
      </c>
      <c r="Q6" s="168" t="str">
        <f t="shared" si="0"/>
        <v/>
      </c>
      <c r="R6" s="168" t="str">
        <f t="shared" si="0"/>
        <v/>
      </c>
      <c r="S6" s="168" t="str">
        <f t="shared" si="0"/>
        <v/>
      </c>
      <c r="T6" s="168" t="str">
        <f t="shared" si="0"/>
        <v/>
      </c>
      <c r="U6" s="168" t="str">
        <f t="shared" si="0"/>
        <v/>
      </c>
      <c r="V6" s="168" t="str">
        <f t="shared" si="0"/>
        <v/>
      </c>
      <c r="W6" s="168" t="str">
        <f t="shared" si="0"/>
        <v/>
      </c>
      <c r="X6" s="168" t="str">
        <f t="shared" si="0"/>
        <v/>
      </c>
      <c r="Y6" s="168" t="str">
        <f t="shared" si="0"/>
        <v/>
      </c>
      <c r="Z6" s="168" t="str">
        <f t="shared" si="0"/>
        <v/>
      </c>
      <c r="AA6" s="168" t="str">
        <f t="shared" si="0"/>
        <v/>
      </c>
      <c r="AB6" s="168" t="str">
        <f t="shared" si="0"/>
        <v/>
      </c>
      <c r="AC6" s="168" t="str">
        <f t="shared" si="0"/>
        <v/>
      </c>
      <c r="AD6" s="168" t="str">
        <f t="shared" si="0"/>
        <v/>
      </c>
      <c r="AE6" s="168" t="str">
        <f t="shared" si="0"/>
        <v/>
      </c>
      <c r="AF6" s="168" t="str">
        <f t="shared" si="0"/>
        <v/>
      </c>
      <c r="AG6" s="168" t="str">
        <f t="shared" si="0"/>
        <v/>
      </c>
    </row>
    <row r="7" spans="1:185" s="253" customFormat="1" ht="14">
      <c r="A7" s="242" t="s">
        <v>2208</v>
      </c>
      <c r="B7" s="243"/>
      <c r="C7" s="488" t="s">
        <v>1849</v>
      </c>
      <c r="D7" s="257" t="s">
        <v>2119</v>
      </c>
      <c r="E7" s="292"/>
      <c r="F7" s="292"/>
      <c r="G7" s="292"/>
      <c r="H7" s="292"/>
      <c r="I7" s="292"/>
      <c r="J7" s="292"/>
      <c r="K7" s="292"/>
      <c r="L7" s="292"/>
      <c r="M7" s="292"/>
      <c r="N7" s="292"/>
      <c r="O7" s="292"/>
      <c r="P7" s="292"/>
      <c r="Q7" s="292"/>
      <c r="R7" s="292"/>
      <c r="S7" s="292"/>
      <c r="T7" s="292"/>
      <c r="U7" s="292"/>
      <c r="V7" s="292"/>
      <c r="W7" s="292"/>
      <c r="X7" s="292"/>
      <c r="Y7" s="292"/>
      <c r="Z7" s="292"/>
      <c r="AA7" s="292"/>
      <c r="AB7" s="292"/>
      <c r="AC7" s="292"/>
      <c r="AD7" s="292"/>
      <c r="AE7" s="292"/>
      <c r="AF7" s="292"/>
      <c r="AG7" s="292"/>
      <c r="AH7" s="252"/>
      <c r="AI7" s="252"/>
      <c r="AJ7" s="252"/>
      <c r="AK7" s="252"/>
      <c r="AL7" s="252"/>
      <c r="AM7" s="252"/>
      <c r="AN7" s="252"/>
      <c r="AO7" s="252"/>
      <c r="AP7" s="252"/>
      <c r="AQ7" s="252"/>
      <c r="AR7" s="252"/>
      <c r="AS7" s="252"/>
      <c r="AT7" s="252"/>
      <c r="AU7" s="252"/>
      <c r="AV7" s="252"/>
      <c r="AW7" s="252"/>
      <c r="AX7" s="252"/>
      <c r="AY7" s="252"/>
      <c r="AZ7" s="252"/>
      <c r="BA7" s="252"/>
      <c r="BB7" s="252"/>
      <c r="BC7" s="252"/>
      <c r="BD7" s="252"/>
      <c r="BE7" s="252"/>
      <c r="BF7" s="252"/>
      <c r="BG7" s="252"/>
      <c r="BH7" s="252"/>
      <c r="BI7" s="252"/>
      <c r="BJ7" s="252"/>
      <c r="BK7" s="252"/>
      <c r="BL7" s="252"/>
      <c r="BM7" s="252"/>
      <c r="BN7" s="252"/>
      <c r="BO7" s="252"/>
      <c r="BP7" s="252"/>
      <c r="BQ7" s="252"/>
      <c r="BR7" s="252"/>
      <c r="BS7" s="252"/>
      <c r="BT7" s="252"/>
      <c r="BU7" s="252"/>
      <c r="BV7" s="252"/>
      <c r="BW7" s="252"/>
      <c r="BX7" s="252"/>
      <c r="BY7" s="252"/>
      <c r="BZ7" s="252"/>
      <c r="CA7" s="252"/>
      <c r="CB7" s="252"/>
      <c r="CC7" s="252"/>
      <c r="CD7" s="252"/>
      <c r="CE7" s="252"/>
      <c r="CF7" s="252"/>
      <c r="CG7" s="252"/>
      <c r="CH7" s="252"/>
      <c r="CI7" s="252"/>
      <c r="CJ7" s="252"/>
      <c r="CK7" s="252"/>
      <c r="CL7" s="252"/>
      <c r="CM7" s="252"/>
      <c r="CN7" s="252"/>
      <c r="CO7" s="252"/>
      <c r="CP7" s="252"/>
      <c r="CQ7" s="252"/>
      <c r="CR7" s="252"/>
      <c r="CS7" s="252"/>
      <c r="CT7" s="252"/>
      <c r="CU7" s="252"/>
      <c r="CV7" s="252"/>
      <c r="CW7" s="252"/>
      <c r="CX7" s="252"/>
      <c r="CY7" s="252"/>
      <c r="CZ7" s="252"/>
      <c r="DA7" s="252"/>
      <c r="DB7" s="252"/>
      <c r="DC7" s="252"/>
      <c r="DD7" s="252"/>
      <c r="DE7" s="252"/>
      <c r="DF7" s="252"/>
      <c r="DG7" s="252"/>
      <c r="DH7" s="252"/>
      <c r="DI7" s="252"/>
      <c r="DJ7" s="252"/>
      <c r="DK7" s="252"/>
      <c r="DL7" s="252"/>
      <c r="DM7" s="252"/>
      <c r="DN7" s="252"/>
      <c r="DO7" s="252"/>
      <c r="DP7" s="252"/>
      <c r="DQ7" s="252"/>
      <c r="DR7" s="252"/>
      <c r="DS7" s="252"/>
      <c r="DT7" s="252"/>
      <c r="DU7" s="252"/>
      <c r="DV7" s="252"/>
      <c r="DW7" s="252"/>
      <c r="DX7" s="252"/>
      <c r="DY7" s="252"/>
      <c r="DZ7" s="252"/>
      <c r="EA7" s="252"/>
      <c r="EB7" s="252"/>
      <c r="EC7" s="252"/>
      <c r="ED7" s="252"/>
      <c r="EE7" s="252"/>
      <c r="EF7" s="252"/>
      <c r="EG7" s="252"/>
      <c r="EH7" s="252"/>
      <c r="EI7" s="252"/>
      <c r="EJ7" s="252"/>
      <c r="EK7" s="252"/>
      <c r="EL7" s="252"/>
      <c r="EM7" s="252"/>
      <c r="EN7" s="252"/>
      <c r="EO7" s="252"/>
      <c r="EP7" s="252"/>
      <c r="EQ7" s="252"/>
      <c r="ER7" s="252"/>
      <c r="ES7" s="252"/>
      <c r="ET7" s="252"/>
      <c r="EU7" s="252"/>
      <c r="EV7" s="252"/>
      <c r="EW7" s="252"/>
      <c r="EX7" s="252"/>
      <c r="EY7" s="252"/>
      <c r="EZ7" s="252"/>
      <c r="FA7" s="252"/>
      <c r="FB7" s="252"/>
      <c r="FC7" s="252"/>
      <c r="FD7" s="252"/>
      <c r="FE7" s="252"/>
      <c r="FF7" s="252"/>
      <c r="FG7" s="252"/>
      <c r="FH7" s="252"/>
      <c r="FI7" s="252"/>
      <c r="FJ7" s="252"/>
      <c r="FK7" s="252"/>
      <c r="FL7" s="252"/>
      <c r="FM7" s="252"/>
      <c r="FN7" s="252"/>
      <c r="FO7" s="252"/>
      <c r="FP7" s="252"/>
      <c r="FQ7" s="252"/>
      <c r="FR7" s="252"/>
      <c r="FS7" s="252"/>
      <c r="FT7" s="252"/>
      <c r="FU7" s="252"/>
      <c r="FV7" s="252"/>
      <c r="FW7" s="252"/>
      <c r="FX7" s="252"/>
      <c r="FY7" s="252"/>
      <c r="FZ7" s="252"/>
      <c r="GA7" s="252"/>
      <c r="GB7" s="252"/>
      <c r="GC7" s="252"/>
    </row>
    <row r="8" spans="1:185" s="180" customFormat="1" ht="13">
      <c r="A8" s="685" t="s">
        <v>2274</v>
      </c>
      <c r="B8" s="579" t="s">
        <v>1807</v>
      </c>
      <c r="C8" s="194">
        <f t="shared" ref="C8:C13" si="1">SUM(E8:AG8)</f>
        <v>0</v>
      </c>
      <c r="D8" s="258">
        <v>73531208.994934261</v>
      </c>
      <c r="E8" s="195"/>
      <c r="F8" s="195"/>
      <c r="G8" s="195"/>
      <c r="H8" s="195"/>
      <c r="I8" s="195"/>
      <c r="J8" s="195"/>
      <c r="K8" s="196"/>
      <c r="L8" s="196"/>
      <c r="M8" s="196"/>
      <c r="N8" s="196"/>
      <c r="O8" s="196"/>
      <c r="P8" s="196"/>
      <c r="Q8" s="196"/>
      <c r="R8" s="196"/>
      <c r="S8" s="196"/>
      <c r="T8" s="196"/>
      <c r="U8" s="196"/>
      <c r="V8" s="196"/>
      <c r="W8" s="196"/>
      <c r="X8" s="196"/>
      <c r="Y8" s="196"/>
      <c r="Z8" s="196"/>
      <c r="AA8" s="196"/>
      <c r="AB8" s="196"/>
      <c r="AC8" s="196"/>
      <c r="AD8" s="196"/>
      <c r="AE8" s="196"/>
      <c r="AF8" s="196"/>
      <c r="AG8" s="196"/>
      <c r="AH8" s="170"/>
      <c r="AI8" s="170"/>
      <c r="AJ8" s="170"/>
      <c r="AK8" s="170"/>
      <c r="AL8" s="170"/>
      <c r="AM8" s="170"/>
      <c r="AN8" s="170"/>
      <c r="AO8" s="170"/>
      <c r="AP8" s="170"/>
      <c r="AQ8" s="170"/>
      <c r="AR8" s="170"/>
      <c r="AS8" s="170"/>
      <c r="AT8" s="170"/>
      <c r="AU8" s="170"/>
      <c r="AV8" s="170"/>
      <c r="AW8" s="170"/>
      <c r="AX8" s="170"/>
      <c r="AY8" s="170"/>
      <c r="AZ8" s="170"/>
      <c r="BA8" s="170"/>
      <c r="BB8" s="170"/>
      <c r="BC8" s="170"/>
      <c r="BD8" s="170"/>
      <c r="BE8" s="170"/>
      <c r="BF8" s="170"/>
      <c r="BG8" s="170"/>
      <c r="BH8" s="170"/>
      <c r="BI8" s="170"/>
      <c r="BJ8" s="170"/>
      <c r="BK8" s="170"/>
      <c r="BL8" s="170"/>
      <c r="BM8" s="170"/>
      <c r="BN8" s="170"/>
      <c r="BO8" s="170"/>
      <c r="BP8" s="170"/>
      <c r="BQ8" s="170"/>
      <c r="BR8" s="170"/>
      <c r="BS8" s="170"/>
      <c r="BT8" s="170"/>
      <c r="BU8" s="170"/>
      <c r="BV8" s="170"/>
      <c r="BW8" s="170"/>
      <c r="BX8" s="170"/>
      <c r="BY8" s="170"/>
      <c r="BZ8" s="170"/>
      <c r="CA8" s="170"/>
      <c r="CB8" s="170"/>
      <c r="CC8" s="170"/>
      <c r="CD8" s="170"/>
      <c r="CE8" s="170"/>
      <c r="CF8" s="170"/>
      <c r="CG8" s="170"/>
      <c r="CH8" s="170"/>
      <c r="CI8" s="170"/>
      <c r="CJ8" s="170"/>
      <c r="CK8" s="170"/>
      <c r="CL8" s="170"/>
      <c r="CM8" s="170"/>
      <c r="CN8" s="170"/>
      <c r="CO8" s="170"/>
      <c r="CP8" s="170"/>
      <c r="CQ8" s="170"/>
      <c r="CR8" s="170"/>
      <c r="CS8" s="170"/>
      <c r="CT8" s="170"/>
      <c r="CU8" s="170"/>
      <c r="CV8" s="170"/>
      <c r="CW8" s="170"/>
      <c r="CX8" s="170"/>
      <c r="CY8" s="170"/>
      <c r="CZ8" s="170"/>
      <c r="DA8" s="170"/>
      <c r="DB8" s="170"/>
      <c r="DC8" s="170"/>
      <c r="DD8" s="170"/>
      <c r="DE8" s="170"/>
      <c r="DF8" s="170"/>
      <c r="DG8" s="170"/>
      <c r="DH8" s="170"/>
      <c r="DI8" s="170"/>
      <c r="DJ8" s="170"/>
      <c r="DK8" s="170"/>
      <c r="DL8" s="170"/>
      <c r="DM8" s="170"/>
      <c r="DN8" s="170"/>
      <c r="DO8" s="170"/>
      <c r="DP8" s="170"/>
      <c r="DQ8" s="170"/>
      <c r="DR8" s="170"/>
      <c r="DS8" s="170"/>
      <c r="DT8" s="170"/>
      <c r="DU8" s="170"/>
      <c r="DV8" s="170"/>
      <c r="DW8" s="170"/>
      <c r="DX8" s="170"/>
      <c r="DY8" s="170"/>
      <c r="DZ8" s="170"/>
      <c r="EA8" s="170"/>
      <c r="EB8" s="170"/>
      <c r="EC8" s="170"/>
      <c r="ED8" s="170"/>
      <c r="EE8" s="170"/>
      <c r="EF8" s="170"/>
      <c r="EG8" s="170"/>
      <c r="EH8" s="170"/>
      <c r="EI8" s="170"/>
      <c r="EJ8" s="170"/>
      <c r="EK8" s="170"/>
      <c r="EL8" s="170"/>
      <c r="EM8" s="170"/>
      <c r="EN8" s="170"/>
      <c r="EO8" s="170"/>
      <c r="EP8" s="170"/>
      <c r="EQ8" s="170"/>
      <c r="ER8" s="170"/>
      <c r="ES8" s="170"/>
      <c r="ET8" s="170"/>
      <c r="EU8" s="170"/>
      <c r="EV8" s="170"/>
      <c r="EW8" s="170"/>
      <c r="EX8" s="170"/>
      <c r="EY8" s="170"/>
      <c r="EZ8" s="170"/>
      <c r="FA8" s="170"/>
      <c r="FB8" s="170"/>
      <c r="FC8" s="170"/>
      <c r="FD8" s="170"/>
      <c r="FE8" s="170"/>
      <c r="FF8" s="170"/>
      <c r="FG8" s="170"/>
      <c r="FH8" s="170"/>
      <c r="FI8" s="170"/>
      <c r="FJ8" s="170"/>
      <c r="FK8" s="170"/>
      <c r="FL8" s="170"/>
      <c r="FM8" s="170"/>
      <c r="FN8" s="170"/>
      <c r="FO8" s="170"/>
      <c r="FP8" s="170"/>
      <c r="FQ8" s="170"/>
      <c r="FR8" s="170"/>
      <c r="FS8" s="170"/>
      <c r="FT8" s="170"/>
      <c r="FU8" s="170"/>
      <c r="FV8" s="170"/>
      <c r="FW8" s="170"/>
      <c r="FX8" s="170"/>
      <c r="FY8" s="170"/>
      <c r="FZ8" s="170"/>
      <c r="GA8" s="170"/>
      <c r="GB8" s="170"/>
      <c r="GC8" s="170"/>
    </row>
    <row r="9" spans="1:185" s="180" customFormat="1" ht="13">
      <c r="A9" s="686"/>
      <c r="B9" s="580" t="s">
        <v>1809</v>
      </c>
      <c r="C9" s="194">
        <f t="shared" si="1"/>
        <v>0</v>
      </c>
      <c r="D9" s="258">
        <v>214715972.09999999</v>
      </c>
      <c r="E9" s="195"/>
      <c r="F9" s="195"/>
      <c r="G9" s="195"/>
      <c r="H9" s="195"/>
      <c r="I9" s="195"/>
      <c r="J9" s="195"/>
      <c r="K9" s="196"/>
      <c r="L9" s="196"/>
      <c r="M9" s="196"/>
      <c r="N9" s="196"/>
      <c r="O9" s="196"/>
      <c r="P9" s="196"/>
      <c r="Q9" s="196"/>
      <c r="R9" s="196"/>
      <c r="S9" s="196"/>
      <c r="T9" s="196"/>
      <c r="U9" s="196"/>
      <c r="V9" s="196"/>
      <c r="W9" s="196"/>
      <c r="X9" s="196"/>
      <c r="Y9" s="196"/>
      <c r="Z9" s="196"/>
      <c r="AA9" s="196"/>
      <c r="AB9" s="196"/>
      <c r="AC9" s="196"/>
      <c r="AD9" s="196"/>
      <c r="AE9" s="196"/>
      <c r="AF9" s="196"/>
      <c r="AG9" s="196"/>
      <c r="AH9" s="170"/>
      <c r="AI9" s="170"/>
      <c r="AJ9" s="170"/>
      <c r="AK9" s="170"/>
      <c r="AL9" s="170"/>
      <c r="AM9" s="170"/>
      <c r="AN9" s="170"/>
      <c r="AO9" s="170"/>
      <c r="AP9" s="170"/>
      <c r="AQ9" s="170"/>
      <c r="AR9" s="170"/>
      <c r="AS9" s="170"/>
      <c r="AT9" s="170"/>
      <c r="AU9" s="170"/>
      <c r="AV9" s="170"/>
      <c r="AW9" s="170"/>
      <c r="AX9" s="170"/>
      <c r="AY9" s="170"/>
      <c r="AZ9" s="170"/>
      <c r="BA9" s="170"/>
      <c r="BB9" s="170"/>
      <c r="BC9" s="170"/>
      <c r="BD9" s="170"/>
      <c r="BE9" s="170"/>
      <c r="BF9" s="170"/>
      <c r="BG9" s="170"/>
      <c r="BH9" s="170"/>
      <c r="BI9" s="170"/>
      <c r="BJ9" s="170"/>
      <c r="BK9" s="170"/>
      <c r="BL9" s="170"/>
      <c r="BM9" s="170"/>
      <c r="BN9" s="170"/>
      <c r="BO9" s="170"/>
      <c r="BP9" s="170"/>
      <c r="BQ9" s="170"/>
      <c r="BR9" s="170"/>
      <c r="BS9" s="170"/>
      <c r="BT9" s="170"/>
      <c r="BU9" s="170"/>
      <c r="BV9" s="170"/>
      <c r="BW9" s="170"/>
      <c r="BX9" s="170"/>
      <c r="BY9" s="170"/>
      <c r="BZ9" s="170"/>
      <c r="CA9" s="170"/>
      <c r="CB9" s="170"/>
      <c r="CC9" s="170"/>
      <c r="CD9" s="170"/>
      <c r="CE9" s="170"/>
      <c r="CF9" s="170"/>
      <c r="CG9" s="170"/>
      <c r="CH9" s="170"/>
      <c r="CI9" s="170"/>
      <c r="CJ9" s="170"/>
      <c r="CK9" s="170"/>
      <c r="CL9" s="170"/>
      <c r="CM9" s="170"/>
      <c r="CN9" s="170"/>
      <c r="CO9" s="170"/>
      <c r="CP9" s="170"/>
      <c r="CQ9" s="170"/>
      <c r="CR9" s="170"/>
      <c r="CS9" s="170"/>
      <c r="CT9" s="170"/>
      <c r="CU9" s="170"/>
      <c r="CV9" s="170"/>
      <c r="CW9" s="170"/>
      <c r="CX9" s="170"/>
      <c r="CY9" s="170"/>
      <c r="CZ9" s="170"/>
      <c r="DA9" s="170"/>
      <c r="DB9" s="170"/>
      <c r="DC9" s="170"/>
      <c r="DD9" s="170"/>
      <c r="DE9" s="170"/>
      <c r="DF9" s="170"/>
      <c r="DG9" s="170"/>
      <c r="DH9" s="170"/>
      <c r="DI9" s="170"/>
      <c r="DJ9" s="170"/>
      <c r="DK9" s="170"/>
      <c r="DL9" s="170"/>
      <c r="DM9" s="170"/>
      <c r="DN9" s="170"/>
      <c r="DO9" s="170"/>
      <c r="DP9" s="170"/>
      <c r="DQ9" s="170"/>
      <c r="DR9" s="170"/>
      <c r="DS9" s="170"/>
      <c r="DT9" s="170"/>
      <c r="DU9" s="170"/>
      <c r="DV9" s="170"/>
      <c r="DW9" s="170"/>
      <c r="DX9" s="170"/>
      <c r="DY9" s="170"/>
      <c r="DZ9" s="170"/>
      <c r="EA9" s="170"/>
      <c r="EB9" s="170"/>
      <c r="EC9" s="170"/>
      <c r="ED9" s="170"/>
      <c r="EE9" s="170"/>
      <c r="EF9" s="170"/>
      <c r="EG9" s="170"/>
      <c r="EH9" s="170"/>
      <c r="EI9" s="170"/>
      <c r="EJ9" s="170"/>
      <c r="EK9" s="170"/>
      <c r="EL9" s="170"/>
      <c r="EM9" s="170"/>
      <c r="EN9" s="170"/>
      <c r="EO9" s="170"/>
      <c r="EP9" s="170"/>
      <c r="EQ9" s="170"/>
      <c r="ER9" s="170"/>
      <c r="ES9" s="170"/>
      <c r="ET9" s="170"/>
      <c r="EU9" s="170"/>
      <c r="EV9" s="170"/>
      <c r="EW9" s="170"/>
      <c r="EX9" s="170"/>
      <c r="EY9" s="170"/>
      <c r="EZ9" s="170"/>
      <c r="FA9" s="170"/>
      <c r="FB9" s="170"/>
      <c r="FC9" s="170"/>
      <c r="FD9" s="170"/>
      <c r="FE9" s="170"/>
      <c r="FF9" s="170"/>
      <c r="FG9" s="170"/>
      <c r="FH9" s="170"/>
      <c r="FI9" s="170"/>
      <c r="FJ9" s="170"/>
      <c r="FK9" s="170"/>
      <c r="FL9" s="170"/>
      <c r="FM9" s="170"/>
      <c r="FN9" s="170"/>
      <c r="FO9" s="170"/>
      <c r="FP9" s="170"/>
      <c r="FQ9" s="170"/>
      <c r="FR9" s="170"/>
      <c r="FS9" s="170"/>
      <c r="FT9" s="170"/>
      <c r="FU9" s="170"/>
      <c r="FV9" s="170"/>
      <c r="FW9" s="170"/>
      <c r="FX9" s="170"/>
      <c r="FY9" s="170"/>
      <c r="FZ9" s="170"/>
      <c r="GA9" s="170"/>
      <c r="GB9" s="170"/>
      <c r="GC9" s="170"/>
    </row>
    <row r="10" spans="1:185" s="180" customFormat="1" ht="13">
      <c r="A10" s="686"/>
      <c r="B10" s="581" t="s">
        <v>1796</v>
      </c>
      <c r="C10" s="194">
        <f t="shared" si="1"/>
        <v>0</v>
      </c>
      <c r="D10" s="258">
        <v>689068.55680407118</v>
      </c>
      <c r="E10" s="195"/>
      <c r="F10" s="195"/>
      <c r="G10" s="195"/>
      <c r="H10" s="195"/>
      <c r="I10" s="195"/>
      <c r="J10" s="195"/>
      <c r="K10" s="196"/>
      <c r="L10" s="196"/>
      <c r="M10" s="196"/>
      <c r="N10" s="196"/>
      <c r="O10" s="196"/>
      <c r="P10" s="196"/>
      <c r="Q10" s="196"/>
      <c r="R10" s="196"/>
      <c r="S10" s="196"/>
      <c r="T10" s="196"/>
      <c r="U10" s="196"/>
      <c r="V10" s="196"/>
      <c r="W10" s="196"/>
      <c r="X10" s="196"/>
      <c r="Y10" s="196"/>
      <c r="Z10" s="196"/>
      <c r="AA10" s="196"/>
      <c r="AB10" s="196"/>
      <c r="AC10" s="196"/>
      <c r="AD10" s="196"/>
      <c r="AE10" s="196"/>
      <c r="AF10" s="196"/>
      <c r="AG10" s="196"/>
      <c r="AH10" s="170"/>
      <c r="AI10" s="170"/>
      <c r="AJ10" s="170"/>
      <c r="AK10" s="170"/>
      <c r="AL10" s="170"/>
      <c r="AM10" s="170"/>
      <c r="AN10" s="170"/>
      <c r="AO10" s="170"/>
      <c r="AP10" s="170"/>
      <c r="AQ10" s="170"/>
      <c r="AR10" s="170"/>
      <c r="AS10" s="170"/>
      <c r="AT10" s="170"/>
      <c r="AU10" s="170"/>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c r="BR10" s="170"/>
      <c r="BS10" s="170"/>
      <c r="BT10" s="170"/>
      <c r="BU10" s="170"/>
      <c r="BV10" s="170"/>
      <c r="BW10" s="170"/>
      <c r="BX10" s="170"/>
      <c r="BY10" s="170"/>
      <c r="BZ10" s="170"/>
      <c r="CA10" s="170"/>
      <c r="CB10" s="170"/>
      <c r="CC10" s="170"/>
      <c r="CD10" s="170"/>
      <c r="CE10" s="170"/>
      <c r="CF10" s="170"/>
      <c r="CG10" s="170"/>
      <c r="CH10" s="170"/>
      <c r="CI10" s="170"/>
      <c r="CJ10" s="170"/>
      <c r="CK10" s="170"/>
      <c r="CL10" s="170"/>
      <c r="CM10" s="170"/>
      <c r="CN10" s="170"/>
      <c r="CO10" s="170"/>
      <c r="CP10" s="170"/>
      <c r="CQ10" s="170"/>
      <c r="CR10" s="170"/>
      <c r="CS10" s="170"/>
      <c r="CT10" s="170"/>
      <c r="CU10" s="170"/>
      <c r="CV10" s="170"/>
      <c r="CW10" s="170"/>
      <c r="CX10" s="170"/>
      <c r="CY10" s="170"/>
      <c r="CZ10" s="170"/>
      <c r="DA10" s="170"/>
      <c r="DB10" s="170"/>
      <c r="DC10" s="170"/>
      <c r="DD10" s="170"/>
      <c r="DE10" s="170"/>
      <c r="DF10" s="170"/>
      <c r="DG10" s="170"/>
      <c r="DH10" s="170"/>
      <c r="DI10" s="170"/>
      <c r="DJ10" s="170"/>
      <c r="DK10" s="170"/>
      <c r="DL10" s="170"/>
      <c r="DM10" s="170"/>
      <c r="DN10" s="170"/>
      <c r="DO10" s="170"/>
      <c r="DP10" s="170"/>
      <c r="DQ10" s="170"/>
      <c r="DR10" s="170"/>
      <c r="DS10" s="170"/>
      <c r="DT10" s="170"/>
      <c r="DU10" s="170"/>
      <c r="DV10" s="170"/>
      <c r="DW10" s="170"/>
      <c r="DX10" s="170"/>
      <c r="DY10" s="170"/>
      <c r="DZ10" s="170"/>
      <c r="EA10" s="170"/>
      <c r="EB10" s="170"/>
      <c r="EC10" s="170"/>
      <c r="ED10" s="170"/>
      <c r="EE10" s="170"/>
      <c r="EF10" s="170"/>
      <c r="EG10" s="170"/>
      <c r="EH10" s="170"/>
      <c r="EI10" s="170"/>
      <c r="EJ10" s="170"/>
      <c r="EK10" s="170"/>
      <c r="EL10" s="170"/>
      <c r="EM10" s="170"/>
      <c r="EN10" s="170"/>
      <c r="EO10" s="170"/>
      <c r="EP10" s="170"/>
      <c r="EQ10" s="170"/>
      <c r="ER10" s="170"/>
      <c r="ES10" s="170"/>
      <c r="ET10" s="170"/>
      <c r="EU10" s="170"/>
      <c r="EV10" s="170"/>
      <c r="EW10" s="170"/>
      <c r="EX10" s="170"/>
      <c r="EY10" s="170"/>
      <c r="EZ10" s="170"/>
      <c r="FA10" s="170"/>
      <c r="FB10" s="170"/>
      <c r="FC10" s="170"/>
      <c r="FD10" s="170"/>
      <c r="FE10" s="170"/>
      <c r="FF10" s="170"/>
      <c r="FG10" s="170"/>
      <c r="FH10" s="170"/>
      <c r="FI10" s="170"/>
      <c r="FJ10" s="170"/>
      <c r="FK10" s="170"/>
      <c r="FL10" s="170"/>
      <c r="FM10" s="170"/>
      <c r="FN10" s="170"/>
      <c r="FO10" s="170"/>
      <c r="FP10" s="170"/>
      <c r="FQ10" s="170"/>
      <c r="FR10" s="170"/>
      <c r="FS10" s="170"/>
      <c r="FT10" s="170"/>
      <c r="FU10" s="170"/>
      <c r="FV10" s="170"/>
      <c r="FW10" s="170"/>
      <c r="FX10" s="170"/>
      <c r="FY10" s="170"/>
      <c r="FZ10" s="170"/>
      <c r="GA10" s="170"/>
      <c r="GB10" s="170"/>
      <c r="GC10" s="170"/>
    </row>
    <row r="11" spans="1:185" s="180" customFormat="1" ht="13">
      <c r="A11" s="686"/>
      <c r="B11" s="581" t="s">
        <v>2303</v>
      </c>
      <c r="C11" s="194">
        <f t="shared" si="1"/>
        <v>0</v>
      </c>
      <c r="D11" s="258">
        <v>42935792.579999998</v>
      </c>
      <c r="E11" s="624"/>
      <c r="F11" s="195"/>
      <c r="G11" s="195"/>
      <c r="H11" s="195"/>
      <c r="I11" s="195"/>
      <c r="J11" s="195"/>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c r="BO11" s="170"/>
      <c r="BP11" s="170"/>
      <c r="BQ11" s="170"/>
      <c r="BR11" s="170"/>
      <c r="BS11" s="170"/>
      <c r="BT11" s="170"/>
      <c r="BU11" s="170"/>
      <c r="BV11" s="170"/>
      <c r="BW11" s="170"/>
      <c r="BX11" s="170"/>
      <c r="BY11" s="170"/>
      <c r="BZ11" s="170"/>
      <c r="CA11" s="170"/>
      <c r="CB11" s="170"/>
      <c r="CC11" s="170"/>
      <c r="CD11" s="170"/>
      <c r="CE11" s="170"/>
      <c r="CF11" s="170"/>
      <c r="CG11" s="170"/>
      <c r="CH11" s="170"/>
      <c r="CI11" s="170"/>
      <c r="CJ11" s="170"/>
      <c r="CK11" s="170"/>
      <c r="CL11" s="170"/>
      <c r="CM11" s="170"/>
      <c r="CN11" s="170"/>
      <c r="CO11" s="170"/>
      <c r="CP11" s="170"/>
      <c r="CQ11" s="170"/>
      <c r="CR11" s="170"/>
      <c r="CS11" s="170"/>
      <c r="CT11" s="170"/>
      <c r="CU11" s="170"/>
      <c r="CV11" s="170"/>
      <c r="CW11" s="170"/>
      <c r="CX11" s="170"/>
      <c r="CY11" s="170"/>
      <c r="CZ11" s="170"/>
      <c r="DA11" s="170"/>
      <c r="DB11" s="170"/>
      <c r="DC11" s="170"/>
      <c r="DD11" s="170"/>
      <c r="DE11" s="170"/>
      <c r="DF11" s="170"/>
      <c r="DG11" s="170"/>
      <c r="DH11" s="170"/>
      <c r="DI11" s="170"/>
      <c r="DJ11" s="170"/>
      <c r="DK11" s="170"/>
      <c r="DL11" s="170"/>
      <c r="DM11" s="170"/>
      <c r="DN11" s="170"/>
      <c r="DO11" s="170"/>
      <c r="DP11" s="170"/>
      <c r="DQ11" s="170"/>
      <c r="DR11" s="170"/>
      <c r="DS11" s="170"/>
      <c r="DT11" s="170"/>
      <c r="DU11" s="170"/>
      <c r="DV11" s="170"/>
      <c r="DW11" s="170"/>
      <c r="DX11" s="170"/>
      <c r="DY11" s="170"/>
      <c r="DZ11" s="170"/>
      <c r="EA11" s="170"/>
      <c r="EB11" s="170"/>
      <c r="EC11" s="170"/>
      <c r="ED11" s="170"/>
      <c r="EE11" s="170"/>
      <c r="EF11" s="170"/>
      <c r="EG11" s="170"/>
      <c r="EH11" s="170"/>
      <c r="EI11" s="170"/>
      <c r="EJ11" s="170"/>
      <c r="EK11" s="170"/>
      <c r="EL11" s="170"/>
      <c r="EM11" s="170"/>
      <c r="EN11" s="170"/>
      <c r="EO11" s="170"/>
      <c r="EP11" s="170"/>
      <c r="EQ11" s="170"/>
      <c r="ER11" s="170"/>
      <c r="ES11" s="170"/>
      <c r="ET11" s="170"/>
      <c r="EU11" s="170"/>
      <c r="EV11" s="170"/>
      <c r="EW11" s="170"/>
      <c r="EX11" s="170"/>
      <c r="EY11" s="170"/>
      <c r="EZ11" s="170"/>
      <c r="FA11" s="170"/>
      <c r="FB11" s="170"/>
      <c r="FC11" s="170"/>
      <c r="FD11" s="170"/>
      <c r="FE11" s="170"/>
      <c r="FF11" s="170"/>
      <c r="FG11" s="170"/>
      <c r="FH11" s="170"/>
      <c r="FI11" s="170"/>
      <c r="FJ11" s="170"/>
      <c r="FK11" s="170"/>
      <c r="FL11" s="170"/>
      <c r="FM11" s="170"/>
      <c r="FN11" s="170"/>
      <c r="FO11" s="170"/>
      <c r="FP11" s="170"/>
      <c r="FQ11" s="170"/>
      <c r="FR11" s="170"/>
      <c r="FS11" s="170"/>
      <c r="FT11" s="170"/>
      <c r="FU11" s="170"/>
      <c r="FV11" s="170"/>
      <c r="FW11" s="170"/>
      <c r="FX11" s="170"/>
      <c r="FY11" s="170"/>
      <c r="FZ11" s="170"/>
      <c r="GA11" s="170"/>
      <c r="GB11" s="170"/>
      <c r="GC11" s="170"/>
    </row>
    <row r="12" spans="1:185" s="180" customFormat="1" ht="13">
      <c r="A12" s="686"/>
      <c r="B12" s="581" t="s">
        <v>1877</v>
      </c>
      <c r="C12" s="194">
        <f t="shared" si="1"/>
        <v>0</v>
      </c>
      <c r="D12" s="258">
        <v>51256605.93</v>
      </c>
      <c r="E12" s="195"/>
      <c r="F12" s="195"/>
      <c r="G12" s="195"/>
      <c r="H12" s="195"/>
      <c r="I12" s="195"/>
      <c r="J12" s="195"/>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70"/>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170"/>
      <c r="BE12" s="170"/>
      <c r="BF12" s="170"/>
      <c r="BG12" s="170"/>
      <c r="BH12" s="170"/>
      <c r="BI12" s="170"/>
      <c r="BJ12" s="170"/>
      <c r="BK12" s="170"/>
      <c r="BL12" s="170"/>
      <c r="BM12" s="170"/>
      <c r="BN12" s="170"/>
      <c r="BO12" s="170"/>
      <c r="BP12" s="170"/>
      <c r="BQ12" s="170"/>
      <c r="BR12" s="170"/>
      <c r="BS12" s="170"/>
      <c r="BT12" s="170"/>
      <c r="BU12" s="170"/>
      <c r="BV12" s="170"/>
      <c r="BW12" s="170"/>
      <c r="BX12" s="170"/>
      <c r="BY12" s="170"/>
      <c r="BZ12" s="170"/>
      <c r="CA12" s="170"/>
      <c r="CB12" s="170"/>
      <c r="CC12" s="170"/>
      <c r="CD12" s="170"/>
      <c r="CE12" s="170"/>
      <c r="CF12" s="170"/>
      <c r="CG12" s="170"/>
      <c r="CH12" s="170"/>
      <c r="CI12" s="170"/>
      <c r="CJ12" s="170"/>
      <c r="CK12" s="170"/>
      <c r="CL12" s="170"/>
      <c r="CM12" s="170"/>
      <c r="CN12" s="170"/>
      <c r="CO12" s="170"/>
      <c r="CP12" s="170"/>
      <c r="CQ12" s="170"/>
      <c r="CR12" s="170"/>
      <c r="CS12" s="170"/>
      <c r="CT12" s="170"/>
      <c r="CU12" s="170"/>
      <c r="CV12" s="170"/>
      <c r="CW12" s="170"/>
      <c r="CX12" s="170"/>
      <c r="CY12" s="170"/>
      <c r="CZ12" s="170"/>
      <c r="DA12" s="170"/>
      <c r="DB12" s="170"/>
      <c r="DC12" s="170"/>
      <c r="DD12" s="170"/>
      <c r="DE12" s="170"/>
      <c r="DF12" s="170"/>
      <c r="DG12" s="170"/>
      <c r="DH12" s="170"/>
      <c r="DI12" s="170"/>
      <c r="DJ12" s="170"/>
      <c r="DK12" s="170"/>
      <c r="DL12" s="170"/>
      <c r="DM12" s="170"/>
      <c r="DN12" s="170"/>
      <c r="DO12" s="170"/>
      <c r="DP12" s="170"/>
      <c r="DQ12" s="170"/>
      <c r="DR12" s="170"/>
      <c r="DS12" s="170"/>
      <c r="DT12" s="170"/>
      <c r="DU12" s="170"/>
      <c r="DV12" s="170"/>
      <c r="DW12" s="170"/>
      <c r="DX12" s="170"/>
      <c r="DY12" s="170"/>
      <c r="DZ12" s="170"/>
      <c r="EA12" s="170"/>
      <c r="EB12" s="170"/>
      <c r="EC12" s="170"/>
      <c r="ED12" s="170"/>
      <c r="EE12" s="170"/>
      <c r="EF12" s="170"/>
      <c r="EG12" s="170"/>
      <c r="EH12" s="170"/>
      <c r="EI12" s="170"/>
      <c r="EJ12" s="170"/>
      <c r="EK12" s="170"/>
      <c r="EL12" s="170"/>
      <c r="EM12" s="170"/>
      <c r="EN12" s="170"/>
      <c r="EO12" s="170"/>
      <c r="EP12" s="170"/>
      <c r="EQ12" s="170"/>
      <c r="ER12" s="170"/>
      <c r="ES12" s="170"/>
      <c r="ET12" s="170"/>
      <c r="EU12" s="170"/>
      <c r="EV12" s="170"/>
      <c r="EW12" s="170"/>
      <c r="EX12" s="170"/>
      <c r="EY12" s="170"/>
      <c r="EZ12" s="170"/>
      <c r="FA12" s="170"/>
      <c r="FB12" s="170"/>
      <c r="FC12" s="170"/>
      <c r="FD12" s="170"/>
      <c r="FE12" s="170"/>
      <c r="FF12" s="170"/>
      <c r="FG12" s="170"/>
      <c r="FH12" s="170"/>
      <c r="FI12" s="170"/>
      <c r="FJ12" s="170"/>
      <c r="FK12" s="170"/>
      <c r="FL12" s="170"/>
      <c r="FM12" s="170"/>
      <c r="FN12" s="170"/>
      <c r="FO12" s="170"/>
      <c r="FP12" s="170"/>
      <c r="FQ12" s="170"/>
      <c r="FR12" s="170"/>
      <c r="FS12" s="170"/>
      <c r="FT12" s="170"/>
      <c r="FU12" s="170"/>
      <c r="FV12" s="170"/>
      <c r="FW12" s="170"/>
      <c r="FX12" s="170"/>
      <c r="FY12" s="170"/>
      <c r="FZ12" s="170"/>
      <c r="GA12" s="170"/>
      <c r="GB12" s="170"/>
      <c r="GC12" s="170"/>
    </row>
    <row r="13" spans="1:185" s="180" customFormat="1" ht="13">
      <c r="A13" s="686"/>
      <c r="B13" s="581" t="s">
        <v>2227</v>
      </c>
      <c r="C13" s="194">
        <f t="shared" si="1"/>
        <v>0</v>
      </c>
      <c r="D13" s="258">
        <v>35209868.189999998</v>
      </c>
      <c r="E13" s="195"/>
      <c r="F13" s="195"/>
      <c r="G13" s="195"/>
      <c r="H13" s="195"/>
      <c r="I13" s="195"/>
      <c r="J13" s="195"/>
      <c r="K13" s="195"/>
      <c r="L13" s="195"/>
      <c r="M13" s="195"/>
      <c r="N13" s="195"/>
      <c r="O13" s="195"/>
      <c r="P13" s="195"/>
      <c r="Q13" s="195"/>
      <c r="R13" s="195"/>
      <c r="S13" s="195"/>
      <c r="T13" s="195"/>
      <c r="U13" s="195"/>
      <c r="V13" s="195"/>
      <c r="W13" s="195"/>
      <c r="X13" s="195"/>
      <c r="Y13" s="195"/>
      <c r="Z13" s="195"/>
      <c r="AA13" s="195"/>
      <c r="AB13" s="195"/>
      <c r="AC13" s="195"/>
      <c r="AD13" s="195"/>
      <c r="AE13" s="195"/>
      <c r="AF13" s="195"/>
      <c r="AG13" s="195"/>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c r="BR13" s="170"/>
      <c r="BS13" s="170"/>
      <c r="BT13" s="170"/>
      <c r="BU13" s="170"/>
      <c r="BV13" s="170"/>
      <c r="BW13" s="170"/>
      <c r="BX13" s="170"/>
      <c r="BY13" s="170"/>
      <c r="BZ13" s="170"/>
      <c r="CA13" s="170"/>
      <c r="CB13" s="170"/>
      <c r="CC13" s="170"/>
      <c r="CD13" s="170"/>
      <c r="CE13" s="170"/>
      <c r="CF13" s="170"/>
      <c r="CG13" s="170"/>
      <c r="CH13" s="170"/>
      <c r="CI13" s="170"/>
      <c r="CJ13" s="170"/>
      <c r="CK13" s="170"/>
      <c r="CL13" s="170"/>
      <c r="CM13" s="170"/>
      <c r="CN13" s="170"/>
      <c r="CO13" s="170"/>
      <c r="CP13" s="170"/>
      <c r="CQ13" s="170"/>
      <c r="CR13" s="170"/>
      <c r="CS13" s="170"/>
      <c r="CT13" s="170"/>
      <c r="CU13" s="170"/>
      <c r="CV13" s="170"/>
      <c r="CW13" s="170"/>
      <c r="CX13" s="170"/>
      <c r="CY13" s="170"/>
      <c r="CZ13" s="170"/>
      <c r="DA13" s="170"/>
      <c r="DB13" s="170"/>
      <c r="DC13" s="170"/>
      <c r="DD13" s="170"/>
      <c r="DE13" s="170"/>
      <c r="DF13" s="170"/>
      <c r="DG13" s="170"/>
      <c r="DH13" s="170"/>
      <c r="DI13" s="170"/>
      <c r="DJ13" s="170"/>
      <c r="DK13" s="170"/>
      <c r="DL13" s="170"/>
      <c r="DM13" s="170"/>
      <c r="DN13" s="170"/>
      <c r="DO13" s="170"/>
      <c r="DP13" s="170"/>
      <c r="DQ13" s="170"/>
      <c r="DR13" s="170"/>
      <c r="DS13" s="170"/>
      <c r="DT13" s="170"/>
      <c r="DU13" s="170"/>
      <c r="DV13" s="170"/>
      <c r="DW13" s="170"/>
      <c r="DX13" s="170"/>
      <c r="DY13" s="170"/>
      <c r="DZ13" s="170"/>
      <c r="EA13" s="170"/>
      <c r="EB13" s="170"/>
      <c r="EC13" s="170"/>
      <c r="ED13" s="170"/>
      <c r="EE13" s="170"/>
      <c r="EF13" s="170"/>
      <c r="EG13" s="170"/>
      <c r="EH13" s="170"/>
      <c r="EI13" s="170"/>
      <c r="EJ13" s="170"/>
      <c r="EK13" s="170"/>
      <c r="EL13" s="170"/>
      <c r="EM13" s="170"/>
      <c r="EN13" s="170"/>
      <c r="EO13" s="170"/>
      <c r="EP13" s="170"/>
      <c r="EQ13" s="170"/>
      <c r="ER13" s="170"/>
      <c r="ES13" s="170"/>
      <c r="ET13" s="170"/>
      <c r="EU13" s="170"/>
      <c r="EV13" s="170"/>
      <c r="EW13" s="170"/>
      <c r="EX13" s="170"/>
      <c r="EY13" s="170"/>
      <c r="EZ13" s="170"/>
      <c r="FA13" s="170"/>
      <c r="FB13" s="170"/>
      <c r="FC13" s="170"/>
      <c r="FD13" s="170"/>
      <c r="FE13" s="170"/>
      <c r="FF13" s="170"/>
      <c r="FG13" s="170"/>
      <c r="FH13" s="170"/>
      <c r="FI13" s="170"/>
      <c r="FJ13" s="170"/>
      <c r="FK13" s="170"/>
      <c r="FL13" s="170"/>
      <c r="FM13" s="170"/>
      <c r="FN13" s="170"/>
      <c r="FO13" s="170"/>
      <c r="FP13" s="170"/>
      <c r="FQ13" s="170"/>
      <c r="FR13" s="170"/>
      <c r="FS13" s="170"/>
      <c r="FT13" s="170"/>
      <c r="FU13" s="170"/>
      <c r="FV13" s="170"/>
      <c r="FW13" s="170"/>
      <c r="FX13" s="170"/>
      <c r="FY13" s="170"/>
      <c r="FZ13" s="170"/>
      <c r="GA13" s="170"/>
      <c r="GB13" s="170"/>
      <c r="GC13" s="170"/>
    </row>
    <row r="14" spans="1:185" s="289" customFormat="1" ht="15" customHeight="1">
      <c r="A14" s="687"/>
      <c r="B14" s="438" t="s">
        <v>2364</v>
      </c>
      <c r="C14" s="442">
        <f>SUM(E14:AG14)</f>
        <v>0</v>
      </c>
      <c r="D14" s="443">
        <f>D8+D9+D10+D11+D12+D13</f>
        <v>418338516.35173827</v>
      </c>
      <c r="E14" s="442">
        <f>E8+E9+E10+E11+E12+E13</f>
        <v>0</v>
      </c>
      <c r="F14" s="442">
        <f>F8+F9+F10+F11+F12+F13</f>
        <v>0</v>
      </c>
      <c r="G14" s="442">
        <f t="shared" ref="G14:AG14" si="2">G8+G9+G10+G11+G12+G13</f>
        <v>0</v>
      </c>
      <c r="H14" s="442">
        <f t="shared" si="2"/>
        <v>0</v>
      </c>
      <c r="I14" s="442">
        <f t="shared" si="2"/>
        <v>0</v>
      </c>
      <c r="J14" s="442">
        <f t="shared" si="2"/>
        <v>0</v>
      </c>
      <c r="K14" s="442">
        <f t="shared" si="2"/>
        <v>0</v>
      </c>
      <c r="L14" s="442">
        <f t="shared" si="2"/>
        <v>0</v>
      </c>
      <c r="M14" s="442">
        <f t="shared" si="2"/>
        <v>0</v>
      </c>
      <c r="N14" s="442">
        <f t="shared" si="2"/>
        <v>0</v>
      </c>
      <c r="O14" s="442">
        <f t="shared" si="2"/>
        <v>0</v>
      </c>
      <c r="P14" s="442">
        <f t="shared" si="2"/>
        <v>0</v>
      </c>
      <c r="Q14" s="442">
        <f t="shared" si="2"/>
        <v>0</v>
      </c>
      <c r="R14" s="442">
        <f t="shared" si="2"/>
        <v>0</v>
      </c>
      <c r="S14" s="442">
        <f t="shared" si="2"/>
        <v>0</v>
      </c>
      <c r="T14" s="442">
        <f t="shared" si="2"/>
        <v>0</v>
      </c>
      <c r="U14" s="442">
        <f t="shared" si="2"/>
        <v>0</v>
      </c>
      <c r="V14" s="442">
        <f t="shared" si="2"/>
        <v>0</v>
      </c>
      <c r="W14" s="442">
        <f t="shared" si="2"/>
        <v>0</v>
      </c>
      <c r="X14" s="442">
        <f t="shared" si="2"/>
        <v>0</v>
      </c>
      <c r="Y14" s="442">
        <f t="shared" si="2"/>
        <v>0</v>
      </c>
      <c r="Z14" s="442">
        <f t="shared" si="2"/>
        <v>0</v>
      </c>
      <c r="AA14" s="442">
        <f t="shared" si="2"/>
        <v>0</v>
      </c>
      <c r="AB14" s="442">
        <f t="shared" si="2"/>
        <v>0</v>
      </c>
      <c r="AC14" s="442">
        <f t="shared" si="2"/>
        <v>0</v>
      </c>
      <c r="AD14" s="442">
        <f t="shared" si="2"/>
        <v>0</v>
      </c>
      <c r="AE14" s="442">
        <f t="shared" si="2"/>
        <v>0</v>
      </c>
      <c r="AF14" s="442">
        <f t="shared" si="2"/>
        <v>0</v>
      </c>
      <c r="AG14" s="442">
        <f t="shared" si="2"/>
        <v>0</v>
      </c>
      <c r="AH14" s="172"/>
      <c r="AI14" s="172"/>
      <c r="AJ14" s="172"/>
      <c r="AK14" s="172"/>
      <c r="AL14" s="172"/>
      <c r="AM14" s="172"/>
      <c r="AN14" s="172"/>
      <c r="AO14" s="172"/>
      <c r="AP14" s="172"/>
      <c r="AQ14" s="172"/>
      <c r="AR14" s="172"/>
      <c r="AS14" s="172"/>
      <c r="AT14" s="172"/>
      <c r="AU14" s="172"/>
      <c r="AV14" s="172"/>
      <c r="AW14" s="172"/>
      <c r="AX14" s="172"/>
      <c r="AY14" s="172"/>
      <c r="AZ14" s="172"/>
      <c r="BA14" s="172"/>
      <c r="BB14" s="172"/>
      <c r="BC14" s="172"/>
      <c r="BD14" s="172"/>
      <c r="BE14" s="172"/>
      <c r="BF14" s="172"/>
      <c r="BG14" s="172"/>
      <c r="BH14" s="172"/>
      <c r="BI14" s="172"/>
      <c r="BJ14" s="172"/>
      <c r="BK14" s="172"/>
      <c r="BL14" s="172"/>
      <c r="BM14" s="172"/>
      <c r="BN14" s="172"/>
      <c r="BO14" s="172"/>
      <c r="BP14" s="172"/>
      <c r="BQ14" s="172"/>
      <c r="BR14" s="172"/>
      <c r="BS14" s="172"/>
      <c r="BT14" s="172"/>
      <c r="BU14" s="172"/>
      <c r="BV14" s="172"/>
      <c r="BW14" s="172"/>
      <c r="BX14" s="172"/>
      <c r="BY14" s="172"/>
      <c r="BZ14" s="172"/>
      <c r="CA14" s="172"/>
      <c r="CB14" s="172"/>
      <c r="CC14" s="172"/>
      <c r="CD14" s="172"/>
      <c r="CE14" s="172"/>
      <c r="CF14" s="172"/>
      <c r="CG14" s="172"/>
      <c r="CH14" s="172"/>
      <c r="CI14" s="172"/>
      <c r="CJ14" s="172"/>
      <c r="CK14" s="172"/>
      <c r="CL14" s="172"/>
      <c r="CM14" s="172"/>
      <c r="CN14" s="172"/>
      <c r="CO14" s="172"/>
      <c r="CP14" s="172"/>
      <c r="CQ14" s="172"/>
      <c r="CR14" s="172"/>
      <c r="CS14" s="172"/>
      <c r="CT14" s="172"/>
      <c r="CU14" s="172"/>
      <c r="CV14" s="172"/>
      <c r="CW14" s="172"/>
      <c r="CX14" s="172"/>
      <c r="CY14" s="172"/>
      <c r="CZ14" s="172"/>
      <c r="DA14" s="172"/>
      <c r="DB14" s="172"/>
      <c r="DC14" s="172"/>
      <c r="DD14" s="172"/>
      <c r="DE14" s="172"/>
      <c r="DF14" s="172"/>
      <c r="DG14" s="172"/>
      <c r="DH14" s="172"/>
      <c r="DI14" s="172"/>
      <c r="DJ14" s="172"/>
      <c r="DK14" s="172"/>
      <c r="DL14" s="172"/>
      <c r="DM14" s="172"/>
      <c r="DN14" s="172"/>
      <c r="DO14" s="172"/>
      <c r="DP14" s="172"/>
      <c r="DQ14" s="172"/>
      <c r="DR14" s="172"/>
      <c r="DS14" s="172"/>
      <c r="DT14" s="172"/>
      <c r="DU14" s="172"/>
      <c r="DV14" s="172"/>
      <c r="DW14" s="172"/>
      <c r="DX14" s="172"/>
      <c r="DY14" s="172"/>
      <c r="DZ14" s="172"/>
      <c r="EA14" s="172"/>
      <c r="EB14" s="172"/>
      <c r="EC14" s="172"/>
      <c r="ED14" s="172"/>
      <c r="EE14" s="172"/>
      <c r="EF14" s="172"/>
      <c r="EG14" s="172"/>
      <c r="EH14" s="172"/>
      <c r="EI14" s="172"/>
      <c r="EJ14" s="172"/>
      <c r="EK14" s="172"/>
      <c r="EL14" s="172"/>
      <c r="EM14" s="172"/>
      <c r="EN14" s="172"/>
      <c r="EO14" s="172"/>
      <c r="EP14" s="172"/>
      <c r="EQ14" s="172"/>
      <c r="ER14" s="172"/>
      <c r="ES14" s="172"/>
      <c r="ET14" s="172"/>
      <c r="EU14" s="172"/>
      <c r="EV14" s="172"/>
      <c r="EW14" s="172"/>
      <c r="EX14" s="172"/>
      <c r="EY14" s="172"/>
      <c r="EZ14" s="172"/>
      <c r="FA14" s="172"/>
      <c r="FB14" s="172"/>
      <c r="FC14" s="172"/>
      <c r="FD14" s="172"/>
      <c r="FE14" s="172"/>
      <c r="FF14" s="172"/>
      <c r="FG14" s="172"/>
      <c r="FH14" s="172"/>
      <c r="FI14" s="172"/>
      <c r="FJ14" s="172"/>
      <c r="FK14" s="172"/>
      <c r="FL14" s="172"/>
      <c r="FM14" s="172"/>
      <c r="FN14" s="172"/>
      <c r="FO14" s="172"/>
      <c r="FP14" s="172"/>
      <c r="FQ14" s="172"/>
      <c r="FR14" s="172"/>
      <c r="FS14" s="172"/>
      <c r="FT14" s="172"/>
      <c r="FU14" s="172"/>
      <c r="FV14" s="172"/>
      <c r="FW14" s="172"/>
      <c r="FX14" s="172"/>
      <c r="FY14" s="172"/>
      <c r="FZ14" s="172"/>
      <c r="GA14" s="172"/>
      <c r="GB14" s="172"/>
      <c r="GC14" s="172"/>
    </row>
    <row r="15" spans="1:185" s="180" customFormat="1" ht="7.5" customHeight="1">
      <c r="A15" s="290"/>
      <c r="B15" s="290"/>
      <c r="C15" s="290"/>
      <c r="D15" s="290"/>
      <c r="E15" s="290"/>
      <c r="F15" s="290"/>
      <c r="G15" s="290"/>
      <c r="H15" s="290"/>
      <c r="I15" s="290"/>
      <c r="J15" s="290"/>
      <c r="K15" s="290"/>
      <c r="L15" s="290"/>
      <c r="M15" s="290"/>
      <c r="N15" s="290"/>
      <c r="O15" s="290"/>
      <c r="P15" s="290"/>
      <c r="Q15" s="290"/>
      <c r="R15" s="290"/>
      <c r="S15" s="290"/>
      <c r="T15" s="290"/>
      <c r="U15" s="290"/>
      <c r="V15" s="290"/>
      <c r="W15" s="290"/>
      <c r="X15" s="290"/>
      <c r="Y15" s="290"/>
      <c r="Z15" s="290"/>
      <c r="AA15" s="290"/>
      <c r="AB15" s="290"/>
      <c r="AC15" s="290"/>
      <c r="AD15" s="290"/>
      <c r="AE15" s="290"/>
      <c r="AF15" s="290"/>
      <c r="AG15" s="290"/>
      <c r="AH15" s="170"/>
      <c r="AI15" s="170"/>
      <c r="AJ15" s="170"/>
      <c r="AK15" s="170"/>
      <c r="AL15" s="170"/>
      <c r="AM15" s="170"/>
      <c r="AN15" s="170"/>
      <c r="AO15" s="170"/>
      <c r="AP15" s="170"/>
      <c r="AQ15" s="170"/>
      <c r="AR15" s="170"/>
      <c r="AS15" s="170"/>
      <c r="AT15" s="170"/>
      <c r="AU15" s="170"/>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c r="BR15" s="170"/>
      <c r="BS15" s="170"/>
      <c r="BT15" s="170"/>
      <c r="BU15" s="170"/>
      <c r="BV15" s="170"/>
      <c r="BW15" s="170"/>
      <c r="BX15" s="170"/>
      <c r="BY15" s="170"/>
      <c r="BZ15" s="170"/>
      <c r="CA15" s="170"/>
      <c r="CB15" s="170"/>
      <c r="CC15" s="170"/>
      <c r="CD15" s="170"/>
      <c r="CE15" s="170"/>
      <c r="CF15" s="170"/>
      <c r="CG15" s="170"/>
      <c r="CH15" s="170"/>
      <c r="CI15" s="170"/>
      <c r="CJ15" s="170"/>
      <c r="CK15" s="170"/>
      <c r="CL15" s="170"/>
      <c r="CM15" s="170"/>
      <c r="CN15" s="170"/>
      <c r="CO15" s="170"/>
      <c r="CP15" s="170"/>
      <c r="CQ15" s="170"/>
      <c r="CR15" s="170"/>
      <c r="CS15" s="170"/>
      <c r="CT15" s="170"/>
      <c r="CU15" s="170"/>
      <c r="CV15" s="170"/>
      <c r="CW15" s="170"/>
      <c r="CX15" s="170"/>
      <c r="CY15" s="170"/>
      <c r="CZ15" s="170"/>
      <c r="DA15" s="170"/>
      <c r="DB15" s="170"/>
      <c r="DC15" s="170"/>
      <c r="DD15" s="170"/>
      <c r="DE15" s="170"/>
      <c r="DF15" s="170"/>
      <c r="DG15" s="170"/>
      <c r="DH15" s="170"/>
      <c r="DI15" s="170"/>
      <c r="DJ15" s="170"/>
      <c r="DK15" s="170"/>
      <c r="DL15" s="170"/>
      <c r="DM15" s="170"/>
      <c r="DN15" s="170"/>
      <c r="DO15" s="170"/>
      <c r="DP15" s="170"/>
      <c r="DQ15" s="170"/>
      <c r="DR15" s="170"/>
      <c r="DS15" s="170"/>
      <c r="DT15" s="170"/>
      <c r="DU15" s="170"/>
      <c r="DV15" s="170"/>
      <c r="DW15" s="170"/>
      <c r="DX15" s="170"/>
      <c r="DY15" s="170"/>
      <c r="DZ15" s="170"/>
      <c r="EA15" s="170"/>
      <c r="EB15" s="170"/>
      <c r="EC15" s="170"/>
      <c r="ED15" s="170"/>
      <c r="EE15" s="170"/>
      <c r="EF15" s="170"/>
      <c r="EG15" s="170"/>
      <c r="EH15" s="170"/>
      <c r="EI15" s="170"/>
      <c r="EJ15" s="170"/>
      <c r="EK15" s="170"/>
      <c r="EL15" s="170"/>
      <c r="EM15" s="170"/>
      <c r="EN15" s="170"/>
      <c r="EO15" s="170"/>
      <c r="EP15" s="170"/>
      <c r="EQ15" s="170"/>
      <c r="ER15" s="170"/>
      <c r="ES15" s="170"/>
      <c r="ET15" s="170"/>
      <c r="EU15" s="170"/>
      <c r="EV15" s="170"/>
      <c r="EW15" s="170"/>
      <c r="EX15" s="170"/>
      <c r="EY15" s="170"/>
      <c r="EZ15" s="170"/>
      <c r="FA15" s="170"/>
      <c r="FB15" s="170"/>
      <c r="FC15" s="170"/>
      <c r="FD15" s="170"/>
      <c r="FE15" s="170"/>
      <c r="FF15" s="170"/>
      <c r="FG15" s="170"/>
      <c r="FH15" s="170"/>
      <c r="FI15" s="170"/>
      <c r="FJ15" s="170"/>
      <c r="FK15" s="170"/>
      <c r="FL15" s="170"/>
      <c r="FM15" s="170"/>
      <c r="FN15" s="170"/>
      <c r="FO15" s="170"/>
      <c r="FP15" s="170"/>
      <c r="FQ15" s="170"/>
      <c r="FR15" s="170"/>
      <c r="FS15" s="170"/>
      <c r="FT15" s="170"/>
      <c r="FU15" s="170"/>
      <c r="FV15" s="170"/>
      <c r="FW15" s="170"/>
      <c r="FX15" s="170"/>
      <c r="FY15" s="170"/>
      <c r="FZ15" s="170"/>
      <c r="GA15" s="170"/>
      <c r="GB15" s="170"/>
      <c r="GC15" s="170"/>
    </row>
    <row r="16" spans="1:185" s="180" customFormat="1" ht="13">
      <c r="A16" s="688" t="s">
        <v>2275</v>
      </c>
      <c r="B16" s="582" t="s">
        <v>2341</v>
      </c>
      <c r="C16" s="398" t="str">
        <f>IF(COUNTA(E16:AG16)&gt;0,SUM(E16:AG16),"")</f>
        <v/>
      </c>
      <c r="D16" s="399">
        <v>18711332.50284069</v>
      </c>
      <c r="E16" s="400"/>
      <c r="F16" s="400"/>
      <c r="G16" s="400"/>
      <c r="H16" s="400"/>
      <c r="I16" s="400"/>
      <c r="J16" s="400"/>
      <c r="K16" s="401"/>
      <c r="L16" s="401"/>
      <c r="M16" s="401"/>
      <c r="N16" s="401"/>
      <c r="O16" s="401"/>
      <c r="P16" s="401"/>
      <c r="Q16" s="401"/>
      <c r="R16" s="401"/>
      <c r="S16" s="401"/>
      <c r="T16" s="401"/>
      <c r="U16" s="401"/>
      <c r="V16" s="401"/>
      <c r="W16" s="401"/>
      <c r="X16" s="401"/>
      <c r="Y16" s="401"/>
      <c r="Z16" s="401"/>
      <c r="AA16" s="401"/>
      <c r="AB16" s="401"/>
      <c r="AC16" s="401"/>
      <c r="AD16" s="401"/>
      <c r="AE16" s="401"/>
      <c r="AF16" s="401"/>
      <c r="AG16" s="401"/>
      <c r="AH16" s="170"/>
      <c r="AI16" s="170"/>
      <c r="AJ16" s="170"/>
      <c r="AK16" s="170"/>
      <c r="AL16" s="170"/>
      <c r="AM16" s="170"/>
      <c r="AN16" s="170"/>
      <c r="AO16" s="170"/>
      <c r="AP16" s="170"/>
      <c r="AQ16" s="170"/>
      <c r="AR16" s="170"/>
      <c r="AS16" s="170"/>
      <c r="AT16" s="170"/>
      <c r="AU16" s="170"/>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c r="BR16" s="170"/>
      <c r="BS16" s="170"/>
      <c r="BT16" s="170"/>
      <c r="BU16" s="170"/>
      <c r="BV16" s="170"/>
      <c r="BW16" s="170"/>
      <c r="BX16" s="170"/>
      <c r="BY16" s="170"/>
      <c r="BZ16" s="170"/>
      <c r="CA16" s="170"/>
      <c r="CB16" s="170"/>
      <c r="CC16" s="170"/>
      <c r="CD16" s="170"/>
      <c r="CE16" s="170"/>
      <c r="CF16" s="170"/>
      <c r="CG16" s="170"/>
      <c r="CH16" s="170"/>
      <c r="CI16" s="170"/>
      <c r="CJ16" s="170"/>
      <c r="CK16" s="170"/>
      <c r="CL16" s="170"/>
      <c r="CM16" s="170"/>
      <c r="CN16" s="170"/>
      <c r="CO16" s="170"/>
      <c r="CP16" s="170"/>
      <c r="CQ16" s="170"/>
      <c r="CR16" s="170"/>
      <c r="CS16" s="170"/>
      <c r="CT16" s="170"/>
      <c r="CU16" s="170"/>
      <c r="CV16" s="170"/>
      <c r="CW16" s="170"/>
      <c r="CX16" s="170"/>
      <c r="CY16" s="170"/>
      <c r="CZ16" s="170"/>
      <c r="DA16" s="170"/>
      <c r="DB16" s="170"/>
      <c r="DC16" s="170"/>
      <c r="DD16" s="170"/>
      <c r="DE16" s="170"/>
      <c r="DF16" s="170"/>
      <c r="DG16" s="170"/>
      <c r="DH16" s="170"/>
      <c r="DI16" s="170"/>
      <c r="DJ16" s="170"/>
      <c r="DK16" s="170"/>
      <c r="DL16" s="170"/>
      <c r="DM16" s="170"/>
      <c r="DN16" s="170"/>
      <c r="DO16" s="170"/>
      <c r="DP16" s="170"/>
      <c r="DQ16" s="170"/>
      <c r="DR16" s="170"/>
      <c r="DS16" s="170"/>
      <c r="DT16" s="170"/>
      <c r="DU16" s="170"/>
      <c r="DV16" s="170"/>
      <c r="DW16" s="170"/>
      <c r="DX16" s="170"/>
      <c r="DY16" s="170"/>
      <c r="DZ16" s="170"/>
      <c r="EA16" s="170"/>
      <c r="EB16" s="170"/>
      <c r="EC16" s="170"/>
      <c r="ED16" s="170"/>
      <c r="EE16" s="170"/>
      <c r="EF16" s="170"/>
      <c r="EG16" s="170"/>
      <c r="EH16" s="170"/>
      <c r="EI16" s="170"/>
      <c r="EJ16" s="170"/>
      <c r="EK16" s="170"/>
      <c r="EL16" s="170"/>
      <c r="EM16" s="170"/>
      <c r="EN16" s="170"/>
      <c r="EO16" s="170"/>
      <c r="EP16" s="170"/>
      <c r="EQ16" s="170"/>
      <c r="ER16" s="170"/>
      <c r="ES16" s="170"/>
      <c r="ET16" s="170"/>
      <c r="EU16" s="170"/>
      <c r="EV16" s="170"/>
      <c r="EW16" s="170"/>
      <c r="EX16" s="170"/>
      <c r="EY16" s="170"/>
      <c r="EZ16" s="170"/>
      <c r="FA16" s="170"/>
      <c r="FB16" s="170"/>
      <c r="FC16" s="170"/>
      <c r="FD16" s="170"/>
      <c r="FE16" s="170"/>
      <c r="FF16" s="170"/>
      <c r="FG16" s="170"/>
      <c r="FH16" s="170"/>
      <c r="FI16" s="170"/>
      <c r="FJ16" s="170"/>
      <c r="FK16" s="170"/>
      <c r="FL16" s="170"/>
      <c r="FM16" s="170"/>
      <c r="FN16" s="170"/>
      <c r="FO16" s="170"/>
      <c r="FP16" s="170"/>
      <c r="FQ16" s="170"/>
      <c r="FR16" s="170"/>
      <c r="FS16" s="170"/>
      <c r="FT16" s="170"/>
      <c r="FU16" s="170"/>
      <c r="FV16" s="170"/>
      <c r="FW16" s="170"/>
      <c r="FX16" s="170"/>
      <c r="FY16" s="170"/>
      <c r="FZ16" s="170"/>
      <c r="GA16" s="170"/>
      <c r="GB16" s="170"/>
      <c r="GC16" s="170"/>
    </row>
    <row r="17" spans="1:185" s="180" customFormat="1" ht="13">
      <c r="A17" s="689"/>
      <c r="B17" s="583" t="s">
        <v>2342</v>
      </c>
      <c r="C17" s="194" t="str">
        <f>IF(COUNTA(E17:AG17)&gt;0,SUM(E17:AG17),"")</f>
        <v/>
      </c>
      <c r="D17" s="258">
        <v>5083089.549845418</v>
      </c>
      <c r="E17" s="195"/>
      <c r="F17" s="195"/>
      <c r="G17" s="195"/>
      <c r="H17" s="195"/>
      <c r="I17" s="195"/>
      <c r="J17" s="195"/>
      <c r="K17" s="196"/>
      <c r="L17" s="196"/>
      <c r="M17" s="196"/>
      <c r="N17" s="196"/>
      <c r="O17" s="196"/>
      <c r="P17" s="196"/>
      <c r="Q17" s="196"/>
      <c r="R17" s="196"/>
      <c r="S17" s="196"/>
      <c r="T17" s="196"/>
      <c r="U17" s="196"/>
      <c r="V17" s="196"/>
      <c r="W17" s="196"/>
      <c r="X17" s="196"/>
      <c r="Y17" s="196"/>
      <c r="Z17" s="196"/>
      <c r="AA17" s="196"/>
      <c r="AB17" s="196"/>
      <c r="AC17" s="196"/>
      <c r="AD17" s="196"/>
      <c r="AE17" s="196"/>
      <c r="AF17" s="196"/>
      <c r="AG17" s="196"/>
      <c r="AH17" s="170"/>
      <c r="AI17" s="170"/>
      <c r="AJ17" s="170"/>
      <c r="AK17" s="170"/>
      <c r="AL17" s="170"/>
      <c r="AM17" s="170"/>
      <c r="AN17" s="170"/>
      <c r="AO17" s="170"/>
      <c r="AP17" s="170"/>
      <c r="AQ17" s="170"/>
      <c r="AR17" s="170"/>
      <c r="AS17" s="170"/>
      <c r="AT17" s="170"/>
      <c r="AU17" s="170"/>
      <c r="AV17" s="170"/>
      <c r="AW17" s="170"/>
      <c r="AX17" s="170"/>
      <c r="AY17" s="170"/>
      <c r="AZ17" s="170"/>
      <c r="BA17" s="170"/>
      <c r="BB17" s="170"/>
      <c r="BC17" s="170"/>
      <c r="BD17" s="170"/>
      <c r="BE17" s="170"/>
      <c r="BF17" s="170"/>
      <c r="BG17" s="170"/>
      <c r="BH17" s="170"/>
      <c r="BI17" s="170"/>
      <c r="BJ17" s="170"/>
      <c r="BK17" s="170"/>
      <c r="BL17" s="170"/>
      <c r="BM17" s="170"/>
      <c r="BN17" s="170"/>
      <c r="BO17" s="170"/>
      <c r="BP17" s="170"/>
      <c r="BQ17" s="170"/>
      <c r="BR17" s="170"/>
      <c r="BS17" s="170"/>
      <c r="BT17" s="170"/>
      <c r="BU17" s="170"/>
      <c r="BV17" s="170"/>
      <c r="BW17" s="170"/>
      <c r="BX17" s="170"/>
      <c r="BY17" s="170"/>
      <c r="BZ17" s="170"/>
      <c r="CA17" s="170"/>
      <c r="CB17" s="170"/>
      <c r="CC17" s="170"/>
      <c r="CD17" s="170"/>
      <c r="CE17" s="170"/>
      <c r="CF17" s="170"/>
      <c r="CG17" s="170"/>
      <c r="CH17" s="170"/>
      <c r="CI17" s="170"/>
      <c r="CJ17" s="170"/>
      <c r="CK17" s="170"/>
      <c r="CL17" s="170"/>
      <c r="CM17" s="170"/>
      <c r="CN17" s="170"/>
      <c r="CO17" s="170"/>
      <c r="CP17" s="170"/>
      <c r="CQ17" s="170"/>
      <c r="CR17" s="170"/>
      <c r="CS17" s="170"/>
      <c r="CT17" s="170"/>
      <c r="CU17" s="170"/>
      <c r="CV17" s="170"/>
      <c r="CW17" s="170"/>
      <c r="CX17" s="170"/>
      <c r="CY17" s="170"/>
      <c r="CZ17" s="170"/>
      <c r="DA17" s="170"/>
      <c r="DB17" s="170"/>
      <c r="DC17" s="170"/>
      <c r="DD17" s="170"/>
      <c r="DE17" s="170"/>
      <c r="DF17" s="170"/>
      <c r="DG17" s="170"/>
      <c r="DH17" s="170"/>
      <c r="DI17" s="170"/>
      <c r="DJ17" s="170"/>
      <c r="DK17" s="170"/>
      <c r="DL17" s="170"/>
      <c r="DM17" s="170"/>
      <c r="DN17" s="170"/>
      <c r="DO17" s="170"/>
      <c r="DP17" s="170"/>
      <c r="DQ17" s="170"/>
      <c r="DR17" s="170"/>
      <c r="DS17" s="170"/>
      <c r="DT17" s="170"/>
      <c r="DU17" s="170"/>
      <c r="DV17" s="170"/>
      <c r="DW17" s="170"/>
      <c r="DX17" s="170"/>
      <c r="DY17" s="170"/>
      <c r="DZ17" s="170"/>
      <c r="EA17" s="170"/>
      <c r="EB17" s="170"/>
      <c r="EC17" s="170"/>
      <c r="ED17" s="170"/>
      <c r="EE17" s="170"/>
      <c r="EF17" s="170"/>
      <c r="EG17" s="170"/>
      <c r="EH17" s="170"/>
      <c r="EI17" s="170"/>
      <c r="EJ17" s="170"/>
      <c r="EK17" s="170"/>
      <c r="EL17" s="170"/>
      <c r="EM17" s="170"/>
      <c r="EN17" s="170"/>
      <c r="EO17" s="170"/>
      <c r="EP17" s="170"/>
      <c r="EQ17" s="170"/>
      <c r="ER17" s="170"/>
      <c r="ES17" s="170"/>
      <c r="ET17" s="170"/>
      <c r="EU17" s="170"/>
      <c r="EV17" s="170"/>
      <c r="EW17" s="170"/>
      <c r="EX17" s="170"/>
      <c r="EY17" s="170"/>
      <c r="EZ17" s="170"/>
      <c r="FA17" s="170"/>
      <c r="FB17" s="170"/>
      <c r="FC17" s="170"/>
      <c r="FD17" s="170"/>
      <c r="FE17" s="170"/>
      <c r="FF17" s="170"/>
      <c r="FG17" s="170"/>
      <c r="FH17" s="170"/>
      <c r="FI17" s="170"/>
      <c r="FJ17" s="170"/>
      <c r="FK17" s="170"/>
      <c r="FL17" s="170"/>
      <c r="FM17" s="170"/>
      <c r="FN17" s="170"/>
      <c r="FO17" s="170"/>
      <c r="FP17" s="170"/>
      <c r="FQ17" s="170"/>
      <c r="FR17" s="170"/>
      <c r="FS17" s="170"/>
      <c r="FT17" s="170"/>
      <c r="FU17" s="170"/>
      <c r="FV17" s="170"/>
      <c r="FW17" s="170"/>
      <c r="FX17" s="170"/>
      <c r="FY17" s="170"/>
      <c r="FZ17" s="170"/>
      <c r="GA17" s="170"/>
      <c r="GB17" s="170"/>
      <c r="GC17" s="170"/>
    </row>
    <row r="18" spans="1:185" s="180" customFormat="1" ht="13">
      <c r="A18" s="689"/>
      <c r="B18" s="583" t="s">
        <v>2343</v>
      </c>
      <c r="C18" s="194" t="str">
        <f>IF(COUNTA(E18:AG18)&gt;0,SUM(E18:AG18),"")</f>
        <v/>
      </c>
      <c r="D18" s="258">
        <v>14131100.763602991</v>
      </c>
      <c r="E18" s="195"/>
      <c r="F18" s="195"/>
      <c r="G18" s="195"/>
      <c r="H18" s="195"/>
      <c r="I18" s="195"/>
      <c r="J18" s="195"/>
      <c r="K18" s="196"/>
      <c r="L18" s="196"/>
      <c r="M18" s="196"/>
      <c r="N18" s="196"/>
      <c r="O18" s="196"/>
      <c r="P18" s="196"/>
      <c r="Q18" s="196"/>
      <c r="R18" s="196"/>
      <c r="S18" s="196"/>
      <c r="T18" s="196"/>
      <c r="U18" s="196"/>
      <c r="V18" s="196"/>
      <c r="W18" s="196"/>
      <c r="X18" s="196"/>
      <c r="Y18" s="196"/>
      <c r="Z18" s="196"/>
      <c r="AA18" s="196"/>
      <c r="AB18" s="196"/>
      <c r="AC18" s="196"/>
      <c r="AD18" s="196"/>
      <c r="AE18" s="196"/>
      <c r="AF18" s="196"/>
      <c r="AG18" s="196"/>
      <c r="AH18" s="170"/>
      <c r="AI18" s="170"/>
      <c r="AJ18" s="170"/>
      <c r="AK18" s="170"/>
      <c r="AL18" s="170"/>
      <c r="AM18" s="170"/>
      <c r="AN18" s="170"/>
      <c r="AO18" s="170"/>
      <c r="AP18" s="170"/>
      <c r="AQ18" s="170"/>
      <c r="AR18" s="170"/>
      <c r="AS18" s="170"/>
      <c r="AT18" s="170"/>
      <c r="AU18" s="170"/>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c r="BR18" s="170"/>
      <c r="BS18" s="170"/>
      <c r="BT18" s="170"/>
      <c r="BU18" s="170"/>
      <c r="BV18" s="170"/>
      <c r="BW18" s="170"/>
      <c r="BX18" s="170"/>
      <c r="BY18" s="170"/>
      <c r="BZ18" s="170"/>
      <c r="CA18" s="170"/>
      <c r="CB18" s="170"/>
      <c r="CC18" s="170"/>
      <c r="CD18" s="170"/>
      <c r="CE18" s="170"/>
      <c r="CF18" s="170"/>
      <c r="CG18" s="170"/>
      <c r="CH18" s="170"/>
      <c r="CI18" s="170"/>
      <c r="CJ18" s="170"/>
      <c r="CK18" s="170"/>
      <c r="CL18" s="170"/>
      <c r="CM18" s="170"/>
      <c r="CN18" s="170"/>
      <c r="CO18" s="170"/>
      <c r="CP18" s="170"/>
      <c r="CQ18" s="170"/>
      <c r="CR18" s="170"/>
      <c r="CS18" s="170"/>
      <c r="CT18" s="170"/>
      <c r="CU18" s="170"/>
      <c r="CV18" s="170"/>
      <c r="CW18" s="170"/>
      <c r="CX18" s="170"/>
      <c r="CY18" s="170"/>
      <c r="CZ18" s="170"/>
      <c r="DA18" s="170"/>
      <c r="DB18" s="170"/>
      <c r="DC18" s="170"/>
      <c r="DD18" s="170"/>
      <c r="DE18" s="170"/>
      <c r="DF18" s="170"/>
      <c r="DG18" s="170"/>
      <c r="DH18" s="170"/>
      <c r="DI18" s="170"/>
      <c r="DJ18" s="170"/>
      <c r="DK18" s="170"/>
      <c r="DL18" s="170"/>
      <c r="DM18" s="170"/>
      <c r="DN18" s="170"/>
      <c r="DO18" s="170"/>
      <c r="DP18" s="170"/>
      <c r="DQ18" s="170"/>
      <c r="DR18" s="170"/>
      <c r="DS18" s="170"/>
      <c r="DT18" s="170"/>
      <c r="DU18" s="170"/>
      <c r="DV18" s="170"/>
      <c r="DW18" s="170"/>
      <c r="DX18" s="170"/>
      <c r="DY18" s="170"/>
      <c r="DZ18" s="170"/>
      <c r="EA18" s="170"/>
      <c r="EB18" s="170"/>
      <c r="EC18" s="170"/>
      <c r="ED18" s="170"/>
      <c r="EE18" s="170"/>
      <c r="EF18" s="170"/>
      <c r="EG18" s="170"/>
      <c r="EH18" s="170"/>
      <c r="EI18" s="170"/>
      <c r="EJ18" s="170"/>
      <c r="EK18" s="170"/>
      <c r="EL18" s="170"/>
      <c r="EM18" s="170"/>
      <c r="EN18" s="170"/>
      <c r="EO18" s="170"/>
      <c r="EP18" s="170"/>
      <c r="EQ18" s="170"/>
      <c r="ER18" s="170"/>
      <c r="ES18" s="170"/>
      <c r="ET18" s="170"/>
      <c r="EU18" s="170"/>
      <c r="EV18" s="170"/>
      <c r="EW18" s="170"/>
      <c r="EX18" s="170"/>
      <c r="EY18" s="170"/>
      <c r="EZ18" s="170"/>
      <c r="FA18" s="170"/>
      <c r="FB18" s="170"/>
      <c r="FC18" s="170"/>
      <c r="FD18" s="170"/>
      <c r="FE18" s="170"/>
      <c r="FF18" s="170"/>
      <c r="FG18" s="170"/>
      <c r="FH18" s="170"/>
      <c r="FI18" s="170"/>
      <c r="FJ18" s="170"/>
      <c r="FK18" s="170"/>
      <c r="FL18" s="170"/>
      <c r="FM18" s="170"/>
      <c r="FN18" s="170"/>
      <c r="FO18" s="170"/>
      <c r="FP18" s="170"/>
      <c r="FQ18" s="170"/>
      <c r="FR18" s="170"/>
      <c r="FS18" s="170"/>
      <c r="FT18" s="170"/>
      <c r="FU18" s="170"/>
      <c r="FV18" s="170"/>
      <c r="FW18" s="170"/>
      <c r="FX18" s="170"/>
      <c r="FY18" s="170"/>
      <c r="FZ18" s="170"/>
      <c r="GA18" s="170"/>
      <c r="GB18" s="170"/>
      <c r="GC18" s="170"/>
    </row>
    <row r="19" spans="1:185" s="180" customFormat="1" ht="13">
      <c r="A19" s="689"/>
      <c r="B19" s="583" t="s">
        <v>2344</v>
      </c>
      <c r="C19" s="194" t="str">
        <f>IF(COUNTA(E19:AG19)&gt;0,SUM(E19:AG19),"")</f>
        <v/>
      </c>
      <c r="D19" s="258">
        <v>4393587.9280461781</v>
      </c>
      <c r="E19" s="195"/>
      <c r="F19" s="195"/>
      <c r="G19" s="195"/>
      <c r="H19" s="195"/>
      <c r="I19" s="195"/>
      <c r="J19" s="195"/>
      <c r="K19" s="196"/>
      <c r="L19" s="196"/>
      <c r="M19" s="196"/>
      <c r="N19" s="196"/>
      <c r="O19" s="196"/>
      <c r="P19" s="196"/>
      <c r="Q19" s="196"/>
      <c r="R19" s="196"/>
      <c r="S19" s="196"/>
      <c r="T19" s="196"/>
      <c r="U19" s="196"/>
      <c r="V19" s="196"/>
      <c r="W19" s="196"/>
      <c r="X19" s="196"/>
      <c r="Y19" s="196"/>
      <c r="Z19" s="196"/>
      <c r="AA19" s="196"/>
      <c r="AB19" s="196"/>
      <c r="AC19" s="196"/>
      <c r="AD19" s="196"/>
      <c r="AE19" s="196"/>
      <c r="AF19" s="196"/>
      <c r="AG19" s="196"/>
      <c r="AH19" s="170"/>
      <c r="AI19" s="170"/>
      <c r="AJ19" s="170"/>
      <c r="AK19" s="170"/>
      <c r="AL19" s="170"/>
      <c r="AM19" s="170"/>
      <c r="AN19" s="170"/>
      <c r="AO19" s="170"/>
      <c r="AP19" s="170"/>
      <c r="AQ19" s="170"/>
      <c r="AR19" s="170"/>
      <c r="AS19" s="170"/>
      <c r="AT19" s="170"/>
      <c r="AU19" s="170"/>
      <c r="AV19" s="170"/>
      <c r="AW19" s="170"/>
      <c r="AX19" s="170"/>
      <c r="AY19" s="170"/>
      <c r="AZ19" s="170"/>
      <c r="BA19" s="170"/>
      <c r="BB19" s="170"/>
      <c r="BC19" s="170"/>
      <c r="BD19" s="170"/>
      <c r="BE19" s="170"/>
      <c r="BF19" s="170"/>
      <c r="BG19" s="170"/>
      <c r="BH19" s="170"/>
      <c r="BI19" s="170"/>
      <c r="BJ19" s="170"/>
      <c r="BK19" s="170"/>
      <c r="BL19" s="170"/>
      <c r="BM19" s="170"/>
      <c r="BN19" s="170"/>
      <c r="BO19" s="170"/>
      <c r="BP19" s="170"/>
      <c r="BQ19" s="170"/>
      <c r="BR19" s="170"/>
      <c r="BS19" s="170"/>
      <c r="BT19" s="170"/>
      <c r="BU19" s="170"/>
      <c r="BV19" s="170"/>
      <c r="BW19" s="170"/>
      <c r="BX19" s="170"/>
      <c r="BY19" s="170"/>
      <c r="BZ19" s="170"/>
      <c r="CA19" s="170"/>
      <c r="CB19" s="170"/>
      <c r="CC19" s="170"/>
      <c r="CD19" s="170"/>
      <c r="CE19" s="170"/>
      <c r="CF19" s="170"/>
      <c r="CG19" s="170"/>
      <c r="CH19" s="170"/>
      <c r="CI19" s="170"/>
      <c r="CJ19" s="170"/>
      <c r="CK19" s="170"/>
      <c r="CL19" s="170"/>
      <c r="CM19" s="170"/>
      <c r="CN19" s="170"/>
      <c r="CO19" s="170"/>
      <c r="CP19" s="170"/>
      <c r="CQ19" s="170"/>
      <c r="CR19" s="170"/>
      <c r="CS19" s="170"/>
      <c r="CT19" s="170"/>
      <c r="CU19" s="170"/>
      <c r="CV19" s="170"/>
      <c r="CW19" s="170"/>
      <c r="CX19" s="170"/>
      <c r="CY19" s="170"/>
      <c r="CZ19" s="170"/>
      <c r="DA19" s="170"/>
      <c r="DB19" s="170"/>
      <c r="DC19" s="170"/>
      <c r="DD19" s="170"/>
      <c r="DE19" s="170"/>
      <c r="DF19" s="170"/>
      <c r="DG19" s="170"/>
      <c r="DH19" s="170"/>
      <c r="DI19" s="170"/>
      <c r="DJ19" s="170"/>
      <c r="DK19" s="170"/>
      <c r="DL19" s="170"/>
      <c r="DM19" s="170"/>
      <c r="DN19" s="170"/>
      <c r="DO19" s="170"/>
      <c r="DP19" s="170"/>
      <c r="DQ19" s="170"/>
      <c r="DR19" s="170"/>
      <c r="DS19" s="170"/>
      <c r="DT19" s="170"/>
      <c r="DU19" s="170"/>
      <c r="DV19" s="170"/>
      <c r="DW19" s="170"/>
      <c r="DX19" s="170"/>
      <c r="DY19" s="170"/>
      <c r="DZ19" s="170"/>
      <c r="EA19" s="170"/>
      <c r="EB19" s="170"/>
      <c r="EC19" s="170"/>
      <c r="ED19" s="170"/>
      <c r="EE19" s="170"/>
      <c r="EF19" s="170"/>
      <c r="EG19" s="170"/>
      <c r="EH19" s="170"/>
      <c r="EI19" s="170"/>
      <c r="EJ19" s="170"/>
      <c r="EK19" s="170"/>
      <c r="EL19" s="170"/>
      <c r="EM19" s="170"/>
      <c r="EN19" s="170"/>
      <c r="EO19" s="170"/>
      <c r="EP19" s="170"/>
      <c r="EQ19" s="170"/>
      <c r="ER19" s="170"/>
      <c r="ES19" s="170"/>
      <c r="ET19" s="170"/>
      <c r="EU19" s="170"/>
      <c r="EV19" s="170"/>
      <c r="EW19" s="170"/>
      <c r="EX19" s="170"/>
      <c r="EY19" s="170"/>
      <c r="EZ19" s="170"/>
      <c r="FA19" s="170"/>
      <c r="FB19" s="170"/>
      <c r="FC19" s="170"/>
      <c r="FD19" s="170"/>
      <c r="FE19" s="170"/>
      <c r="FF19" s="170"/>
      <c r="FG19" s="170"/>
      <c r="FH19" s="170"/>
      <c r="FI19" s="170"/>
      <c r="FJ19" s="170"/>
      <c r="FK19" s="170"/>
      <c r="FL19" s="170"/>
      <c r="FM19" s="170"/>
      <c r="FN19" s="170"/>
      <c r="FO19" s="170"/>
      <c r="FP19" s="170"/>
      <c r="FQ19" s="170"/>
      <c r="FR19" s="170"/>
      <c r="FS19" s="170"/>
      <c r="FT19" s="170"/>
      <c r="FU19" s="170"/>
      <c r="FV19" s="170"/>
      <c r="FW19" s="170"/>
      <c r="FX19" s="170"/>
      <c r="FY19" s="170"/>
      <c r="FZ19" s="170"/>
      <c r="GA19" s="170"/>
      <c r="GB19" s="170"/>
      <c r="GC19" s="170"/>
    </row>
    <row r="20" spans="1:185" s="180" customFormat="1" ht="13">
      <c r="A20" s="689"/>
      <c r="B20" s="583" t="s">
        <v>2345</v>
      </c>
      <c r="C20" s="413" t="str">
        <f>IF(COUNTA(E20:AG20)&gt;0,SUM(E20:AG20),"")</f>
        <v/>
      </c>
      <c r="D20" s="258">
        <v>6639313.948069673</v>
      </c>
      <c r="E20" s="195"/>
      <c r="F20" s="195"/>
      <c r="G20" s="195"/>
      <c r="H20" s="195"/>
      <c r="I20" s="195"/>
      <c r="J20" s="195"/>
      <c r="K20" s="196"/>
      <c r="L20" s="196"/>
      <c r="M20" s="196"/>
      <c r="N20" s="196"/>
      <c r="O20" s="196"/>
      <c r="P20" s="196"/>
      <c r="Q20" s="196"/>
      <c r="R20" s="196"/>
      <c r="S20" s="196"/>
      <c r="T20" s="196"/>
      <c r="U20" s="196"/>
      <c r="V20" s="196"/>
      <c r="W20" s="196"/>
      <c r="X20" s="196"/>
      <c r="Y20" s="196"/>
      <c r="Z20" s="196"/>
      <c r="AA20" s="196"/>
      <c r="AB20" s="196"/>
      <c r="AC20" s="196"/>
      <c r="AD20" s="196"/>
      <c r="AE20" s="196"/>
      <c r="AF20" s="196"/>
      <c r="AG20" s="196"/>
      <c r="AH20" s="170"/>
      <c r="AI20" s="170"/>
      <c r="AJ20" s="170"/>
      <c r="AK20" s="170"/>
      <c r="AL20" s="170"/>
      <c r="AM20" s="170"/>
      <c r="AN20" s="170"/>
      <c r="AO20" s="170"/>
      <c r="AP20" s="170"/>
      <c r="AQ20" s="170"/>
      <c r="AR20" s="170"/>
      <c r="AS20" s="170"/>
      <c r="AT20" s="170"/>
      <c r="AU20" s="170"/>
      <c r="AV20" s="170"/>
      <c r="AW20" s="170"/>
      <c r="AX20" s="170"/>
      <c r="AY20" s="170"/>
      <c r="AZ20" s="170"/>
      <c r="BA20" s="170"/>
      <c r="BB20" s="170"/>
      <c r="BC20" s="170"/>
      <c r="BD20" s="170"/>
      <c r="BE20" s="170"/>
      <c r="BF20" s="170"/>
      <c r="BG20" s="170"/>
      <c r="BH20" s="170"/>
      <c r="BI20" s="170"/>
      <c r="BJ20" s="170"/>
      <c r="BK20" s="170"/>
      <c r="BL20" s="170"/>
      <c r="BM20" s="170"/>
      <c r="BN20" s="170"/>
      <c r="BO20" s="170"/>
      <c r="BP20" s="170"/>
      <c r="BQ20" s="170"/>
      <c r="BR20" s="170"/>
      <c r="BS20" s="170"/>
      <c r="BT20" s="170"/>
      <c r="BU20" s="170"/>
      <c r="BV20" s="170"/>
      <c r="BW20" s="170"/>
      <c r="BX20" s="170"/>
      <c r="BY20" s="170"/>
      <c r="BZ20" s="170"/>
      <c r="CA20" s="170"/>
      <c r="CB20" s="170"/>
      <c r="CC20" s="170"/>
      <c r="CD20" s="170"/>
      <c r="CE20" s="170"/>
      <c r="CF20" s="170"/>
      <c r="CG20" s="170"/>
      <c r="CH20" s="170"/>
      <c r="CI20" s="170"/>
      <c r="CJ20" s="170"/>
      <c r="CK20" s="170"/>
      <c r="CL20" s="170"/>
      <c r="CM20" s="170"/>
      <c r="CN20" s="170"/>
      <c r="CO20" s="170"/>
      <c r="CP20" s="170"/>
      <c r="CQ20" s="170"/>
      <c r="CR20" s="170"/>
      <c r="CS20" s="170"/>
      <c r="CT20" s="170"/>
      <c r="CU20" s="170"/>
      <c r="CV20" s="170"/>
      <c r="CW20" s="170"/>
      <c r="CX20" s="170"/>
      <c r="CY20" s="170"/>
      <c r="CZ20" s="170"/>
      <c r="DA20" s="170"/>
      <c r="DB20" s="170"/>
      <c r="DC20" s="170"/>
      <c r="DD20" s="170"/>
      <c r="DE20" s="170"/>
      <c r="DF20" s="170"/>
      <c r="DG20" s="170"/>
      <c r="DH20" s="170"/>
      <c r="DI20" s="170"/>
      <c r="DJ20" s="170"/>
      <c r="DK20" s="170"/>
      <c r="DL20" s="170"/>
      <c r="DM20" s="170"/>
      <c r="DN20" s="170"/>
      <c r="DO20" s="170"/>
      <c r="DP20" s="170"/>
      <c r="DQ20" s="170"/>
      <c r="DR20" s="170"/>
      <c r="DS20" s="170"/>
      <c r="DT20" s="170"/>
      <c r="DU20" s="170"/>
      <c r="DV20" s="170"/>
      <c r="DW20" s="170"/>
      <c r="DX20" s="170"/>
      <c r="DY20" s="170"/>
      <c r="DZ20" s="170"/>
      <c r="EA20" s="170"/>
      <c r="EB20" s="170"/>
      <c r="EC20" s="170"/>
      <c r="ED20" s="170"/>
      <c r="EE20" s="170"/>
      <c r="EF20" s="170"/>
      <c r="EG20" s="170"/>
      <c r="EH20" s="170"/>
      <c r="EI20" s="170"/>
      <c r="EJ20" s="170"/>
      <c r="EK20" s="170"/>
      <c r="EL20" s="170"/>
      <c r="EM20" s="170"/>
      <c r="EN20" s="170"/>
      <c r="EO20" s="170"/>
      <c r="EP20" s="170"/>
      <c r="EQ20" s="170"/>
      <c r="ER20" s="170"/>
      <c r="ES20" s="170"/>
      <c r="ET20" s="170"/>
      <c r="EU20" s="170"/>
      <c r="EV20" s="170"/>
      <c r="EW20" s="170"/>
      <c r="EX20" s="170"/>
      <c r="EY20" s="170"/>
      <c r="EZ20" s="170"/>
      <c r="FA20" s="170"/>
      <c r="FB20" s="170"/>
      <c r="FC20" s="170"/>
      <c r="FD20" s="170"/>
      <c r="FE20" s="170"/>
      <c r="FF20" s="170"/>
      <c r="FG20" s="170"/>
      <c r="FH20" s="170"/>
      <c r="FI20" s="170"/>
      <c r="FJ20" s="170"/>
      <c r="FK20" s="170"/>
      <c r="FL20" s="170"/>
      <c r="FM20" s="170"/>
      <c r="FN20" s="170"/>
      <c r="FO20" s="170"/>
      <c r="FP20" s="170"/>
      <c r="FQ20" s="170"/>
      <c r="FR20" s="170"/>
      <c r="FS20" s="170"/>
      <c r="FT20" s="170"/>
      <c r="FU20" s="170"/>
      <c r="FV20" s="170"/>
      <c r="FW20" s="170"/>
      <c r="FX20" s="170"/>
      <c r="FY20" s="170"/>
      <c r="FZ20" s="170"/>
      <c r="GA20" s="170"/>
      <c r="GB20" s="170"/>
      <c r="GC20" s="170"/>
    </row>
    <row r="21" spans="1:185" s="180" customFormat="1" ht="13">
      <c r="A21" s="689"/>
      <c r="B21" s="457" t="s">
        <v>2377</v>
      </c>
      <c r="C21" s="459" t="s">
        <v>2376</v>
      </c>
      <c r="D21" s="290"/>
      <c r="E21" s="421"/>
      <c r="F21" s="290"/>
      <c r="G21" s="290"/>
      <c r="H21" s="290"/>
      <c r="I21" s="290"/>
      <c r="J21" s="290"/>
      <c r="K21" s="290"/>
      <c r="L21" s="290"/>
      <c r="M21" s="290"/>
      <c r="N21" s="290"/>
      <c r="O21" s="290"/>
      <c r="P21" s="290"/>
      <c r="Q21" s="290"/>
      <c r="R21" s="290"/>
      <c r="S21" s="290"/>
      <c r="T21" s="290"/>
      <c r="U21" s="290"/>
      <c r="V21" s="290"/>
      <c r="W21" s="290"/>
      <c r="X21" s="290"/>
      <c r="Y21" s="290"/>
      <c r="Z21" s="290"/>
      <c r="AA21" s="290"/>
      <c r="AB21" s="290"/>
      <c r="AC21" s="290"/>
      <c r="AD21" s="290"/>
      <c r="AE21" s="290"/>
      <c r="AF21" s="290"/>
      <c r="AG21" s="290"/>
      <c r="AH21" s="170"/>
      <c r="AI21" s="170"/>
      <c r="AJ21" s="170"/>
      <c r="AK21" s="170"/>
      <c r="AL21" s="170"/>
      <c r="AM21" s="170"/>
      <c r="AN21" s="170"/>
      <c r="AO21" s="170"/>
      <c r="AP21" s="170"/>
      <c r="AQ21" s="170"/>
      <c r="AR21" s="170"/>
      <c r="AS21" s="170"/>
      <c r="AT21" s="170"/>
      <c r="AU21" s="170"/>
      <c r="AV21" s="170"/>
      <c r="AW21" s="170"/>
      <c r="AX21" s="170"/>
      <c r="AY21" s="170"/>
      <c r="AZ21" s="170"/>
      <c r="BA21" s="170"/>
      <c r="BB21" s="170"/>
      <c r="BC21" s="170"/>
      <c r="BD21" s="170"/>
      <c r="BE21" s="170"/>
      <c r="BF21" s="170"/>
      <c r="BG21" s="170"/>
      <c r="BH21" s="170"/>
      <c r="BI21" s="170"/>
      <c r="BJ21" s="170"/>
      <c r="BK21" s="170"/>
      <c r="BL21" s="170"/>
      <c r="BM21" s="170"/>
      <c r="BN21" s="170"/>
      <c r="BO21" s="170"/>
      <c r="BP21" s="170"/>
      <c r="BQ21" s="170"/>
      <c r="BR21" s="170"/>
      <c r="BS21" s="170"/>
      <c r="BT21" s="170"/>
      <c r="BU21" s="170"/>
      <c r="BV21" s="170"/>
      <c r="BW21" s="170"/>
      <c r="BX21" s="170"/>
      <c r="BY21" s="170"/>
      <c r="BZ21" s="170"/>
      <c r="CA21" s="170"/>
      <c r="CB21" s="170"/>
      <c r="CC21" s="170"/>
      <c r="CD21" s="170"/>
      <c r="CE21" s="170"/>
      <c r="CF21" s="170"/>
      <c r="CG21" s="170"/>
      <c r="CH21" s="170"/>
      <c r="CI21" s="170"/>
      <c r="CJ21" s="170"/>
      <c r="CK21" s="170"/>
      <c r="CL21" s="170"/>
      <c r="CM21" s="170"/>
      <c r="CN21" s="170"/>
      <c r="CO21" s="170"/>
      <c r="CP21" s="170"/>
      <c r="CQ21" s="170"/>
      <c r="CR21" s="170"/>
      <c r="CS21" s="170"/>
      <c r="CT21" s="170"/>
      <c r="CU21" s="170"/>
      <c r="CV21" s="170"/>
      <c r="CW21" s="170"/>
      <c r="CX21" s="170"/>
      <c r="CY21" s="170"/>
      <c r="CZ21" s="170"/>
      <c r="DA21" s="170"/>
      <c r="DB21" s="170"/>
      <c r="DC21" s="170"/>
      <c r="DD21" s="170"/>
      <c r="DE21" s="170"/>
      <c r="DF21" s="170"/>
      <c r="DG21" s="170"/>
      <c r="DH21" s="170"/>
      <c r="DI21" s="170"/>
      <c r="DJ21" s="170"/>
      <c r="DK21" s="170"/>
      <c r="DL21" s="170"/>
      <c r="DM21" s="170"/>
      <c r="DN21" s="170"/>
      <c r="DO21" s="170"/>
      <c r="DP21" s="170"/>
      <c r="DQ21" s="170"/>
      <c r="DR21" s="170"/>
      <c r="DS21" s="170"/>
      <c r="DT21" s="170"/>
      <c r="DU21" s="170"/>
      <c r="DV21" s="170"/>
      <c r="DW21" s="170"/>
      <c r="DX21" s="170"/>
      <c r="DY21" s="170"/>
      <c r="DZ21" s="170"/>
      <c r="EA21" s="170"/>
      <c r="EB21" s="170"/>
      <c r="EC21" s="170"/>
      <c r="ED21" s="170"/>
      <c r="EE21" s="170"/>
      <c r="EF21" s="170"/>
      <c r="EG21" s="170"/>
      <c r="EH21" s="170"/>
      <c r="EI21" s="170"/>
      <c r="EJ21" s="170"/>
      <c r="EK21" s="170"/>
      <c r="EL21" s="170"/>
      <c r="EM21" s="170"/>
      <c r="EN21" s="170"/>
      <c r="EO21" s="170"/>
      <c r="EP21" s="170"/>
      <c r="EQ21" s="170"/>
      <c r="ER21" s="170"/>
      <c r="ES21" s="170"/>
      <c r="ET21" s="170"/>
      <c r="EU21" s="170"/>
      <c r="EV21" s="170"/>
      <c r="EW21" s="170"/>
      <c r="EX21" s="170"/>
      <c r="EY21" s="170"/>
      <c r="EZ21" s="170"/>
      <c r="FA21" s="170"/>
      <c r="FB21" s="170"/>
      <c r="FC21" s="170"/>
      <c r="FD21" s="170"/>
      <c r="FE21" s="170"/>
      <c r="FF21" s="170"/>
      <c r="FG21" s="170"/>
      <c r="FH21" s="170"/>
      <c r="FI21" s="170"/>
      <c r="FJ21" s="170"/>
      <c r="FK21" s="170"/>
      <c r="FL21" s="170"/>
      <c r="FM21" s="170"/>
      <c r="FN21" s="170"/>
      <c r="FO21" s="170"/>
      <c r="FP21" s="170"/>
      <c r="FQ21" s="170"/>
      <c r="FR21" s="170"/>
      <c r="FS21" s="170"/>
      <c r="FT21" s="170"/>
      <c r="FU21" s="170"/>
      <c r="FV21" s="170"/>
      <c r="FW21" s="170"/>
      <c r="FX21" s="170"/>
      <c r="FY21" s="170"/>
      <c r="FZ21" s="170"/>
      <c r="GA21" s="170"/>
      <c r="GB21" s="170"/>
      <c r="GC21" s="170"/>
    </row>
    <row r="22" spans="1:185" s="180" customFormat="1" ht="13">
      <c r="A22" s="689"/>
      <c r="B22" s="584" t="s">
        <v>2369</v>
      </c>
      <c r="C22" s="396">
        <f t="shared" ref="C22:C29" si="3">SUM(E22:AG22)</f>
        <v>0</v>
      </c>
      <c r="D22" s="397">
        <f>SUM(D16:D20)</f>
        <v>48958424.692404956</v>
      </c>
      <c r="E22" s="424">
        <f t="shared" ref="E22:AG22" si="4">E20 + E19 + E18 + E17 + E16</f>
        <v>0</v>
      </c>
      <c r="F22" s="396">
        <f t="shared" si="4"/>
        <v>0</v>
      </c>
      <c r="G22" s="396">
        <f t="shared" si="4"/>
        <v>0</v>
      </c>
      <c r="H22" s="396">
        <f t="shared" si="4"/>
        <v>0</v>
      </c>
      <c r="I22" s="396">
        <f t="shared" si="4"/>
        <v>0</v>
      </c>
      <c r="J22" s="396">
        <f t="shared" si="4"/>
        <v>0</v>
      </c>
      <c r="K22" s="396">
        <f t="shared" si="4"/>
        <v>0</v>
      </c>
      <c r="L22" s="396">
        <f t="shared" si="4"/>
        <v>0</v>
      </c>
      <c r="M22" s="396">
        <f t="shared" si="4"/>
        <v>0</v>
      </c>
      <c r="N22" s="396">
        <f t="shared" si="4"/>
        <v>0</v>
      </c>
      <c r="O22" s="396">
        <f t="shared" si="4"/>
        <v>0</v>
      </c>
      <c r="P22" s="396">
        <f t="shared" si="4"/>
        <v>0</v>
      </c>
      <c r="Q22" s="396">
        <f t="shared" si="4"/>
        <v>0</v>
      </c>
      <c r="R22" s="396">
        <f t="shared" si="4"/>
        <v>0</v>
      </c>
      <c r="S22" s="396">
        <f t="shared" si="4"/>
        <v>0</v>
      </c>
      <c r="T22" s="396">
        <f t="shared" si="4"/>
        <v>0</v>
      </c>
      <c r="U22" s="396">
        <f t="shared" si="4"/>
        <v>0</v>
      </c>
      <c r="V22" s="396">
        <f t="shared" si="4"/>
        <v>0</v>
      </c>
      <c r="W22" s="396">
        <f t="shared" si="4"/>
        <v>0</v>
      </c>
      <c r="X22" s="396">
        <f t="shared" si="4"/>
        <v>0</v>
      </c>
      <c r="Y22" s="396">
        <f t="shared" si="4"/>
        <v>0</v>
      </c>
      <c r="Z22" s="396">
        <f t="shared" si="4"/>
        <v>0</v>
      </c>
      <c r="AA22" s="396">
        <f t="shared" si="4"/>
        <v>0</v>
      </c>
      <c r="AB22" s="396">
        <f t="shared" si="4"/>
        <v>0</v>
      </c>
      <c r="AC22" s="396">
        <f t="shared" si="4"/>
        <v>0</v>
      </c>
      <c r="AD22" s="396">
        <f t="shared" si="4"/>
        <v>0</v>
      </c>
      <c r="AE22" s="396">
        <f t="shared" si="4"/>
        <v>0</v>
      </c>
      <c r="AF22" s="396">
        <f t="shared" si="4"/>
        <v>0</v>
      </c>
      <c r="AG22" s="396">
        <f t="shared" si="4"/>
        <v>0</v>
      </c>
      <c r="AH22" s="170"/>
      <c r="AI22" s="170"/>
      <c r="AJ22" s="170"/>
      <c r="AK22" s="170"/>
      <c r="AL22" s="170"/>
      <c r="AM22" s="170"/>
      <c r="AN22" s="170"/>
      <c r="AO22" s="170"/>
      <c r="AP22" s="170"/>
      <c r="AQ22" s="170"/>
      <c r="AR22" s="170"/>
      <c r="AS22" s="170"/>
      <c r="AT22" s="170"/>
      <c r="AU22" s="170"/>
      <c r="AV22" s="170"/>
      <c r="AW22" s="170"/>
      <c r="AX22" s="170"/>
      <c r="AY22" s="170"/>
      <c r="AZ22" s="170"/>
      <c r="BA22" s="170"/>
      <c r="BB22" s="170"/>
      <c r="BC22" s="170"/>
      <c r="BD22" s="170"/>
      <c r="BE22" s="170"/>
      <c r="BF22" s="170"/>
      <c r="BG22" s="170"/>
      <c r="BH22" s="170"/>
      <c r="BI22" s="170"/>
      <c r="BJ22" s="170"/>
      <c r="BK22" s="170"/>
      <c r="BL22" s="170"/>
      <c r="BM22" s="170"/>
      <c r="BN22" s="170"/>
      <c r="BO22" s="170"/>
      <c r="BP22" s="170"/>
      <c r="BQ22" s="170"/>
      <c r="BR22" s="170"/>
      <c r="BS22" s="170"/>
      <c r="BT22" s="170"/>
      <c r="BU22" s="170"/>
      <c r="BV22" s="170"/>
      <c r="BW22" s="170"/>
      <c r="BX22" s="170"/>
      <c r="BY22" s="170"/>
      <c r="BZ22" s="170"/>
      <c r="CA22" s="170"/>
      <c r="CB22" s="170"/>
      <c r="CC22" s="170"/>
      <c r="CD22" s="170"/>
      <c r="CE22" s="170"/>
      <c r="CF22" s="170"/>
      <c r="CG22" s="170"/>
      <c r="CH22" s="170"/>
      <c r="CI22" s="170"/>
      <c r="CJ22" s="170"/>
      <c r="CK22" s="170"/>
      <c r="CL22" s="170"/>
      <c r="CM22" s="170"/>
      <c r="CN22" s="170"/>
      <c r="CO22" s="170"/>
      <c r="CP22" s="170"/>
      <c r="CQ22" s="170"/>
      <c r="CR22" s="170"/>
      <c r="CS22" s="170"/>
      <c r="CT22" s="170"/>
      <c r="CU22" s="170"/>
      <c r="CV22" s="170"/>
      <c r="CW22" s="170"/>
      <c r="CX22" s="170"/>
      <c r="CY22" s="170"/>
      <c r="CZ22" s="170"/>
      <c r="DA22" s="170"/>
      <c r="DB22" s="170"/>
      <c r="DC22" s="170"/>
      <c r="DD22" s="170"/>
      <c r="DE22" s="170"/>
      <c r="DF22" s="170"/>
      <c r="DG22" s="170"/>
      <c r="DH22" s="170"/>
      <c r="DI22" s="170"/>
      <c r="DJ22" s="170"/>
      <c r="DK22" s="170"/>
      <c r="DL22" s="170"/>
      <c r="DM22" s="170"/>
      <c r="DN22" s="170"/>
      <c r="DO22" s="170"/>
      <c r="DP22" s="170"/>
      <c r="DQ22" s="170"/>
      <c r="DR22" s="170"/>
      <c r="DS22" s="170"/>
      <c r="DT22" s="170"/>
      <c r="DU22" s="170"/>
      <c r="DV22" s="170"/>
      <c r="DW22" s="170"/>
      <c r="DX22" s="170"/>
      <c r="DY22" s="170"/>
      <c r="DZ22" s="170"/>
      <c r="EA22" s="170"/>
      <c r="EB22" s="170"/>
      <c r="EC22" s="170"/>
      <c r="ED22" s="170"/>
      <c r="EE22" s="170"/>
      <c r="EF22" s="170"/>
      <c r="EG22" s="170"/>
      <c r="EH22" s="170"/>
      <c r="EI22" s="170"/>
      <c r="EJ22" s="170"/>
      <c r="EK22" s="170"/>
      <c r="EL22" s="170"/>
      <c r="EM22" s="170"/>
      <c r="EN22" s="170"/>
      <c r="EO22" s="170"/>
      <c r="EP22" s="170"/>
      <c r="EQ22" s="170"/>
      <c r="ER22" s="170"/>
      <c r="ES22" s="170"/>
      <c r="ET22" s="170"/>
      <c r="EU22" s="170"/>
      <c r="EV22" s="170"/>
      <c r="EW22" s="170"/>
      <c r="EX22" s="170"/>
      <c r="EY22" s="170"/>
      <c r="EZ22" s="170"/>
      <c r="FA22" s="170"/>
      <c r="FB22" s="170"/>
      <c r="FC22" s="170"/>
      <c r="FD22" s="170"/>
      <c r="FE22" s="170"/>
      <c r="FF22" s="170"/>
      <c r="FG22" s="170"/>
      <c r="FH22" s="170"/>
      <c r="FI22" s="170"/>
      <c r="FJ22" s="170"/>
      <c r="FK22" s="170"/>
      <c r="FL22" s="170"/>
      <c r="FM22" s="170"/>
      <c r="FN22" s="170"/>
      <c r="FO22" s="170"/>
      <c r="FP22" s="170"/>
      <c r="FQ22" s="170"/>
      <c r="FR22" s="170"/>
      <c r="FS22" s="170"/>
      <c r="FT22" s="170"/>
      <c r="FU22" s="170"/>
      <c r="FV22" s="170"/>
      <c r="FW22" s="170"/>
      <c r="FX22" s="170"/>
      <c r="FY22" s="170"/>
      <c r="FZ22" s="170"/>
      <c r="GA22" s="170"/>
      <c r="GB22" s="170"/>
      <c r="GC22" s="170"/>
    </row>
    <row r="23" spans="1:185" s="180" customFormat="1" ht="13">
      <c r="A23" s="689"/>
      <c r="B23" s="588" t="s">
        <v>2346</v>
      </c>
      <c r="C23" s="398">
        <f>SUM(E23:AG23)</f>
        <v>0</v>
      </c>
      <c r="D23" s="258">
        <v>31105536.189224977</v>
      </c>
      <c r="E23" s="423"/>
      <c r="F23" s="195"/>
      <c r="G23" s="195"/>
      <c r="H23" s="195"/>
      <c r="I23" s="195"/>
      <c r="J23" s="195"/>
      <c r="K23" s="196"/>
      <c r="L23" s="196"/>
      <c r="M23" s="196"/>
      <c r="N23" s="196"/>
      <c r="O23" s="196"/>
      <c r="P23" s="196"/>
      <c r="Q23" s="196"/>
      <c r="R23" s="196"/>
      <c r="S23" s="196"/>
      <c r="T23" s="196"/>
      <c r="U23" s="196"/>
      <c r="V23" s="196"/>
      <c r="W23" s="196"/>
      <c r="X23" s="196"/>
      <c r="Y23" s="196"/>
      <c r="Z23" s="196"/>
      <c r="AA23" s="196"/>
      <c r="AB23" s="196"/>
      <c r="AC23" s="196"/>
      <c r="AD23" s="196"/>
      <c r="AE23" s="196"/>
      <c r="AF23" s="196"/>
      <c r="AG23" s="196"/>
      <c r="AH23" s="170"/>
      <c r="AI23" s="170"/>
      <c r="AJ23" s="170"/>
      <c r="AK23" s="170"/>
      <c r="AL23" s="170"/>
      <c r="AM23" s="170"/>
      <c r="AN23" s="170"/>
      <c r="AO23" s="170"/>
      <c r="AP23" s="170"/>
      <c r="AQ23" s="170"/>
      <c r="AR23" s="170"/>
      <c r="AS23" s="170"/>
      <c r="AT23" s="170"/>
      <c r="AU23" s="170"/>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c r="BR23" s="170"/>
      <c r="BS23" s="170"/>
      <c r="BT23" s="170"/>
      <c r="BU23" s="170"/>
      <c r="BV23" s="170"/>
      <c r="BW23" s="170"/>
      <c r="BX23" s="170"/>
      <c r="BY23" s="170"/>
      <c r="BZ23" s="170"/>
      <c r="CA23" s="170"/>
      <c r="CB23" s="170"/>
      <c r="CC23" s="170"/>
      <c r="CD23" s="170"/>
      <c r="CE23" s="170"/>
      <c r="CF23" s="170"/>
      <c r="CG23" s="170"/>
      <c r="CH23" s="170"/>
      <c r="CI23" s="170"/>
      <c r="CJ23" s="170"/>
      <c r="CK23" s="170"/>
      <c r="CL23" s="170"/>
      <c r="CM23" s="170"/>
      <c r="CN23" s="170"/>
      <c r="CO23" s="170"/>
      <c r="CP23" s="170"/>
      <c r="CQ23" s="170"/>
      <c r="CR23" s="170"/>
      <c r="CS23" s="170"/>
      <c r="CT23" s="170"/>
      <c r="CU23" s="170"/>
      <c r="CV23" s="170"/>
      <c r="CW23" s="170"/>
      <c r="CX23" s="170"/>
      <c r="CY23" s="170"/>
      <c r="CZ23" s="170"/>
      <c r="DA23" s="170"/>
      <c r="DB23" s="170"/>
      <c r="DC23" s="170"/>
      <c r="DD23" s="170"/>
      <c r="DE23" s="170"/>
      <c r="DF23" s="170"/>
      <c r="DG23" s="170"/>
      <c r="DH23" s="170"/>
      <c r="DI23" s="170"/>
      <c r="DJ23" s="170"/>
      <c r="DK23" s="170"/>
      <c r="DL23" s="170"/>
      <c r="DM23" s="170"/>
      <c r="DN23" s="170"/>
      <c r="DO23" s="170"/>
      <c r="DP23" s="170"/>
      <c r="DQ23" s="170"/>
      <c r="DR23" s="170"/>
      <c r="DS23" s="170"/>
      <c r="DT23" s="170"/>
      <c r="DU23" s="170"/>
      <c r="DV23" s="170"/>
      <c r="DW23" s="170"/>
      <c r="DX23" s="170"/>
      <c r="DY23" s="170"/>
      <c r="DZ23" s="170"/>
      <c r="EA23" s="170"/>
      <c r="EB23" s="170"/>
      <c r="EC23" s="170"/>
      <c r="ED23" s="170"/>
      <c r="EE23" s="170"/>
      <c r="EF23" s="170"/>
      <c r="EG23" s="170"/>
      <c r="EH23" s="170"/>
      <c r="EI23" s="170"/>
      <c r="EJ23" s="170"/>
      <c r="EK23" s="170"/>
      <c r="EL23" s="170"/>
      <c r="EM23" s="170"/>
      <c r="EN23" s="170"/>
      <c r="EO23" s="170"/>
      <c r="EP23" s="170"/>
      <c r="EQ23" s="170"/>
      <c r="ER23" s="170"/>
      <c r="ES23" s="170"/>
      <c r="ET23" s="170"/>
      <c r="EU23" s="170"/>
      <c r="EV23" s="170"/>
      <c r="EW23" s="170"/>
      <c r="EX23" s="170"/>
      <c r="EY23" s="170"/>
      <c r="EZ23" s="170"/>
      <c r="FA23" s="170"/>
      <c r="FB23" s="170"/>
      <c r="FC23" s="170"/>
      <c r="FD23" s="170"/>
      <c r="FE23" s="170"/>
      <c r="FF23" s="170"/>
      <c r="FG23" s="170"/>
      <c r="FH23" s="170"/>
      <c r="FI23" s="170"/>
      <c r="FJ23" s="170"/>
      <c r="FK23" s="170"/>
      <c r="FL23" s="170"/>
      <c r="FM23" s="170"/>
      <c r="FN23" s="170"/>
      <c r="FO23" s="170"/>
      <c r="FP23" s="170"/>
      <c r="FQ23" s="170"/>
      <c r="FR23" s="170"/>
      <c r="FS23" s="170"/>
      <c r="FT23" s="170"/>
      <c r="FU23" s="170"/>
      <c r="FV23" s="170"/>
      <c r="FW23" s="170"/>
      <c r="FX23" s="170"/>
      <c r="FY23" s="170"/>
      <c r="FZ23" s="170"/>
      <c r="GA23" s="170"/>
      <c r="GB23" s="170"/>
      <c r="GC23" s="170"/>
    </row>
    <row r="24" spans="1:185" s="180" customFormat="1" ht="13">
      <c r="A24" s="689"/>
      <c r="B24" s="588" t="s">
        <v>2347</v>
      </c>
      <c r="C24" s="194">
        <f t="shared" si="3"/>
        <v>0</v>
      </c>
      <c r="D24" s="258">
        <v>32827176.332559269</v>
      </c>
      <c r="E24" s="423"/>
      <c r="F24" s="195"/>
      <c r="G24" s="195"/>
      <c r="H24" s="195"/>
      <c r="I24" s="195"/>
      <c r="J24" s="195"/>
      <c r="K24" s="196"/>
      <c r="L24" s="196"/>
      <c r="M24" s="196"/>
      <c r="N24" s="196"/>
      <c r="O24" s="196"/>
      <c r="P24" s="196"/>
      <c r="Q24" s="196"/>
      <c r="R24" s="196"/>
      <c r="S24" s="196"/>
      <c r="T24" s="196"/>
      <c r="U24" s="196"/>
      <c r="V24" s="196"/>
      <c r="W24" s="196"/>
      <c r="X24" s="196"/>
      <c r="Y24" s="196"/>
      <c r="Z24" s="196"/>
      <c r="AA24" s="196"/>
      <c r="AB24" s="196"/>
      <c r="AC24" s="196"/>
      <c r="AD24" s="196"/>
      <c r="AE24" s="196"/>
      <c r="AF24" s="196"/>
      <c r="AG24" s="196"/>
      <c r="AH24" s="170"/>
      <c r="AI24" s="170"/>
      <c r="AJ24" s="170"/>
      <c r="AK24" s="170"/>
      <c r="AL24" s="170"/>
      <c r="AM24" s="170"/>
      <c r="AN24" s="170"/>
      <c r="AO24" s="170"/>
      <c r="AP24" s="170"/>
      <c r="AQ24" s="170"/>
      <c r="AR24" s="170"/>
      <c r="AS24" s="170"/>
      <c r="AT24" s="170"/>
      <c r="AU24" s="170"/>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c r="BR24" s="170"/>
      <c r="BS24" s="170"/>
      <c r="BT24" s="170"/>
      <c r="BU24" s="170"/>
      <c r="BV24" s="170"/>
      <c r="BW24" s="170"/>
      <c r="BX24" s="170"/>
      <c r="BY24" s="170"/>
      <c r="BZ24" s="170"/>
      <c r="CA24" s="170"/>
      <c r="CB24" s="170"/>
      <c r="CC24" s="170"/>
      <c r="CD24" s="170"/>
      <c r="CE24" s="170"/>
      <c r="CF24" s="170"/>
      <c r="CG24" s="170"/>
      <c r="CH24" s="170"/>
      <c r="CI24" s="170"/>
      <c r="CJ24" s="170"/>
      <c r="CK24" s="170"/>
      <c r="CL24" s="170"/>
      <c r="CM24" s="170"/>
      <c r="CN24" s="170"/>
      <c r="CO24" s="170"/>
      <c r="CP24" s="170"/>
      <c r="CQ24" s="170"/>
      <c r="CR24" s="170"/>
      <c r="CS24" s="170"/>
      <c r="CT24" s="170"/>
      <c r="CU24" s="170"/>
      <c r="CV24" s="170"/>
      <c r="CW24" s="170"/>
      <c r="CX24" s="170"/>
      <c r="CY24" s="170"/>
      <c r="CZ24" s="170"/>
      <c r="DA24" s="170"/>
      <c r="DB24" s="170"/>
      <c r="DC24" s="170"/>
      <c r="DD24" s="170"/>
      <c r="DE24" s="170"/>
      <c r="DF24" s="170"/>
      <c r="DG24" s="170"/>
      <c r="DH24" s="170"/>
      <c r="DI24" s="170"/>
      <c r="DJ24" s="170"/>
      <c r="DK24" s="170"/>
      <c r="DL24" s="170"/>
      <c r="DM24" s="170"/>
      <c r="DN24" s="170"/>
      <c r="DO24" s="170"/>
      <c r="DP24" s="170"/>
      <c r="DQ24" s="170"/>
      <c r="DR24" s="170"/>
      <c r="DS24" s="170"/>
      <c r="DT24" s="170"/>
      <c r="DU24" s="170"/>
      <c r="DV24" s="170"/>
      <c r="DW24" s="170"/>
      <c r="DX24" s="170"/>
      <c r="DY24" s="170"/>
      <c r="DZ24" s="170"/>
      <c r="EA24" s="170"/>
      <c r="EB24" s="170"/>
      <c r="EC24" s="170"/>
      <c r="ED24" s="170"/>
      <c r="EE24" s="170"/>
      <c r="EF24" s="170"/>
      <c r="EG24" s="170"/>
      <c r="EH24" s="170"/>
      <c r="EI24" s="170"/>
      <c r="EJ24" s="170"/>
      <c r="EK24" s="170"/>
      <c r="EL24" s="170"/>
      <c r="EM24" s="170"/>
      <c r="EN24" s="170"/>
      <c r="EO24" s="170"/>
      <c r="EP24" s="170"/>
      <c r="EQ24" s="170"/>
      <c r="ER24" s="170"/>
      <c r="ES24" s="170"/>
      <c r="ET24" s="170"/>
      <c r="EU24" s="170"/>
      <c r="EV24" s="170"/>
      <c r="EW24" s="170"/>
      <c r="EX24" s="170"/>
      <c r="EY24" s="170"/>
      <c r="EZ24" s="170"/>
      <c r="FA24" s="170"/>
      <c r="FB24" s="170"/>
      <c r="FC24" s="170"/>
      <c r="FD24" s="170"/>
      <c r="FE24" s="170"/>
      <c r="FF24" s="170"/>
      <c r="FG24" s="170"/>
      <c r="FH24" s="170"/>
      <c r="FI24" s="170"/>
      <c r="FJ24" s="170"/>
      <c r="FK24" s="170"/>
      <c r="FL24" s="170"/>
      <c r="FM24" s="170"/>
      <c r="FN24" s="170"/>
      <c r="FO24" s="170"/>
      <c r="FP24" s="170"/>
      <c r="FQ24" s="170"/>
      <c r="FR24" s="170"/>
      <c r="FS24" s="170"/>
      <c r="FT24" s="170"/>
      <c r="FU24" s="170"/>
      <c r="FV24" s="170"/>
      <c r="FW24" s="170"/>
      <c r="FX24" s="170"/>
      <c r="FY24" s="170"/>
      <c r="FZ24" s="170"/>
      <c r="GA24" s="170"/>
      <c r="GB24" s="170"/>
      <c r="GC24" s="170"/>
    </row>
    <row r="25" spans="1:185" s="180" customFormat="1" ht="13">
      <c r="A25" s="689"/>
      <c r="B25" s="586" t="s">
        <v>1931</v>
      </c>
      <c r="C25" s="413">
        <f t="shared" si="3"/>
        <v>0</v>
      </c>
      <c r="D25" s="397">
        <f>D23+D24</f>
        <v>63932712.521784246</v>
      </c>
      <c r="E25" s="424">
        <f>E23+E24</f>
        <v>0</v>
      </c>
      <c r="F25" s="396">
        <f>F23+F24</f>
        <v>0</v>
      </c>
      <c r="G25" s="396">
        <f t="shared" ref="G25:AG25" si="5">G23+G24</f>
        <v>0</v>
      </c>
      <c r="H25" s="396">
        <f t="shared" si="5"/>
        <v>0</v>
      </c>
      <c r="I25" s="396">
        <f t="shared" si="5"/>
        <v>0</v>
      </c>
      <c r="J25" s="396">
        <f t="shared" si="5"/>
        <v>0</v>
      </c>
      <c r="K25" s="396">
        <f t="shared" si="5"/>
        <v>0</v>
      </c>
      <c r="L25" s="396">
        <f t="shared" si="5"/>
        <v>0</v>
      </c>
      <c r="M25" s="396">
        <f t="shared" si="5"/>
        <v>0</v>
      </c>
      <c r="N25" s="396">
        <f t="shared" si="5"/>
        <v>0</v>
      </c>
      <c r="O25" s="396">
        <f t="shared" si="5"/>
        <v>0</v>
      </c>
      <c r="P25" s="396">
        <f t="shared" si="5"/>
        <v>0</v>
      </c>
      <c r="Q25" s="396">
        <f t="shared" si="5"/>
        <v>0</v>
      </c>
      <c r="R25" s="396">
        <f t="shared" si="5"/>
        <v>0</v>
      </c>
      <c r="S25" s="396">
        <f t="shared" si="5"/>
        <v>0</v>
      </c>
      <c r="T25" s="396">
        <f t="shared" si="5"/>
        <v>0</v>
      </c>
      <c r="U25" s="396">
        <f t="shared" si="5"/>
        <v>0</v>
      </c>
      <c r="V25" s="396">
        <f t="shared" si="5"/>
        <v>0</v>
      </c>
      <c r="W25" s="396">
        <f t="shared" si="5"/>
        <v>0</v>
      </c>
      <c r="X25" s="396">
        <f t="shared" si="5"/>
        <v>0</v>
      </c>
      <c r="Y25" s="396">
        <f t="shared" si="5"/>
        <v>0</v>
      </c>
      <c r="Z25" s="396">
        <f t="shared" si="5"/>
        <v>0</v>
      </c>
      <c r="AA25" s="396">
        <f t="shared" si="5"/>
        <v>0</v>
      </c>
      <c r="AB25" s="396">
        <f t="shared" si="5"/>
        <v>0</v>
      </c>
      <c r="AC25" s="396">
        <f t="shared" si="5"/>
        <v>0</v>
      </c>
      <c r="AD25" s="396">
        <f t="shared" si="5"/>
        <v>0</v>
      </c>
      <c r="AE25" s="396">
        <f t="shared" si="5"/>
        <v>0</v>
      </c>
      <c r="AF25" s="396">
        <f t="shared" si="5"/>
        <v>0</v>
      </c>
      <c r="AG25" s="396">
        <f t="shared" si="5"/>
        <v>0</v>
      </c>
      <c r="AH25" s="170"/>
      <c r="AI25" s="170"/>
      <c r="AJ25" s="170"/>
      <c r="AK25" s="170"/>
      <c r="AL25" s="170"/>
      <c r="AM25" s="170"/>
      <c r="AN25" s="170"/>
      <c r="AO25" s="170"/>
      <c r="AP25" s="170"/>
      <c r="AQ25" s="170"/>
      <c r="AR25" s="170"/>
      <c r="AS25" s="170"/>
      <c r="AT25" s="170"/>
      <c r="AU25" s="170"/>
      <c r="AV25" s="170"/>
      <c r="AW25" s="170"/>
      <c r="AX25" s="170"/>
      <c r="AY25" s="170"/>
      <c r="AZ25" s="170"/>
      <c r="BA25" s="170"/>
      <c r="BB25" s="170"/>
      <c r="BC25" s="170"/>
      <c r="BD25" s="170"/>
      <c r="BE25" s="170"/>
      <c r="BF25" s="170"/>
      <c r="BG25" s="170"/>
      <c r="BH25" s="170"/>
      <c r="BI25" s="170"/>
      <c r="BJ25" s="170"/>
      <c r="BK25" s="170"/>
      <c r="BL25" s="170"/>
      <c r="BM25" s="170"/>
      <c r="BN25" s="170"/>
      <c r="BO25" s="170"/>
      <c r="BP25" s="170"/>
      <c r="BQ25" s="170"/>
      <c r="BR25" s="170"/>
      <c r="BS25" s="170"/>
      <c r="BT25" s="170"/>
      <c r="BU25" s="170"/>
      <c r="BV25" s="170"/>
      <c r="BW25" s="170"/>
      <c r="BX25" s="170"/>
      <c r="BY25" s="170"/>
      <c r="BZ25" s="170"/>
      <c r="CA25" s="170"/>
      <c r="CB25" s="170"/>
      <c r="CC25" s="170"/>
      <c r="CD25" s="170"/>
      <c r="CE25" s="170"/>
      <c r="CF25" s="170"/>
      <c r="CG25" s="170"/>
      <c r="CH25" s="170"/>
      <c r="CI25" s="170"/>
      <c r="CJ25" s="170"/>
      <c r="CK25" s="170"/>
      <c r="CL25" s="170"/>
      <c r="CM25" s="170"/>
      <c r="CN25" s="170"/>
      <c r="CO25" s="170"/>
      <c r="CP25" s="170"/>
      <c r="CQ25" s="170"/>
      <c r="CR25" s="170"/>
      <c r="CS25" s="170"/>
      <c r="CT25" s="170"/>
      <c r="CU25" s="170"/>
      <c r="CV25" s="170"/>
      <c r="CW25" s="170"/>
      <c r="CX25" s="170"/>
      <c r="CY25" s="170"/>
      <c r="CZ25" s="170"/>
      <c r="DA25" s="170"/>
      <c r="DB25" s="170"/>
      <c r="DC25" s="170"/>
      <c r="DD25" s="170"/>
      <c r="DE25" s="170"/>
      <c r="DF25" s="170"/>
      <c r="DG25" s="170"/>
      <c r="DH25" s="170"/>
      <c r="DI25" s="170"/>
      <c r="DJ25" s="170"/>
      <c r="DK25" s="170"/>
      <c r="DL25" s="170"/>
      <c r="DM25" s="170"/>
      <c r="DN25" s="170"/>
      <c r="DO25" s="170"/>
      <c r="DP25" s="170"/>
      <c r="DQ25" s="170"/>
      <c r="DR25" s="170"/>
      <c r="DS25" s="170"/>
      <c r="DT25" s="170"/>
      <c r="DU25" s="170"/>
      <c r="DV25" s="170"/>
      <c r="DW25" s="170"/>
      <c r="DX25" s="170"/>
      <c r="DY25" s="170"/>
      <c r="DZ25" s="170"/>
      <c r="EA25" s="170"/>
      <c r="EB25" s="170"/>
      <c r="EC25" s="170"/>
      <c r="ED25" s="170"/>
      <c r="EE25" s="170"/>
      <c r="EF25" s="170"/>
      <c r="EG25" s="170"/>
      <c r="EH25" s="170"/>
      <c r="EI25" s="170"/>
      <c r="EJ25" s="170"/>
      <c r="EK25" s="170"/>
      <c r="EL25" s="170"/>
      <c r="EM25" s="170"/>
      <c r="EN25" s="170"/>
      <c r="EO25" s="170"/>
      <c r="EP25" s="170"/>
      <c r="EQ25" s="170"/>
      <c r="ER25" s="170"/>
      <c r="ES25" s="170"/>
      <c r="ET25" s="170"/>
      <c r="EU25" s="170"/>
      <c r="EV25" s="170"/>
      <c r="EW25" s="170"/>
      <c r="EX25" s="170"/>
      <c r="EY25" s="170"/>
      <c r="EZ25" s="170"/>
      <c r="FA25" s="170"/>
      <c r="FB25" s="170"/>
      <c r="FC25" s="170"/>
      <c r="FD25" s="170"/>
      <c r="FE25" s="170"/>
      <c r="FF25" s="170"/>
      <c r="FG25" s="170"/>
      <c r="FH25" s="170"/>
      <c r="FI25" s="170"/>
      <c r="FJ25" s="170"/>
      <c r="FK25" s="170"/>
      <c r="FL25" s="170"/>
      <c r="FM25" s="170"/>
      <c r="FN25" s="170"/>
      <c r="FO25" s="170"/>
      <c r="FP25" s="170"/>
      <c r="FQ25" s="170"/>
      <c r="FR25" s="170"/>
      <c r="FS25" s="170"/>
      <c r="FT25" s="170"/>
      <c r="FU25" s="170"/>
      <c r="FV25" s="170"/>
      <c r="FW25" s="170"/>
      <c r="FX25" s="170"/>
      <c r="FY25" s="170"/>
      <c r="FZ25" s="170"/>
      <c r="GA25" s="170"/>
      <c r="GB25" s="170"/>
      <c r="GC25" s="170"/>
    </row>
    <row r="26" spans="1:185" s="180" customFormat="1" ht="13">
      <c r="A26" s="689"/>
      <c r="B26" s="588" t="s">
        <v>2492</v>
      </c>
      <c r="C26" s="621" t="str">
        <f>IF(COUNTA(E26:AG26)&gt;0,SUM(E26:AG26),"")</f>
        <v/>
      </c>
      <c r="D26" s="623">
        <v>23696842.413235739</v>
      </c>
      <c r="E26" s="423"/>
      <c r="F26" s="423"/>
      <c r="G26" s="423"/>
      <c r="H26" s="423"/>
      <c r="I26" s="423"/>
      <c r="J26" s="423"/>
      <c r="K26" s="423"/>
      <c r="L26" s="423"/>
      <c r="M26" s="423"/>
      <c r="N26" s="423"/>
      <c r="O26" s="423"/>
      <c r="P26" s="423"/>
      <c r="Q26" s="423"/>
      <c r="R26" s="423"/>
      <c r="S26" s="423"/>
      <c r="T26" s="423"/>
      <c r="U26" s="423"/>
      <c r="V26" s="423"/>
      <c r="W26" s="423"/>
      <c r="X26" s="423"/>
      <c r="Y26" s="423"/>
      <c r="Z26" s="423"/>
      <c r="AA26" s="423"/>
      <c r="AB26" s="423"/>
      <c r="AC26" s="423"/>
      <c r="AD26" s="423"/>
      <c r="AE26" s="423"/>
      <c r="AF26" s="423"/>
      <c r="AG26" s="422"/>
      <c r="AH26" s="170"/>
      <c r="AI26" s="170"/>
      <c r="AJ26" s="170"/>
      <c r="AK26" s="170"/>
      <c r="AL26" s="170"/>
      <c r="AM26" s="170"/>
      <c r="AN26" s="170"/>
      <c r="AO26" s="170"/>
      <c r="AP26" s="170"/>
      <c r="AQ26" s="170"/>
      <c r="AR26" s="170"/>
      <c r="AS26" s="170"/>
      <c r="AT26" s="170"/>
      <c r="AU26" s="170"/>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c r="BR26" s="170"/>
      <c r="BS26" s="170"/>
      <c r="BT26" s="170"/>
      <c r="BU26" s="170"/>
      <c r="BV26" s="170"/>
      <c r="BW26" s="170"/>
      <c r="BX26" s="170"/>
      <c r="BY26" s="170"/>
      <c r="BZ26" s="170"/>
      <c r="CA26" s="170"/>
      <c r="CB26" s="170"/>
      <c r="CC26" s="170"/>
      <c r="CD26" s="170"/>
      <c r="CE26" s="170"/>
      <c r="CF26" s="170"/>
      <c r="CG26" s="170"/>
      <c r="CH26" s="170"/>
      <c r="CI26" s="170"/>
      <c r="CJ26" s="170"/>
      <c r="CK26" s="170"/>
      <c r="CL26" s="170"/>
      <c r="CM26" s="170"/>
      <c r="CN26" s="170"/>
      <c r="CO26" s="170"/>
      <c r="CP26" s="170"/>
      <c r="CQ26" s="170"/>
      <c r="CR26" s="170"/>
      <c r="CS26" s="170"/>
      <c r="CT26" s="170"/>
      <c r="CU26" s="170"/>
      <c r="CV26" s="170"/>
      <c r="CW26" s="170"/>
      <c r="CX26" s="170"/>
      <c r="CY26" s="170"/>
      <c r="CZ26" s="170"/>
      <c r="DA26" s="170"/>
      <c r="DB26" s="170"/>
      <c r="DC26" s="170"/>
      <c r="DD26" s="170"/>
      <c r="DE26" s="170"/>
      <c r="DF26" s="170"/>
      <c r="DG26" s="170"/>
      <c r="DH26" s="170"/>
      <c r="DI26" s="170"/>
      <c r="DJ26" s="170"/>
      <c r="DK26" s="170"/>
      <c r="DL26" s="170"/>
      <c r="DM26" s="170"/>
      <c r="DN26" s="170"/>
      <c r="DO26" s="170"/>
      <c r="DP26" s="170"/>
      <c r="DQ26" s="170"/>
      <c r="DR26" s="170"/>
      <c r="DS26" s="170"/>
      <c r="DT26" s="170"/>
      <c r="DU26" s="170"/>
      <c r="DV26" s="170"/>
      <c r="DW26" s="170"/>
      <c r="DX26" s="170"/>
      <c r="DY26" s="170"/>
      <c r="DZ26" s="170"/>
      <c r="EA26" s="170"/>
      <c r="EB26" s="170"/>
      <c r="EC26" s="170"/>
      <c r="ED26" s="170"/>
      <c r="EE26" s="170"/>
      <c r="EF26" s="170"/>
      <c r="EG26" s="170"/>
      <c r="EH26" s="170"/>
      <c r="EI26" s="170"/>
      <c r="EJ26" s="170"/>
      <c r="EK26" s="170"/>
      <c r="EL26" s="170"/>
      <c r="EM26" s="170"/>
      <c r="EN26" s="170"/>
      <c r="EO26" s="170"/>
      <c r="EP26" s="170"/>
      <c r="EQ26" s="170"/>
      <c r="ER26" s="170"/>
      <c r="ES26" s="170"/>
      <c r="ET26" s="170"/>
      <c r="EU26" s="170"/>
      <c r="EV26" s="170"/>
      <c r="EW26" s="170"/>
      <c r="EX26" s="170"/>
      <c r="EY26" s="170"/>
      <c r="EZ26" s="170"/>
      <c r="FA26" s="170"/>
      <c r="FB26" s="170"/>
      <c r="FC26" s="170"/>
      <c r="FD26" s="170"/>
      <c r="FE26" s="170"/>
      <c r="FF26" s="170"/>
      <c r="FG26" s="170"/>
      <c r="FH26" s="170"/>
      <c r="FI26" s="170"/>
      <c r="FJ26" s="170"/>
      <c r="FK26" s="170"/>
      <c r="FL26" s="170"/>
      <c r="FM26" s="170"/>
      <c r="FN26" s="170"/>
      <c r="FO26" s="170"/>
      <c r="FP26" s="170"/>
      <c r="FQ26" s="170"/>
      <c r="FR26" s="170"/>
      <c r="FS26" s="170"/>
      <c r="FT26" s="170"/>
      <c r="FU26" s="170"/>
      <c r="FV26" s="170"/>
      <c r="FW26" s="170"/>
      <c r="FX26" s="170"/>
      <c r="FY26" s="170"/>
      <c r="FZ26" s="170"/>
      <c r="GA26" s="170"/>
      <c r="GB26" s="170"/>
      <c r="GC26" s="170"/>
    </row>
    <row r="27" spans="1:185" s="180" customFormat="1" ht="13">
      <c r="A27" s="689"/>
      <c r="B27" s="588" t="s">
        <v>2493</v>
      </c>
      <c r="C27" s="390" t="str">
        <f>IF(COUNTA(E27:AG27)&gt;0,SUM(E27:AG27),"")</f>
        <v/>
      </c>
      <c r="D27" s="623">
        <v>10155789.60567246</v>
      </c>
      <c r="E27" s="423"/>
      <c r="F27" s="423"/>
      <c r="G27" s="423"/>
      <c r="H27" s="423"/>
      <c r="I27" s="423"/>
      <c r="J27" s="423"/>
      <c r="K27" s="423"/>
      <c r="L27" s="423"/>
      <c r="M27" s="423"/>
      <c r="N27" s="423"/>
      <c r="O27" s="423"/>
      <c r="P27" s="423"/>
      <c r="Q27" s="423"/>
      <c r="R27" s="423"/>
      <c r="S27" s="423"/>
      <c r="T27" s="423"/>
      <c r="U27" s="423"/>
      <c r="V27" s="423"/>
      <c r="W27" s="423"/>
      <c r="X27" s="423"/>
      <c r="Y27" s="423"/>
      <c r="Z27" s="423"/>
      <c r="AA27" s="423"/>
      <c r="AB27" s="423"/>
      <c r="AC27" s="423"/>
      <c r="AD27" s="423"/>
      <c r="AE27" s="423"/>
      <c r="AF27" s="423"/>
      <c r="AG27" s="423"/>
      <c r="AH27" s="170"/>
      <c r="AI27" s="170"/>
      <c r="AJ27" s="170"/>
      <c r="AK27" s="170"/>
      <c r="AL27" s="170"/>
      <c r="AM27" s="170"/>
      <c r="AN27" s="170"/>
      <c r="AO27" s="170"/>
      <c r="AP27" s="170"/>
      <c r="AQ27" s="170"/>
      <c r="AR27" s="170"/>
      <c r="AS27" s="170"/>
      <c r="AT27" s="170"/>
      <c r="AU27" s="170"/>
      <c r="AV27" s="170"/>
      <c r="AW27" s="170"/>
      <c r="AX27" s="170"/>
      <c r="AY27" s="170"/>
      <c r="AZ27" s="170"/>
      <c r="BA27" s="170"/>
      <c r="BB27" s="170"/>
      <c r="BC27" s="170"/>
      <c r="BD27" s="170"/>
      <c r="BE27" s="170"/>
      <c r="BF27" s="170"/>
      <c r="BG27" s="170"/>
      <c r="BH27" s="170"/>
      <c r="BI27" s="170"/>
      <c r="BJ27" s="170"/>
      <c r="BK27" s="170"/>
      <c r="BL27" s="170"/>
      <c r="BM27" s="170"/>
      <c r="BN27" s="170"/>
      <c r="BO27" s="170"/>
      <c r="BP27" s="170"/>
      <c r="BQ27" s="170"/>
      <c r="BR27" s="170"/>
      <c r="BS27" s="170"/>
      <c r="BT27" s="170"/>
      <c r="BU27" s="170"/>
      <c r="BV27" s="170"/>
      <c r="BW27" s="170"/>
      <c r="BX27" s="170"/>
      <c r="BY27" s="170"/>
      <c r="BZ27" s="170"/>
      <c r="CA27" s="170"/>
      <c r="CB27" s="170"/>
      <c r="CC27" s="170"/>
      <c r="CD27" s="170"/>
      <c r="CE27" s="170"/>
      <c r="CF27" s="170"/>
      <c r="CG27" s="170"/>
      <c r="CH27" s="170"/>
      <c r="CI27" s="170"/>
      <c r="CJ27" s="170"/>
      <c r="CK27" s="170"/>
      <c r="CL27" s="170"/>
      <c r="CM27" s="170"/>
      <c r="CN27" s="170"/>
      <c r="CO27" s="170"/>
      <c r="CP27" s="170"/>
      <c r="CQ27" s="170"/>
      <c r="CR27" s="170"/>
      <c r="CS27" s="170"/>
      <c r="CT27" s="170"/>
      <c r="CU27" s="170"/>
      <c r="CV27" s="170"/>
      <c r="CW27" s="170"/>
      <c r="CX27" s="170"/>
      <c r="CY27" s="170"/>
      <c r="CZ27" s="170"/>
      <c r="DA27" s="170"/>
      <c r="DB27" s="170"/>
      <c r="DC27" s="170"/>
      <c r="DD27" s="170"/>
      <c r="DE27" s="170"/>
      <c r="DF27" s="170"/>
      <c r="DG27" s="170"/>
      <c r="DH27" s="170"/>
      <c r="DI27" s="170"/>
      <c r="DJ27" s="170"/>
      <c r="DK27" s="170"/>
      <c r="DL27" s="170"/>
      <c r="DM27" s="170"/>
      <c r="DN27" s="170"/>
      <c r="DO27" s="170"/>
      <c r="DP27" s="170"/>
      <c r="DQ27" s="170"/>
      <c r="DR27" s="170"/>
      <c r="DS27" s="170"/>
      <c r="DT27" s="170"/>
      <c r="DU27" s="170"/>
      <c r="DV27" s="170"/>
      <c r="DW27" s="170"/>
      <c r="DX27" s="170"/>
      <c r="DY27" s="170"/>
      <c r="DZ27" s="170"/>
      <c r="EA27" s="170"/>
      <c r="EB27" s="170"/>
      <c r="EC27" s="170"/>
      <c r="ED27" s="170"/>
      <c r="EE27" s="170"/>
      <c r="EF27" s="170"/>
      <c r="EG27" s="170"/>
      <c r="EH27" s="170"/>
      <c r="EI27" s="170"/>
      <c r="EJ27" s="170"/>
      <c r="EK27" s="170"/>
      <c r="EL27" s="170"/>
      <c r="EM27" s="170"/>
      <c r="EN27" s="170"/>
      <c r="EO27" s="170"/>
      <c r="EP27" s="170"/>
      <c r="EQ27" s="170"/>
      <c r="ER27" s="170"/>
      <c r="ES27" s="170"/>
      <c r="ET27" s="170"/>
      <c r="EU27" s="170"/>
      <c r="EV27" s="170"/>
      <c r="EW27" s="170"/>
      <c r="EX27" s="170"/>
      <c r="EY27" s="170"/>
      <c r="EZ27" s="170"/>
      <c r="FA27" s="170"/>
      <c r="FB27" s="170"/>
      <c r="FC27" s="170"/>
      <c r="FD27" s="170"/>
      <c r="FE27" s="170"/>
      <c r="FF27" s="170"/>
      <c r="FG27" s="170"/>
      <c r="FH27" s="170"/>
      <c r="FI27" s="170"/>
      <c r="FJ27" s="170"/>
      <c r="FK27" s="170"/>
      <c r="FL27" s="170"/>
      <c r="FM27" s="170"/>
      <c r="FN27" s="170"/>
      <c r="FO27" s="170"/>
      <c r="FP27" s="170"/>
      <c r="FQ27" s="170"/>
      <c r="FR27" s="170"/>
      <c r="FS27" s="170"/>
      <c r="FT27" s="170"/>
      <c r="FU27" s="170"/>
      <c r="FV27" s="170"/>
      <c r="FW27" s="170"/>
      <c r="FX27" s="170"/>
      <c r="FY27" s="170"/>
      <c r="FZ27" s="170"/>
      <c r="GA27" s="170"/>
      <c r="GB27" s="170"/>
      <c r="GC27" s="170"/>
    </row>
    <row r="28" spans="1:185" s="180" customFormat="1" ht="13">
      <c r="A28" s="689"/>
      <c r="B28" s="586" t="s">
        <v>2494</v>
      </c>
      <c r="C28" s="622">
        <f>SUM(E28:AG28)</f>
        <v>0</v>
      </c>
      <c r="D28" s="618">
        <f>SUM(D26:D27)</f>
        <v>33852632.018908203</v>
      </c>
      <c r="E28" s="619">
        <f>E26+E27</f>
        <v>0</v>
      </c>
      <c r="F28" s="619">
        <f t="shared" ref="F28:AG28" si="6">F26+F27</f>
        <v>0</v>
      </c>
      <c r="G28" s="619">
        <f>G26+G27</f>
        <v>0</v>
      </c>
      <c r="H28" s="619">
        <f t="shared" si="6"/>
        <v>0</v>
      </c>
      <c r="I28" s="619">
        <f t="shared" si="6"/>
        <v>0</v>
      </c>
      <c r="J28" s="619">
        <f t="shared" si="6"/>
        <v>0</v>
      </c>
      <c r="K28" s="619">
        <f t="shared" si="6"/>
        <v>0</v>
      </c>
      <c r="L28" s="619">
        <f t="shared" si="6"/>
        <v>0</v>
      </c>
      <c r="M28" s="619">
        <f t="shared" si="6"/>
        <v>0</v>
      </c>
      <c r="N28" s="619">
        <f t="shared" si="6"/>
        <v>0</v>
      </c>
      <c r="O28" s="619">
        <f t="shared" si="6"/>
        <v>0</v>
      </c>
      <c r="P28" s="619">
        <f t="shared" si="6"/>
        <v>0</v>
      </c>
      <c r="Q28" s="619">
        <f t="shared" si="6"/>
        <v>0</v>
      </c>
      <c r="R28" s="619">
        <f t="shared" si="6"/>
        <v>0</v>
      </c>
      <c r="S28" s="619">
        <f t="shared" si="6"/>
        <v>0</v>
      </c>
      <c r="T28" s="619">
        <f t="shared" si="6"/>
        <v>0</v>
      </c>
      <c r="U28" s="619">
        <f t="shared" si="6"/>
        <v>0</v>
      </c>
      <c r="V28" s="619">
        <f t="shared" si="6"/>
        <v>0</v>
      </c>
      <c r="W28" s="619">
        <f t="shared" si="6"/>
        <v>0</v>
      </c>
      <c r="X28" s="619">
        <f t="shared" si="6"/>
        <v>0</v>
      </c>
      <c r="Y28" s="619">
        <f t="shared" si="6"/>
        <v>0</v>
      </c>
      <c r="Z28" s="619">
        <f t="shared" si="6"/>
        <v>0</v>
      </c>
      <c r="AA28" s="619">
        <f t="shared" si="6"/>
        <v>0</v>
      </c>
      <c r="AB28" s="619">
        <f t="shared" si="6"/>
        <v>0</v>
      </c>
      <c r="AC28" s="619">
        <f t="shared" si="6"/>
        <v>0</v>
      </c>
      <c r="AD28" s="619">
        <f t="shared" si="6"/>
        <v>0</v>
      </c>
      <c r="AE28" s="619">
        <f t="shared" si="6"/>
        <v>0</v>
      </c>
      <c r="AF28" s="619">
        <f t="shared" si="6"/>
        <v>0</v>
      </c>
      <c r="AG28" s="424">
        <f t="shared" si="6"/>
        <v>0</v>
      </c>
      <c r="AH28" s="170"/>
      <c r="AI28" s="170"/>
      <c r="AJ28" s="170"/>
      <c r="AK28" s="170"/>
      <c r="AL28" s="170"/>
      <c r="AM28" s="170"/>
      <c r="AN28" s="170"/>
      <c r="AO28" s="170"/>
      <c r="AP28" s="170"/>
      <c r="AQ28" s="170"/>
      <c r="AR28" s="170"/>
      <c r="AS28" s="170"/>
      <c r="AT28" s="170"/>
      <c r="AU28" s="170"/>
      <c r="AV28" s="170"/>
      <c r="AW28" s="170"/>
      <c r="AX28" s="170"/>
      <c r="AY28" s="170"/>
      <c r="AZ28" s="170"/>
      <c r="BA28" s="170"/>
      <c r="BB28" s="170"/>
      <c r="BC28" s="170"/>
      <c r="BD28" s="170"/>
      <c r="BE28" s="170"/>
      <c r="BF28" s="170"/>
      <c r="BG28" s="170"/>
      <c r="BH28" s="170"/>
      <c r="BI28" s="170"/>
      <c r="BJ28" s="170"/>
      <c r="BK28" s="170"/>
      <c r="BL28" s="170"/>
      <c r="BM28" s="170"/>
      <c r="BN28" s="170"/>
      <c r="BO28" s="170"/>
      <c r="BP28" s="170"/>
      <c r="BQ28" s="170"/>
      <c r="BR28" s="170"/>
      <c r="BS28" s="170"/>
      <c r="BT28" s="170"/>
      <c r="BU28" s="170"/>
      <c r="BV28" s="170"/>
      <c r="BW28" s="170"/>
      <c r="BX28" s="170"/>
      <c r="BY28" s="170"/>
      <c r="BZ28" s="170"/>
      <c r="CA28" s="170"/>
      <c r="CB28" s="170"/>
      <c r="CC28" s="170"/>
      <c r="CD28" s="170"/>
      <c r="CE28" s="170"/>
      <c r="CF28" s="170"/>
      <c r="CG28" s="170"/>
      <c r="CH28" s="170"/>
      <c r="CI28" s="170"/>
      <c r="CJ28" s="170"/>
      <c r="CK28" s="170"/>
      <c r="CL28" s="170"/>
      <c r="CM28" s="170"/>
      <c r="CN28" s="170"/>
      <c r="CO28" s="170"/>
      <c r="CP28" s="170"/>
      <c r="CQ28" s="170"/>
      <c r="CR28" s="170"/>
      <c r="CS28" s="170"/>
      <c r="CT28" s="170"/>
      <c r="CU28" s="170"/>
      <c r="CV28" s="170"/>
      <c r="CW28" s="170"/>
      <c r="CX28" s="170"/>
      <c r="CY28" s="170"/>
      <c r="CZ28" s="170"/>
      <c r="DA28" s="170"/>
      <c r="DB28" s="170"/>
      <c r="DC28" s="170"/>
      <c r="DD28" s="170"/>
      <c r="DE28" s="170"/>
      <c r="DF28" s="170"/>
      <c r="DG28" s="170"/>
      <c r="DH28" s="170"/>
      <c r="DI28" s="170"/>
      <c r="DJ28" s="170"/>
      <c r="DK28" s="170"/>
      <c r="DL28" s="170"/>
      <c r="DM28" s="170"/>
      <c r="DN28" s="170"/>
      <c r="DO28" s="170"/>
      <c r="DP28" s="170"/>
      <c r="DQ28" s="170"/>
      <c r="DR28" s="170"/>
      <c r="DS28" s="170"/>
      <c r="DT28" s="170"/>
      <c r="DU28" s="170"/>
      <c r="DV28" s="170"/>
      <c r="DW28" s="170"/>
      <c r="DX28" s="170"/>
      <c r="DY28" s="170"/>
      <c r="DZ28" s="170"/>
      <c r="EA28" s="170"/>
      <c r="EB28" s="170"/>
      <c r="EC28" s="170"/>
      <c r="ED28" s="170"/>
      <c r="EE28" s="170"/>
      <c r="EF28" s="170"/>
      <c r="EG28" s="170"/>
      <c r="EH28" s="170"/>
      <c r="EI28" s="170"/>
      <c r="EJ28" s="170"/>
      <c r="EK28" s="170"/>
      <c r="EL28" s="170"/>
      <c r="EM28" s="170"/>
      <c r="EN28" s="170"/>
      <c r="EO28" s="170"/>
      <c r="EP28" s="170"/>
      <c r="EQ28" s="170"/>
      <c r="ER28" s="170"/>
      <c r="ES28" s="170"/>
      <c r="ET28" s="170"/>
      <c r="EU28" s="170"/>
      <c r="EV28" s="170"/>
      <c r="EW28" s="170"/>
      <c r="EX28" s="170"/>
      <c r="EY28" s="170"/>
      <c r="EZ28" s="170"/>
      <c r="FA28" s="170"/>
      <c r="FB28" s="170"/>
      <c r="FC28" s="170"/>
      <c r="FD28" s="170"/>
      <c r="FE28" s="170"/>
      <c r="FF28" s="170"/>
      <c r="FG28" s="170"/>
      <c r="FH28" s="170"/>
      <c r="FI28" s="170"/>
      <c r="FJ28" s="170"/>
      <c r="FK28" s="170"/>
      <c r="FL28" s="170"/>
      <c r="FM28" s="170"/>
      <c r="FN28" s="170"/>
      <c r="FO28" s="170"/>
      <c r="FP28" s="170"/>
      <c r="FQ28" s="170"/>
      <c r="FR28" s="170"/>
      <c r="FS28" s="170"/>
      <c r="FT28" s="170"/>
      <c r="FU28" s="170"/>
      <c r="FV28" s="170"/>
      <c r="FW28" s="170"/>
      <c r="FX28" s="170"/>
      <c r="FY28" s="170"/>
      <c r="FZ28" s="170"/>
      <c r="GA28" s="170"/>
      <c r="GB28" s="170"/>
      <c r="GC28" s="170"/>
    </row>
    <row r="29" spans="1:185" s="289" customFormat="1" ht="15" customHeight="1">
      <c r="A29" s="690"/>
      <c r="B29" s="620" t="s">
        <v>2337</v>
      </c>
      <c r="C29" s="396">
        <f t="shared" si="3"/>
        <v>0</v>
      </c>
      <c r="D29" s="397">
        <f t="shared" ref="D29:AG29" si="7">D22+D25+D28</f>
        <v>146743769.2330974</v>
      </c>
      <c r="E29" s="424">
        <f>E22+E25+E28</f>
        <v>0</v>
      </c>
      <c r="F29" s="396">
        <f t="shared" si="7"/>
        <v>0</v>
      </c>
      <c r="G29" s="396">
        <f t="shared" si="7"/>
        <v>0</v>
      </c>
      <c r="H29" s="396">
        <f t="shared" si="7"/>
        <v>0</v>
      </c>
      <c r="I29" s="396">
        <f t="shared" si="7"/>
        <v>0</v>
      </c>
      <c r="J29" s="396">
        <f t="shared" si="7"/>
        <v>0</v>
      </c>
      <c r="K29" s="396">
        <f t="shared" si="7"/>
        <v>0</v>
      </c>
      <c r="L29" s="396">
        <f t="shared" si="7"/>
        <v>0</v>
      </c>
      <c r="M29" s="396">
        <f t="shared" si="7"/>
        <v>0</v>
      </c>
      <c r="N29" s="396">
        <f t="shared" si="7"/>
        <v>0</v>
      </c>
      <c r="O29" s="396">
        <f t="shared" si="7"/>
        <v>0</v>
      </c>
      <c r="P29" s="396">
        <f t="shared" si="7"/>
        <v>0</v>
      </c>
      <c r="Q29" s="396">
        <f t="shared" si="7"/>
        <v>0</v>
      </c>
      <c r="R29" s="396">
        <f t="shared" si="7"/>
        <v>0</v>
      </c>
      <c r="S29" s="396">
        <f t="shared" si="7"/>
        <v>0</v>
      </c>
      <c r="T29" s="396">
        <f t="shared" si="7"/>
        <v>0</v>
      </c>
      <c r="U29" s="396">
        <f t="shared" si="7"/>
        <v>0</v>
      </c>
      <c r="V29" s="396">
        <f t="shared" si="7"/>
        <v>0</v>
      </c>
      <c r="W29" s="396">
        <f t="shared" si="7"/>
        <v>0</v>
      </c>
      <c r="X29" s="396">
        <f t="shared" si="7"/>
        <v>0</v>
      </c>
      <c r="Y29" s="396">
        <f t="shared" si="7"/>
        <v>0</v>
      </c>
      <c r="Z29" s="396">
        <f t="shared" si="7"/>
        <v>0</v>
      </c>
      <c r="AA29" s="396">
        <f t="shared" si="7"/>
        <v>0</v>
      </c>
      <c r="AB29" s="396">
        <f t="shared" si="7"/>
        <v>0</v>
      </c>
      <c r="AC29" s="396">
        <f t="shared" si="7"/>
        <v>0</v>
      </c>
      <c r="AD29" s="396">
        <f t="shared" si="7"/>
        <v>0</v>
      </c>
      <c r="AE29" s="396">
        <f t="shared" si="7"/>
        <v>0</v>
      </c>
      <c r="AF29" s="396">
        <f t="shared" si="7"/>
        <v>0</v>
      </c>
      <c r="AG29" s="396">
        <f t="shared" si="7"/>
        <v>0</v>
      </c>
      <c r="AH29" s="172"/>
      <c r="AI29" s="172"/>
      <c r="AJ29" s="172"/>
      <c r="AK29" s="172"/>
      <c r="AL29" s="172"/>
      <c r="AM29" s="172"/>
      <c r="AN29" s="172"/>
      <c r="AO29" s="172"/>
      <c r="AP29" s="172"/>
      <c r="AQ29" s="172"/>
      <c r="AR29" s="172"/>
      <c r="AS29" s="172"/>
      <c r="AT29" s="172"/>
      <c r="AU29" s="172"/>
      <c r="AV29" s="172"/>
      <c r="AW29" s="172"/>
      <c r="AX29" s="172"/>
      <c r="AY29" s="172"/>
      <c r="AZ29" s="172"/>
      <c r="BA29" s="172"/>
      <c r="BB29" s="172"/>
      <c r="BC29" s="172"/>
      <c r="BD29" s="172"/>
      <c r="BE29" s="172"/>
      <c r="BF29" s="172"/>
      <c r="BG29" s="172"/>
      <c r="BH29" s="172"/>
      <c r="BI29" s="172"/>
      <c r="BJ29" s="172"/>
      <c r="BK29" s="172"/>
      <c r="BL29" s="172"/>
      <c r="BM29" s="172"/>
      <c r="BN29" s="172"/>
      <c r="BO29" s="172"/>
      <c r="BP29" s="172"/>
      <c r="BQ29" s="172"/>
      <c r="BR29" s="172"/>
      <c r="BS29" s="172"/>
      <c r="BT29" s="172"/>
      <c r="BU29" s="172"/>
      <c r="BV29" s="172"/>
      <c r="BW29" s="172"/>
      <c r="BX29" s="172"/>
      <c r="BY29" s="172"/>
      <c r="BZ29" s="172"/>
      <c r="CA29" s="172"/>
      <c r="CB29" s="172"/>
      <c r="CC29" s="172"/>
      <c r="CD29" s="172"/>
      <c r="CE29" s="172"/>
      <c r="CF29" s="172"/>
      <c r="CG29" s="172"/>
      <c r="CH29" s="172"/>
      <c r="CI29" s="172"/>
      <c r="CJ29" s="172"/>
      <c r="CK29" s="172"/>
      <c r="CL29" s="172"/>
      <c r="CM29" s="172"/>
      <c r="CN29" s="172"/>
      <c r="CO29" s="172"/>
      <c r="CP29" s="172"/>
      <c r="CQ29" s="172"/>
      <c r="CR29" s="172"/>
      <c r="CS29" s="172"/>
      <c r="CT29" s="172"/>
      <c r="CU29" s="172"/>
      <c r="CV29" s="172"/>
      <c r="CW29" s="172"/>
      <c r="CX29" s="172"/>
      <c r="CY29" s="172"/>
      <c r="CZ29" s="172"/>
      <c r="DA29" s="172"/>
      <c r="DB29" s="172"/>
      <c r="DC29" s="172"/>
      <c r="DD29" s="172"/>
      <c r="DE29" s="172"/>
      <c r="DF29" s="172"/>
      <c r="DG29" s="172"/>
      <c r="DH29" s="172"/>
      <c r="DI29" s="172"/>
      <c r="DJ29" s="172"/>
      <c r="DK29" s="172"/>
      <c r="DL29" s="172"/>
      <c r="DM29" s="172"/>
      <c r="DN29" s="172"/>
      <c r="DO29" s="172"/>
      <c r="DP29" s="172"/>
      <c r="DQ29" s="172"/>
      <c r="DR29" s="172"/>
      <c r="DS29" s="172"/>
      <c r="DT29" s="172"/>
      <c r="DU29" s="172"/>
      <c r="DV29" s="172"/>
      <c r="DW29" s="172"/>
      <c r="DX29" s="172"/>
      <c r="DY29" s="172"/>
      <c r="DZ29" s="172"/>
      <c r="EA29" s="172"/>
      <c r="EB29" s="172"/>
      <c r="EC29" s="172"/>
      <c r="ED29" s="172"/>
      <c r="EE29" s="172"/>
      <c r="EF29" s="172"/>
      <c r="EG29" s="172"/>
      <c r="EH29" s="172"/>
      <c r="EI29" s="172"/>
      <c r="EJ29" s="172"/>
      <c r="EK29" s="172"/>
      <c r="EL29" s="172"/>
      <c r="EM29" s="172"/>
      <c r="EN29" s="172"/>
      <c r="EO29" s="172"/>
      <c r="EP29" s="172"/>
      <c r="EQ29" s="172"/>
      <c r="ER29" s="172"/>
      <c r="ES29" s="172"/>
      <c r="ET29" s="172"/>
      <c r="EU29" s="172"/>
      <c r="EV29" s="172"/>
      <c r="EW29" s="172"/>
      <c r="EX29" s="172"/>
      <c r="EY29" s="172"/>
      <c r="EZ29" s="172"/>
      <c r="FA29" s="172"/>
      <c r="FB29" s="172"/>
      <c r="FC29" s="172"/>
      <c r="FD29" s="172"/>
      <c r="FE29" s="172"/>
      <c r="FF29" s="172"/>
      <c r="FG29" s="172"/>
      <c r="FH29" s="172"/>
      <c r="FI29" s="172"/>
      <c r="FJ29" s="172"/>
      <c r="FK29" s="172"/>
      <c r="FL29" s="172"/>
      <c r="FM29" s="172"/>
      <c r="FN29" s="172"/>
      <c r="FO29" s="172"/>
      <c r="FP29" s="172"/>
      <c r="FQ29" s="172"/>
      <c r="FR29" s="172"/>
      <c r="FS29" s="172"/>
      <c r="FT29" s="172"/>
      <c r="FU29" s="172"/>
      <c r="FV29" s="172"/>
      <c r="FW29" s="172"/>
      <c r="FX29" s="172"/>
      <c r="FY29" s="172"/>
      <c r="FZ29" s="172"/>
      <c r="GA29" s="172"/>
      <c r="GB29" s="172"/>
      <c r="GC29" s="172"/>
    </row>
    <row r="30" spans="1:185" s="289" customFormat="1" ht="7.5" customHeight="1">
      <c r="A30" s="290"/>
      <c r="B30" s="290"/>
      <c r="C30" s="290"/>
      <c r="D30" s="290"/>
      <c r="E30" s="421"/>
      <c r="F30" s="290"/>
      <c r="G30" s="290"/>
      <c r="H30" s="290"/>
      <c r="I30" s="290"/>
      <c r="J30" s="290"/>
      <c r="K30" s="290"/>
      <c r="L30" s="290"/>
      <c r="M30" s="290"/>
      <c r="N30" s="290"/>
      <c r="O30" s="290"/>
      <c r="P30" s="290"/>
      <c r="Q30" s="290"/>
      <c r="R30" s="290"/>
      <c r="S30" s="290"/>
      <c r="T30" s="290"/>
      <c r="U30" s="290"/>
      <c r="V30" s="290"/>
      <c r="W30" s="290"/>
      <c r="X30" s="290"/>
      <c r="Y30" s="290"/>
      <c r="Z30" s="290"/>
      <c r="AA30" s="290"/>
      <c r="AB30" s="290"/>
      <c r="AC30" s="290"/>
      <c r="AD30" s="290"/>
      <c r="AE30" s="290"/>
      <c r="AF30" s="290"/>
      <c r="AG30" s="290"/>
      <c r="AH30" s="172"/>
      <c r="AI30" s="172"/>
      <c r="AJ30" s="172"/>
      <c r="AK30" s="172"/>
      <c r="AL30" s="172"/>
      <c r="AM30" s="172"/>
      <c r="AN30" s="172"/>
      <c r="AO30" s="172"/>
      <c r="AP30" s="172"/>
      <c r="AQ30" s="172"/>
      <c r="AR30" s="172"/>
      <c r="AS30" s="172"/>
      <c r="AT30" s="172"/>
      <c r="AU30" s="172"/>
      <c r="AV30" s="172"/>
      <c r="AW30" s="172"/>
      <c r="AX30" s="172"/>
      <c r="AY30" s="172"/>
      <c r="AZ30" s="172"/>
      <c r="BA30" s="172"/>
      <c r="BB30" s="172"/>
      <c r="BC30" s="172"/>
      <c r="BD30" s="172"/>
      <c r="BE30" s="172"/>
      <c r="BF30" s="172"/>
      <c r="BG30" s="172"/>
      <c r="BH30" s="172"/>
      <c r="BI30" s="172"/>
      <c r="BJ30" s="172"/>
      <c r="BK30" s="172"/>
      <c r="BL30" s="172"/>
      <c r="BM30" s="172"/>
      <c r="BN30" s="172"/>
      <c r="BO30" s="172"/>
      <c r="BP30" s="172"/>
      <c r="BQ30" s="172"/>
      <c r="BR30" s="172"/>
      <c r="BS30" s="172"/>
      <c r="BT30" s="172"/>
      <c r="BU30" s="172"/>
      <c r="BV30" s="172"/>
      <c r="BW30" s="172"/>
      <c r="BX30" s="172"/>
      <c r="BY30" s="172"/>
      <c r="BZ30" s="172"/>
      <c r="CA30" s="172"/>
      <c r="CB30" s="172"/>
      <c r="CC30" s="172"/>
      <c r="CD30" s="172"/>
      <c r="CE30" s="172"/>
      <c r="CF30" s="172"/>
      <c r="CG30" s="172"/>
      <c r="CH30" s="172"/>
      <c r="CI30" s="172"/>
      <c r="CJ30" s="172"/>
      <c r="CK30" s="172"/>
      <c r="CL30" s="172"/>
      <c r="CM30" s="172"/>
      <c r="CN30" s="172"/>
      <c r="CO30" s="172"/>
      <c r="CP30" s="172"/>
      <c r="CQ30" s="172"/>
      <c r="CR30" s="172"/>
      <c r="CS30" s="172"/>
      <c r="CT30" s="172"/>
      <c r="CU30" s="172"/>
      <c r="CV30" s="172"/>
      <c r="CW30" s="172"/>
      <c r="CX30" s="172"/>
      <c r="CY30" s="172"/>
      <c r="CZ30" s="172"/>
      <c r="DA30" s="172"/>
      <c r="DB30" s="172"/>
      <c r="DC30" s="172"/>
      <c r="DD30" s="172"/>
      <c r="DE30" s="172"/>
      <c r="DF30" s="172"/>
      <c r="DG30" s="172"/>
      <c r="DH30" s="172"/>
      <c r="DI30" s="172"/>
      <c r="DJ30" s="172"/>
      <c r="DK30" s="172"/>
      <c r="DL30" s="172"/>
      <c r="DM30" s="172"/>
      <c r="DN30" s="172"/>
      <c r="DO30" s="172"/>
      <c r="DP30" s="172"/>
      <c r="DQ30" s="172"/>
      <c r="DR30" s="172"/>
      <c r="DS30" s="172"/>
      <c r="DT30" s="172"/>
      <c r="DU30" s="172"/>
      <c r="DV30" s="172"/>
      <c r="DW30" s="172"/>
      <c r="DX30" s="172"/>
      <c r="DY30" s="172"/>
      <c r="DZ30" s="172"/>
      <c r="EA30" s="172"/>
      <c r="EB30" s="172"/>
      <c r="EC30" s="172"/>
      <c r="ED30" s="172"/>
      <c r="EE30" s="172"/>
      <c r="EF30" s="172"/>
      <c r="EG30" s="172"/>
      <c r="EH30" s="172"/>
      <c r="EI30" s="172"/>
      <c r="EJ30" s="172"/>
      <c r="EK30" s="172"/>
      <c r="EL30" s="172"/>
      <c r="EM30" s="172"/>
      <c r="EN30" s="172"/>
      <c r="EO30" s="172"/>
      <c r="EP30" s="172"/>
      <c r="EQ30" s="172"/>
      <c r="ER30" s="172"/>
      <c r="ES30" s="172"/>
      <c r="ET30" s="172"/>
      <c r="EU30" s="172"/>
      <c r="EV30" s="172"/>
      <c r="EW30" s="172"/>
      <c r="EX30" s="172"/>
      <c r="EY30" s="172"/>
      <c r="EZ30" s="172"/>
      <c r="FA30" s="172"/>
      <c r="FB30" s="172"/>
      <c r="FC30" s="172"/>
      <c r="FD30" s="172"/>
      <c r="FE30" s="172"/>
      <c r="FF30" s="172"/>
      <c r="FG30" s="172"/>
      <c r="FH30" s="172"/>
      <c r="FI30" s="172"/>
      <c r="FJ30" s="172"/>
      <c r="FK30" s="172"/>
      <c r="FL30" s="172"/>
      <c r="FM30" s="172"/>
      <c r="FN30" s="172"/>
      <c r="FO30" s="172"/>
      <c r="FP30" s="172"/>
      <c r="FQ30" s="172"/>
      <c r="FR30" s="172"/>
      <c r="FS30" s="172"/>
      <c r="FT30" s="172"/>
      <c r="FU30" s="172"/>
      <c r="FV30" s="172"/>
      <c r="FW30" s="172"/>
      <c r="FX30" s="172"/>
      <c r="FY30" s="172"/>
      <c r="FZ30" s="172"/>
      <c r="GA30" s="172"/>
      <c r="GB30" s="172"/>
      <c r="GC30" s="172"/>
    </row>
    <row r="31" spans="1:185" s="180" customFormat="1" ht="13">
      <c r="A31" s="290"/>
      <c r="B31" s="695" t="s">
        <v>2334</v>
      </c>
      <c r="C31" s="696"/>
      <c r="D31" s="290"/>
      <c r="E31" s="290"/>
      <c r="F31" s="290"/>
      <c r="G31" s="290"/>
      <c r="H31" s="290"/>
      <c r="I31" s="290"/>
      <c r="J31" s="290"/>
      <c r="K31" s="290"/>
      <c r="L31" s="290"/>
      <c r="M31" s="290"/>
      <c r="N31" s="290"/>
      <c r="O31" s="290"/>
      <c r="P31" s="290"/>
      <c r="Q31" s="290"/>
      <c r="R31" s="290"/>
      <c r="S31" s="290"/>
      <c r="T31" s="290"/>
      <c r="U31" s="290"/>
      <c r="V31" s="290"/>
      <c r="W31" s="290"/>
      <c r="X31" s="290"/>
      <c r="Y31" s="290"/>
      <c r="Z31" s="290"/>
      <c r="AA31" s="290"/>
      <c r="AB31" s="290"/>
      <c r="AC31" s="290"/>
      <c r="AD31" s="290"/>
      <c r="AE31" s="290"/>
      <c r="AF31" s="290"/>
      <c r="AG31" s="290"/>
      <c r="AH31" s="170"/>
      <c r="AI31" s="170"/>
      <c r="AJ31" s="170"/>
      <c r="AK31" s="170"/>
      <c r="AL31" s="170"/>
      <c r="AM31" s="170"/>
      <c r="AN31" s="170"/>
      <c r="AO31" s="170"/>
      <c r="AP31" s="170"/>
      <c r="AQ31" s="170"/>
      <c r="AR31" s="170"/>
      <c r="AS31" s="170"/>
      <c r="AT31" s="170"/>
      <c r="AU31" s="170"/>
      <c r="AV31" s="170"/>
      <c r="AW31" s="170"/>
      <c r="AX31" s="170"/>
      <c r="AY31" s="170"/>
      <c r="AZ31" s="170"/>
      <c r="BA31" s="170"/>
      <c r="BB31" s="170"/>
      <c r="BC31" s="170"/>
      <c r="BD31" s="170"/>
      <c r="BE31" s="170"/>
      <c r="BF31" s="170"/>
      <c r="BG31" s="170"/>
      <c r="BH31" s="170"/>
      <c r="BI31" s="170"/>
      <c r="BJ31" s="170"/>
      <c r="BK31" s="170"/>
      <c r="BL31" s="170"/>
      <c r="BM31" s="170"/>
      <c r="BN31" s="170"/>
      <c r="BO31" s="170"/>
      <c r="BP31" s="170"/>
      <c r="BQ31" s="170"/>
      <c r="BR31" s="170"/>
      <c r="BS31" s="170"/>
      <c r="BT31" s="170"/>
      <c r="BU31" s="170"/>
      <c r="BV31" s="170"/>
      <c r="BW31" s="170"/>
      <c r="BX31" s="170"/>
      <c r="BY31" s="170"/>
      <c r="BZ31" s="170"/>
      <c r="CA31" s="170"/>
      <c r="CB31" s="170"/>
      <c r="CC31" s="170"/>
      <c r="CD31" s="170"/>
      <c r="CE31" s="170"/>
      <c r="CF31" s="170"/>
      <c r="CG31" s="170"/>
      <c r="CH31" s="170"/>
      <c r="CI31" s="170"/>
      <c r="CJ31" s="170"/>
      <c r="CK31" s="170"/>
      <c r="CL31" s="170"/>
      <c r="CM31" s="170"/>
      <c r="CN31" s="170"/>
      <c r="CO31" s="170"/>
      <c r="CP31" s="170"/>
      <c r="CQ31" s="170"/>
      <c r="CR31" s="170"/>
      <c r="CS31" s="170"/>
      <c r="CT31" s="170"/>
      <c r="CU31" s="170"/>
      <c r="CV31" s="170"/>
      <c r="CW31" s="170"/>
      <c r="CX31" s="170"/>
      <c r="CY31" s="170"/>
      <c r="CZ31" s="170"/>
      <c r="DA31" s="170"/>
      <c r="DB31" s="170"/>
      <c r="DC31" s="170"/>
      <c r="DD31" s="170"/>
      <c r="DE31" s="170"/>
      <c r="DF31" s="170"/>
      <c r="DG31" s="170"/>
      <c r="DH31" s="170"/>
      <c r="DI31" s="170"/>
      <c r="DJ31" s="170"/>
      <c r="DK31" s="170"/>
      <c r="DL31" s="170"/>
      <c r="DM31" s="170"/>
      <c r="DN31" s="170"/>
      <c r="DO31" s="170"/>
      <c r="DP31" s="170"/>
      <c r="DQ31" s="170"/>
      <c r="DR31" s="170"/>
      <c r="DS31" s="170"/>
      <c r="DT31" s="170"/>
      <c r="DU31" s="170"/>
      <c r="DV31" s="170"/>
      <c r="DW31" s="170"/>
      <c r="DX31" s="170"/>
      <c r="DY31" s="170"/>
      <c r="DZ31" s="170"/>
      <c r="EA31" s="170"/>
      <c r="EB31" s="170"/>
      <c r="EC31" s="170"/>
      <c r="ED31" s="170"/>
      <c r="EE31" s="170"/>
      <c r="EF31" s="170"/>
      <c r="EG31" s="170"/>
      <c r="EH31" s="170"/>
      <c r="EI31" s="170"/>
      <c r="EJ31" s="170"/>
      <c r="EK31" s="170"/>
      <c r="EL31" s="170"/>
      <c r="EM31" s="170"/>
      <c r="EN31" s="170"/>
      <c r="EO31" s="170"/>
      <c r="EP31" s="170"/>
      <c r="EQ31" s="170"/>
      <c r="ER31" s="170"/>
      <c r="ES31" s="170"/>
      <c r="ET31" s="170"/>
      <c r="EU31" s="170"/>
      <c r="EV31" s="170"/>
      <c r="EW31" s="170"/>
      <c r="EX31" s="170"/>
      <c r="EY31" s="170"/>
      <c r="EZ31" s="170"/>
      <c r="FA31" s="170"/>
      <c r="FB31" s="170"/>
      <c r="FC31" s="170"/>
      <c r="FD31" s="170"/>
      <c r="FE31" s="170"/>
      <c r="FF31" s="170"/>
      <c r="FG31" s="170"/>
      <c r="FH31" s="170"/>
      <c r="FI31" s="170"/>
      <c r="FJ31" s="170"/>
      <c r="FK31" s="170"/>
      <c r="FL31" s="170"/>
      <c r="FM31" s="170"/>
      <c r="FN31" s="170"/>
      <c r="FO31" s="170"/>
      <c r="FP31" s="170"/>
      <c r="FQ31" s="170"/>
      <c r="FR31" s="170"/>
      <c r="FS31" s="170"/>
      <c r="FT31" s="170"/>
      <c r="FU31" s="170"/>
      <c r="FV31" s="170"/>
      <c r="FW31" s="170"/>
      <c r="FX31" s="170"/>
      <c r="FY31" s="170"/>
      <c r="FZ31" s="170"/>
      <c r="GA31" s="170"/>
      <c r="GB31" s="170"/>
      <c r="GC31" s="170"/>
    </row>
    <row r="32" spans="1:185" s="180" customFormat="1" ht="13">
      <c r="A32" s="691" t="s">
        <v>2276</v>
      </c>
      <c r="B32" s="585" t="s">
        <v>1822</v>
      </c>
      <c r="C32" s="400"/>
      <c r="D32" s="290"/>
      <c r="E32" s="290"/>
      <c r="F32" s="290"/>
      <c r="G32" s="290"/>
      <c r="H32" s="290"/>
      <c r="I32" s="290"/>
      <c r="J32" s="290"/>
      <c r="K32" s="284"/>
      <c r="L32" s="284"/>
      <c r="M32" s="284"/>
      <c r="N32" s="284"/>
      <c r="O32" s="284"/>
      <c r="P32" s="284"/>
      <c r="Q32" s="284"/>
      <c r="R32" s="284"/>
      <c r="S32" s="284"/>
      <c r="T32" s="284"/>
      <c r="U32" s="284"/>
      <c r="V32" s="284"/>
      <c r="W32" s="284"/>
      <c r="X32" s="284"/>
      <c r="Y32" s="284"/>
      <c r="Z32" s="284"/>
      <c r="AA32" s="284"/>
      <c r="AB32" s="284"/>
      <c r="AC32" s="284"/>
      <c r="AD32" s="284"/>
      <c r="AE32" s="284"/>
      <c r="AF32" s="284"/>
      <c r="AG32" s="284"/>
      <c r="AH32" s="170"/>
      <c r="AI32" s="170"/>
      <c r="AJ32" s="170"/>
      <c r="AK32" s="170"/>
      <c r="AL32" s="170"/>
      <c r="AM32" s="170"/>
      <c r="AN32" s="170"/>
      <c r="AO32" s="170"/>
      <c r="AP32" s="170"/>
      <c r="AQ32" s="170"/>
      <c r="AR32" s="170"/>
      <c r="AS32" s="170"/>
      <c r="AT32" s="170"/>
      <c r="AU32" s="170"/>
      <c r="AV32" s="170"/>
      <c r="AW32" s="170"/>
      <c r="AX32" s="170"/>
      <c r="AY32" s="170"/>
      <c r="AZ32" s="170"/>
      <c r="BA32" s="170"/>
      <c r="BB32" s="170"/>
      <c r="BC32" s="170"/>
      <c r="BD32" s="170"/>
      <c r="BE32" s="170"/>
      <c r="BF32" s="170"/>
      <c r="BG32" s="170"/>
      <c r="BH32" s="170"/>
      <c r="BI32" s="170"/>
      <c r="BJ32" s="170"/>
      <c r="BK32" s="170"/>
      <c r="BL32" s="170"/>
      <c r="BM32" s="170"/>
      <c r="BN32" s="170"/>
      <c r="BO32" s="170"/>
      <c r="BP32" s="170"/>
      <c r="BQ32" s="170"/>
      <c r="BR32" s="170"/>
      <c r="BS32" s="170"/>
      <c r="BT32" s="170"/>
      <c r="BU32" s="170"/>
      <c r="BV32" s="170"/>
      <c r="BW32" s="170"/>
      <c r="BX32" s="170"/>
      <c r="BY32" s="170"/>
      <c r="BZ32" s="170"/>
      <c r="CA32" s="170"/>
      <c r="CB32" s="170"/>
      <c r="CC32" s="170"/>
      <c r="CD32" s="170"/>
      <c r="CE32" s="170"/>
      <c r="CF32" s="170"/>
      <c r="CG32" s="170"/>
      <c r="CH32" s="170"/>
      <c r="CI32" s="170"/>
      <c r="CJ32" s="170"/>
      <c r="CK32" s="170"/>
      <c r="CL32" s="170"/>
      <c r="CM32" s="170"/>
      <c r="CN32" s="170"/>
      <c r="CO32" s="170"/>
      <c r="CP32" s="170"/>
      <c r="CQ32" s="170"/>
      <c r="CR32" s="170"/>
      <c r="CS32" s="170"/>
      <c r="CT32" s="170"/>
      <c r="CU32" s="170"/>
      <c r="CV32" s="170"/>
      <c r="CW32" s="170"/>
      <c r="CX32" s="170"/>
      <c r="CY32" s="170"/>
      <c r="CZ32" s="170"/>
      <c r="DA32" s="170"/>
      <c r="DB32" s="170"/>
      <c r="DC32" s="170"/>
      <c r="DD32" s="170"/>
      <c r="DE32" s="170"/>
      <c r="DF32" s="170"/>
      <c r="DG32" s="170"/>
      <c r="DH32" s="170"/>
      <c r="DI32" s="170"/>
      <c r="DJ32" s="170"/>
      <c r="DK32" s="170"/>
      <c r="DL32" s="170"/>
      <c r="DM32" s="170"/>
      <c r="DN32" s="170"/>
      <c r="DO32" s="170"/>
      <c r="DP32" s="170"/>
      <c r="DQ32" s="170"/>
      <c r="DR32" s="170"/>
      <c r="DS32" s="170"/>
      <c r="DT32" s="170"/>
      <c r="DU32" s="170"/>
      <c r="DV32" s="170"/>
      <c r="DW32" s="170"/>
      <c r="DX32" s="170"/>
      <c r="DY32" s="170"/>
      <c r="DZ32" s="170"/>
      <c r="EA32" s="170"/>
      <c r="EB32" s="170"/>
      <c r="EC32" s="170"/>
      <c r="ED32" s="170"/>
      <c r="EE32" s="170"/>
      <c r="EF32" s="170"/>
      <c r="EG32" s="170"/>
      <c r="EH32" s="170"/>
      <c r="EI32" s="170"/>
      <c r="EJ32" s="170"/>
      <c r="EK32" s="170"/>
      <c r="EL32" s="170"/>
      <c r="EM32" s="170"/>
      <c r="EN32" s="170"/>
      <c r="EO32" s="170"/>
      <c r="EP32" s="170"/>
      <c r="EQ32" s="170"/>
      <c r="ER32" s="170"/>
      <c r="ES32" s="170"/>
      <c r="ET32" s="170"/>
      <c r="EU32" s="170"/>
      <c r="EV32" s="170"/>
      <c r="EW32" s="170"/>
      <c r="EX32" s="170"/>
      <c r="EY32" s="170"/>
      <c r="EZ32" s="170"/>
      <c r="FA32" s="170"/>
      <c r="FB32" s="170"/>
      <c r="FC32" s="170"/>
      <c r="FD32" s="170"/>
      <c r="FE32" s="170"/>
      <c r="FF32" s="170"/>
      <c r="FG32" s="170"/>
      <c r="FH32" s="170"/>
      <c r="FI32" s="170"/>
      <c r="FJ32" s="170"/>
      <c r="FK32" s="170"/>
      <c r="FL32" s="170"/>
      <c r="FM32" s="170"/>
      <c r="FN32" s="170"/>
      <c r="FO32" s="170"/>
      <c r="FP32" s="170"/>
      <c r="FQ32" s="170"/>
      <c r="FR32" s="170"/>
      <c r="FS32" s="170"/>
      <c r="FT32" s="170"/>
      <c r="FU32" s="170"/>
      <c r="FV32" s="170"/>
      <c r="FW32" s="170"/>
      <c r="FX32" s="170"/>
      <c r="FY32" s="170"/>
      <c r="FZ32" s="170"/>
      <c r="GA32" s="170"/>
      <c r="GB32" s="170"/>
      <c r="GC32" s="170"/>
    </row>
    <row r="33" spans="1:185" s="180" customFormat="1" ht="13">
      <c r="A33" s="692"/>
      <c r="B33" s="582" t="s">
        <v>2338</v>
      </c>
      <c r="C33" s="422"/>
      <c r="D33" s="421"/>
      <c r="E33" s="290"/>
      <c r="F33" s="290"/>
      <c r="G33" s="290"/>
      <c r="H33" s="290"/>
      <c r="I33" s="290"/>
      <c r="J33" s="290"/>
      <c r="K33" s="284"/>
      <c r="L33" s="284"/>
      <c r="M33" s="284"/>
      <c r="N33" s="284"/>
      <c r="O33" s="284"/>
      <c r="P33" s="284"/>
      <c r="Q33" s="284"/>
      <c r="R33" s="284"/>
      <c r="S33" s="284"/>
      <c r="T33" s="284"/>
      <c r="U33" s="284"/>
      <c r="V33" s="284"/>
      <c r="W33" s="284"/>
      <c r="X33" s="284"/>
      <c r="Y33" s="284"/>
      <c r="Z33" s="284"/>
      <c r="AA33" s="284"/>
      <c r="AB33" s="284"/>
      <c r="AC33" s="284"/>
      <c r="AD33" s="284"/>
      <c r="AE33" s="284"/>
      <c r="AF33" s="284"/>
      <c r="AG33" s="284"/>
      <c r="AH33" s="170"/>
      <c r="AI33" s="170"/>
      <c r="AJ33" s="170"/>
      <c r="AK33" s="170"/>
      <c r="AL33" s="170"/>
      <c r="AM33" s="170"/>
      <c r="AN33" s="170"/>
      <c r="AO33" s="170"/>
      <c r="AP33" s="170"/>
      <c r="AQ33" s="170"/>
      <c r="AR33" s="170"/>
      <c r="AS33" s="170"/>
      <c r="AT33" s="170"/>
      <c r="AU33" s="170"/>
      <c r="AV33" s="170"/>
      <c r="AW33" s="170"/>
      <c r="AX33" s="170"/>
      <c r="AY33" s="170"/>
      <c r="AZ33" s="170"/>
      <c r="BA33" s="170"/>
      <c r="BB33" s="170"/>
      <c r="BC33" s="170"/>
      <c r="BD33" s="170"/>
      <c r="BE33" s="170"/>
      <c r="BF33" s="170"/>
      <c r="BG33" s="170"/>
      <c r="BH33" s="170"/>
      <c r="BI33" s="170"/>
      <c r="BJ33" s="170"/>
      <c r="BK33" s="170"/>
      <c r="BL33" s="170"/>
      <c r="BM33" s="170"/>
      <c r="BN33" s="170"/>
      <c r="BO33" s="170"/>
      <c r="BP33" s="170"/>
      <c r="BQ33" s="170"/>
      <c r="BR33" s="170"/>
      <c r="BS33" s="170"/>
      <c r="BT33" s="170"/>
      <c r="BU33" s="170"/>
      <c r="BV33" s="170"/>
      <c r="BW33" s="170"/>
      <c r="BX33" s="170"/>
      <c r="BY33" s="170"/>
      <c r="BZ33" s="170"/>
      <c r="CA33" s="170"/>
      <c r="CB33" s="170"/>
      <c r="CC33" s="170"/>
      <c r="CD33" s="170"/>
      <c r="CE33" s="170"/>
      <c r="CF33" s="170"/>
      <c r="CG33" s="170"/>
      <c r="CH33" s="170"/>
      <c r="CI33" s="170"/>
      <c r="CJ33" s="170"/>
      <c r="CK33" s="170"/>
      <c r="CL33" s="170"/>
      <c r="CM33" s="170"/>
      <c r="CN33" s="170"/>
      <c r="CO33" s="170"/>
      <c r="CP33" s="170"/>
      <c r="CQ33" s="170"/>
      <c r="CR33" s="170"/>
      <c r="CS33" s="170"/>
      <c r="CT33" s="170"/>
      <c r="CU33" s="170"/>
      <c r="CV33" s="170"/>
      <c r="CW33" s="170"/>
      <c r="CX33" s="170"/>
      <c r="CY33" s="170"/>
      <c r="CZ33" s="170"/>
      <c r="DA33" s="170"/>
      <c r="DB33" s="170"/>
      <c r="DC33" s="170"/>
      <c r="DD33" s="170"/>
      <c r="DE33" s="170"/>
      <c r="DF33" s="170"/>
      <c r="DG33" s="170"/>
      <c r="DH33" s="170"/>
      <c r="DI33" s="170"/>
      <c r="DJ33" s="170"/>
      <c r="DK33" s="170"/>
      <c r="DL33" s="170"/>
      <c r="DM33" s="170"/>
      <c r="DN33" s="170"/>
      <c r="DO33" s="170"/>
      <c r="DP33" s="170"/>
      <c r="DQ33" s="170"/>
      <c r="DR33" s="170"/>
      <c r="DS33" s="170"/>
      <c r="DT33" s="170"/>
      <c r="DU33" s="170"/>
      <c r="DV33" s="170"/>
      <c r="DW33" s="170"/>
      <c r="DX33" s="170"/>
      <c r="DY33" s="170"/>
      <c r="DZ33" s="170"/>
      <c r="EA33" s="170"/>
      <c r="EB33" s="170"/>
      <c r="EC33" s="170"/>
      <c r="ED33" s="170"/>
      <c r="EE33" s="170"/>
      <c r="EF33" s="170"/>
      <c r="EG33" s="170"/>
      <c r="EH33" s="170"/>
      <c r="EI33" s="170"/>
      <c r="EJ33" s="170"/>
      <c r="EK33" s="170"/>
      <c r="EL33" s="170"/>
      <c r="EM33" s="170"/>
      <c r="EN33" s="170"/>
      <c r="EO33" s="170"/>
      <c r="EP33" s="170"/>
      <c r="EQ33" s="170"/>
      <c r="ER33" s="170"/>
      <c r="ES33" s="170"/>
      <c r="ET33" s="170"/>
      <c r="EU33" s="170"/>
      <c r="EV33" s="170"/>
      <c r="EW33" s="170"/>
      <c r="EX33" s="170"/>
      <c r="EY33" s="170"/>
      <c r="EZ33" s="170"/>
      <c r="FA33" s="170"/>
      <c r="FB33" s="170"/>
      <c r="FC33" s="170"/>
      <c r="FD33" s="170"/>
      <c r="FE33" s="170"/>
      <c r="FF33" s="170"/>
      <c r="FG33" s="170"/>
      <c r="FH33" s="170"/>
      <c r="FI33" s="170"/>
      <c r="FJ33" s="170"/>
      <c r="FK33" s="170"/>
      <c r="FL33" s="170"/>
      <c r="FM33" s="170"/>
      <c r="FN33" s="170"/>
      <c r="FO33" s="170"/>
      <c r="FP33" s="170"/>
      <c r="FQ33" s="170"/>
      <c r="FR33" s="170"/>
      <c r="FS33" s="170"/>
      <c r="FT33" s="170"/>
      <c r="FU33" s="170"/>
      <c r="FV33" s="170"/>
      <c r="FW33" s="170"/>
      <c r="FX33" s="170"/>
      <c r="FY33" s="170"/>
      <c r="FZ33" s="170"/>
      <c r="GA33" s="170"/>
      <c r="GB33" s="170"/>
      <c r="GC33" s="170"/>
    </row>
    <row r="34" spans="1:185" s="180" customFormat="1" ht="13">
      <c r="A34" s="692"/>
      <c r="B34" s="583" t="s">
        <v>2339</v>
      </c>
      <c r="C34" s="423"/>
      <c r="D34" s="421"/>
      <c r="E34" s="290"/>
      <c r="F34" s="290"/>
      <c r="G34" s="290"/>
      <c r="H34" s="290"/>
      <c r="I34" s="290"/>
      <c r="J34" s="290"/>
      <c r="K34" s="284"/>
      <c r="L34" s="284"/>
      <c r="M34" s="284"/>
      <c r="N34" s="284"/>
      <c r="O34" s="284"/>
      <c r="P34" s="284"/>
      <c r="Q34" s="284"/>
      <c r="R34" s="284"/>
      <c r="S34" s="284"/>
      <c r="T34" s="284"/>
      <c r="U34" s="284"/>
      <c r="V34" s="284"/>
      <c r="W34" s="284"/>
      <c r="X34" s="284"/>
      <c r="Y34" s="284"/>
      <c r="Z34" s="284"/>
      <c r="AA34" s="284"/>
      <c r="AB34" s="284"/>
      <c r="AC34" s="284"/>
      <c r="AD34" s="284"/>
      <c r="AE34" s="284"/>
      <c r="AF34" s="284"/>
      <c r="AG34" s="284"/>
      <c r="AH34" s="170"/>
      <c r="AI34" s="170"/>
      <c r="AJ34" s="170"/>
      <c r="AK34" s="170"/>
      <c r="AL34" s="170"/>
      <c r="AM34" s="170"/>
      <c r="AN34" s="170"/>
      <c r="AO34" s="170"/>
      <c r="AP34" s="170"/>
      <c r="AQ34" s="170"/>
      <c r="AR34" s="170"/>
      <c r="AS34" s="170"/>
      <c r="AT34" s="170"/>
      <c r="AU34" s="170"/>
      <c r="AV34" s="170"/>
      <c r="AW34" s="170"/>
      <c r="AX34" s="170"/>
      <c r="AY34" s="170"/>
      <c r="AZ34" s="170"/>
      <c r="BA34" s="170"/>
      <c r="BB34" s="170"/>
      <c r="BC34" s="170"/>
      <c r="BD34" s="170"/>
      <c r="BE34" s="170"/>
      <c r="BF34" s="170"/>
      <c r="BG34" s="170"/>
      <c r="BH34" s="170"/>
      <c r="BI34" s="170"/>
      <c r="BJ34" s="170"/>
      <c r="BK34" s="170"/>
      <c r="BL34" s="170"/>
      <c r="BM34" s="170"/>
      <c r="BN34" s="170"/>
      <c r="BO34" s="170"/>
      <c r="BP34" s="170"/>
      <c r="BQ34" s="170"/>
      <c r="BR34" s="170"/>
      <c r="BS34" s="170"/>
      <c r="BT34" s="170"/>
      <c r="BU34" s="170"/>
      <c r="BV34" s="170"/>
      <c r="BW34" s="170"/>
      <c r="BX34" s="170"/>
      <c r="BY34" s="170"/>
      <c r="BZ34" s="170"/>
      <c r="CA34" s="170"/>
      <c r="CB34" s="170"/>
      <c r="CC34" s="170"/>
      <c r="CD34" s="170"/>
      <c r="CE34" s="170"/>
      <c r="CF34" s="170"/>
      <c r="CG34" s="170"/>
      <c r="CH34" s="170"/>
      <c r="CI34" s="170"/>
      <c r="CJ34" s="170"/>
      <c r="CK34" s="170"/>
      <c r="CL34" s="170"/>
      <c r="CM34" s="170"/>
      <c r="CN34" s="170"/>
      <c r="CO34" s="170"/>
      <c r="CP34" s="170"/>
      <c r="CQ34" s="170"/>
      <c r="CR34" s="170"/>
      <c r="CS34" s="170"/>
      <c r="CT34" s="170"/>
      <c r="CU34" s="170"/>
      <c r="CV34" s="170"/>
      <c r="CW34" s="170"/>
      <c r="CX34" s="170"/>
      <c r="CY34" s="170"/>
      <c r="CZ34" s="170"/>
      <c r="DA34" s="170"/>
      <c r="DB34" s="170"/>
      <c r="DC34" s="170"/>
      <c r="DD34" s="170"/>
      <c r="DE34" s="170"/>
      <c r="DF34" s="170"/>
      <c r="DG34" s="170"/>
      <c r="DH34" s="170"/>
      <c r="DI34" s="170"/>
      <c r="DJ34" s="170"/>
      <c r="DK34" s="170"/>
      <c r="DL34" s="170"/>
      <c r="DM34" s="170"/>
      <c r="DN34" s="170"/>
      <c r="DO34" s="170"/>
      <c r="DP34" s="170"/>
      <c r="DQ34" s="170"/>
      <c r="DR34" s="170"/>
      <c r="DS34" s="170"/>
      <c r="DT34" s="170"/>
      <c r="DU34" s="170"/>
      <c r="DV34" s="170"/>
      <c r="DW34" s="170"/>
      <c r="DX34" s="170"/>
      <c r="DY34" s="170"/>
      <c r="DZ34" s="170"/>
      <c r="EA34" s="170"/>
      <c r="EB34" s="170"/>
      <c r="EC34" s="170"/>
      <c r="ED34" s="170"/>
      <c r="EE34" s="170"/>
      <c r="EF34" s="170"/>
      <c r="EG34" s="170"/>
      <c r="EH34" s="170"/>
      <c r="EI34" s="170"/>
      <c r="EJ34" s="170"/>
      <c r="EK34" s="170"/>
      <c r="EL34" s="170"/>
      <c r="EM34" s="170"/>
      <c r="EN34" s="170"/>
      <c r="EO34" s="170"/>
      <c r="EP34" s="170"/>
      <c r="EQ34" s="170"/>
      <c r="ER34" s="170"/>
      <c r="ES34" s="170"/>
      <c r="ET34" s="170"/>
      <c r="EU34" s="170"/>
      <c r="EV34" s="170"/>
      <c r="EW34" s="170"/>
      <c r="EX34" s="170"/>
      <c r="EY34" s="170"/>
      <c r="EZ34" s="170"/>
      <c r="FA34" s="170"/>
      <c r="FB34" s="170"/>
      <c r="FC34" s="170"/>
      <c r="FD34" s="170"/>
      <c r="FE34" s="170"/>
      <c r="FF34" s="170"/>
      <c r="FG34" s="170"/>
      <c r="FH34" s="170"/>
      <c r="FI34" s="170"/>
      <c r="FJ34" s="170"/>
      <c r="FK34" s="170"/>
      <c r="FL34" s="170"/>
      <c r="FM34" s="170"/>
      <c r="FN34" s="170"/>
      <c r="FO34" s="170"/>
      <c r="FP34" s="170"/>
      <c r="FQ34" s="170"/>
      <c r="FR34" s="170"/>
      <c r="FS34" s="170"/>
      <c r="FT34" s="170"/>
      <c r="FU34" s="170"/>
      <c r="FV34" s="170"/>
      <c r="FW34" s="170"/>
      <c r="FX34" s="170"/>
      <c r="FY34" s="170"/>
      <c r="FZ34" s="170"/>
      <c r="GA34" s="170"/>
      <c r="GB34" s="170"/>
      <c r="GC34" s="170"/>
    </row>
    <row r="35" spans="1:185" s="180" customFormat="1" ht="13">
      <c r="A35" s="692"/>
      <c r="B35" s="583" t="s">
        <v>2489</v>
      </c>
      <c r="C35" s="424">
        <f>SUM(C36:C37)</f>
        <v>0</v>
      </c>
      <c r="D35" s="421"/>
      <c r="E35" s="290"/>
      <c r="F35" s="290"/>
      <c r="G35" s="290"/>
      <c r="H35" s="290"/>
      <c r="I35" s="290"/>
      <c r="J35" s="290"/>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c r="AH35" s="170"/>
      <c r="AI35" s="170"/>
      <c r="AJ35" s="170"/>
      <c r="AK35" s="170"/>
      <c r="AL35" s="170"/>
      <c r="AM35" s="170"/>
      <c r="AN35" s="170"/>
      <c r="AO35" s="170"/>
      <c r="AP35" s="170"/>
      <c r="AQ35" s="170"/>
      <c r="AR35" s="170"/>
      <c r="AS35" s="170"/>
      <c r="AT35" s="170"/>
      <c r="AU35" s="170"/>
      <c r="AV35" s="170"/>
      <c r="AW35" s="170"/>
      <c r="AX35" s="170"/>
      <c r="AY35" s="170"/>
      <c r="AZ35" s="170"/>
      <c r="BA35" s="170"/>
      <c r="BB35" s="170"/>
      <c r="BC35" s="170"/>
      <c r="BD35" s="170"/>
      <c r="BE35" s="170"/>
      <c r="BF35" s="170"/>
      <c r="BG35" s="170"/>
      <c r="BH35" s="170"/>
      <c r="BI35" s="170"/>
      <c r="BJ35" s="170"/>
      <c r="BK35" s="170"/>
      <c r="BL35" s="170"/>
      <c r="BM35" s="170"/>
      <c r="BN35" s="170"/>
      <c r="BO35" s="170"/>
      <c r="BP35" s="170"/>
      <c r="BQ35" s="170"/>
      <c r="BR35" s="170"/>
      <c r="BS35" s="170"/>
      <c r="BT35" s="170"/>
      <c r="BU35" s="170"/>
      <c r="BV35" s="170"/>
      <c r="BW35" s="170"/>
      <c r="BX35" s="170"/>
      <c r="BY35" s="170"/>
      <c r="BZ35" s="170"/>
      <c r="CA35" s="170"/>
      <c r="CB35" s="170"/>
      <c r="CC35" s="170"/>
      <c r="CD35" s="170"/>
      <c r="CE35" s="170"/>
      <c r="CF35" s="170"/>
      <c r="CG35" s="170"/>
      <c r="CH35" s="170"/>
      <c r="CI35" s="170"/>
      <c r="CJ35" s="170"/>
      <c r="CK35" s="170"/>
      <c r="CL35" s="170"/>
      <c r="CM35" s="170"/>
      <c r="CN35" s="170"/>
      <c r="CO35" s="170"/>
      <c r="CP35" s="170"/>
      <c r="CQ35" s="170"/>
      <c r="CR35" s="170"/>
      <c r="CS35" s="170"/>
      <c r="CT35" s="170"/>
      <c r="CU35" s="170"/>
      <c r="CV35" s="170"/>
      <c r="CW35" s="170"/>
      <c r="CX35" s="170"/>
      <c r="CY35" s="170"/>
      <c r="CZ35" s="170"/>
      <c r="DA35" s="170"/>
      <c r="DB35" s="170"/>
      <c r="DC35" s="170"/>
      <c r="DD35" s="170"/>
      <c r="DE35" s="170"/>
      <c r="DF35" s="170"/>
      <c r="DG35" s="170"/>
      <c r="DH35" s="170"/>
      <c r="DI35" s="170"/>
      <c r="DJ35" s="170"/>
      <c r="DK35" s="170"/>
      <c r="DL35" s="170"/>
      <c r="DM35" s="170"/>
      <c r="DN35" s="170"/>
      <c r="DO35" s="170"/>
      <c r="DP35" s="170"/>
      <c r="DQ35" s="170"/>
      <c r="DR35" s="170"/>
      <c r="DS35" s="170"/>
      <c r="DT35" s="170"/>
      <c r="DU35" s="170"/>
      <c r="DV35" s="170"/>
      <c r="DW35" s="170"/>
      <c r="DX35" s="170"/>
      <c r="DY35" s="170"/>
      <c r="DZ35" s="170"/>
      <c r="EA35" s="170"/>
      <c r="EB35" s="170"/>
      <c r="EC35" s="170"/>
      <c r="ED35" s="170"/>
      <c r="EE35" s="170"/>
      <c r="EF35" s="170"/>
      <c r="EG35" s="170"/>
      <c r="EH35" s="170"/>
      <c r="EI35" s="170"/>
      <c r="EJ35" s="170"/>
      <c r="EK35" s="170"/>
      <c r="EL35" s="170"/>
      <c r="EM35" s="170"/>
      <c r="EN35" s="170"/>
      <c r="EO35" s="170"/>
      <c r="EP35" s="170"/>
      <c r="EQ35" s="170"/>
      <c r="ER35" s="170"/>
      <c r="ES35" s="170"/>
      <c r="ET35" s="170"/>
      <c r="EU35" s="170"/>
      <c r="EV35" s="170"/>
      <c r="EW35" s="170"/>
      <c r="EX35" s="170"/>
      <c r="EY35" s="170"/>
      <c r="EZ35" s="170"/>
      <c r="FA35" s="170"/>
      <c r="FB35" s="170"/>
      <c r="FC35" s="170"/>
      <c r="FD35" s="170"/>
      <c r="FE35" s="170"/>
      <c r="FF35" s="170"/>
      <c r="FG35" s="170"/>
      <c r="FH35" s="170"/>
      <c r="FI35" s="170"/>
      <c r="FJ35" s="170"/>
      <c r="FK35" s="170"/>
      <c r="FL35" s="170"/>
      <c r="FM35" s="170"/>
      <c r="FN35" s="170"/>
      <c r="FO35" s="170"/>
      <c r="FP35" s="170"/>
      <c r="FQ35" s="170"/>
      <c r="FR35" s="170"/>
      <c r="FS35" s="170"/>
      <c r="FT35" s="170"/>
      <c r="FU35" s="170"/>
      <c r="FV35" s="170"/>
      <c r="FW35" s="170"/>
      <c r="FX35" s="170"/>
      <c r="FY35" s="170"/>
      <c r="FZ35" s="170"/>
      <c r="GA35" s="170"/>
      <c r="GB35" s="170"/>
      <c r="GC35" s="170"/>
    </row>
    <row r="36" spans="1:185" s="180" customFormat="1" ht="13">
      <c r="A36" s="692"/>
      <c r="B36" s="588" t="s">
        <v>2490</v>
      </c>
      <c r="C36" s="423"/>
      <c r="D36" s="421"/>
      <c r="E36" s="290"/>
      <c r="F36" s="290"/>
      <c r="G36" s="290"/>
      <c r="H36" s="290"/>
      <c r="I36" s="290"/>
      <c r="J36" s="290"/>
      <c r="K36" s="284"/>
      <c r="L36" s="284"/>
      <c r="M36" s="284"/>
      <c r="N36" s="284"/>
      <c r="O36" s="284"/>
      <c r="P36" s="284"/>
      <c r="Q36" s="284"/>
      <c r="R36" s="284"/>
      <c r="S36" s="284"/>
      <c r="T36" s="284"/>
      <c r="U36" s="284"/>
      <c r="V36" s="284"/>
      <c r="W36" s="284"/>
      <c r="X36" s="284"/>
      <c r="Y36" s="284"/>
      <c r="Z36" s="284"/>
      <c r="AA36" s="284"/>
      <c r="AB36" s="284"/>
      <c r="AC36" s="284"/>
      <c r="AD36" s="284"/>
      <c r="AE36" s="284"/>
      <c r="AF36" s="284"/>
      <c r="AG36" s="284"/>
      <c r="AH36" s="170"/>
      <c r="AI36" s="170"/>
      <c r="AJ36" s="170"/>
      <c r="AK36" s="170"/>
      <c r="AL36" s="170"/>
      <c r="AM36" s="170"/>
      <c r="AN36" s="170"/>
      <c r="AO36" s="170"/>
      <c r="AP36" s="170"/>
      <c r="AQ36" s="170"/>
      <c r="AR36" s="170"/>
      <c r="AS36" s="170"/>
      <c r="AT36" s="170"/>
      <c r="AU36" s="170"/>
      <c r="AV36" s="170"/>
      <c r="AW36" s="170"/>
      <c r="AX36" s="170"/>
      <c r="AY36" s="170"/>
      <c r="AZ36" s="170"/>
      <c r="BA36" s="170"/>
      <c r="BB36" s="170"/>
      <c r="BC36" s="170"/>
      <c r="BD36" s="170"/>
      <c r="BE36" s="170"/>
      <c r="BF36" s="170"/>
      <c r="BG36" s="170"/>
      <c r="BH36" s="170"/>
      <c r="BI36" s="170"/>
      <c r="BJ36" s="170"/>
      <c r="BK36" s="170"/>
      <c r="BL36" s="170"/>
      <c r="BM36" s="170"/>
      <c r="BN36" s="170"/>
      <c r="BO36" s="170"/>
      <c r="BP36" s="170"/>
      <c r="BQ36" s="170"/>
      <c r="BR36" s="170"/>
      <c r="BS36" s="170"/>
      <c r="BT36" s="170"/>
      <c r="BU36" s="170"/>
      <c r="BV36" s="170"/>
      <c r="BW36" s="170"/>
      <c r="BX36" s="170"/>
      <c r="BY36" s="170"/>
      <c r="BZ36" s="170"/>
      <c r="CA36" s="170"/>
      <c r="CB36" s="170"/>
      <c r="CC36" s="170"/>
      <c r="CD36" s="170"/>
      <c r="CE36" s="170"/>
      <c r="CF36" s="170"/>
      <c r="CG36" s="170"/>
      <c r="CH36" s="170"/>
      <c r="CI36" s="170"/>
      <c r="CJ36" s="170"/>
      <c r="CK36" s="170"/>
      <c r="CL36" s="170"/>
      <c r="CM36" s="170"/>
      <c r="CN36" s="170"/>
      <c r="CO36" s="170"/>
      <c r="CP36" s="170"/>
      <c r="CQ36" s="170"/>
      <c r="CR36" s="170"/>
      <c r="CS36" s="170"/>
      <c r="CT36" s="170"/>
      <c r="CU36" s="170"/>
      <c r="CV36" s="170"/>
      <c r="CW36" s="170"/>
      <c r="CX36" s="170"/>
      <c r="CY36" s="170"/>
      <c r="CZ36" s="170"/>
      <c r="DA36" s="170"/>
      <c r="DB36" s="170"/>
      <c r="DC36" s="170"/>
      <c r="DD36" s="170"/>
      <c r="DE36" s="170"/>
      <c r="DF36" s="170"/>
      <c r="DG36" s="170"/>
      <c r="DH36" s="170"/>
      <c r="DI36" s="170"/>
      <c r="DJ36" s="170"/>
      <c r="DK36" s="170"/>
      <c r="DL36" s="170"/>
      <c r="DM36" s="170"/>
      <c r="DN36" s="170"/>
      <c r="DO36" s="170"/>
      <c r="DP36" s="170"/>
      <c r="DQ36" s="170"/>
      <c r="DR36" s="170"/>
      <c r="DS36" s="170"/>
      <c r="DT36" s="170"/>
      <c r="DU36" s="170"/>
      <c r="DV36" s="170"/>
      <c r="DW36" s="170"/>
      <c r="DX36" s="170"/>
      <c r="DY36" s="170"/>
      <c r="DZ36" s="170"/>
      <c r="EA36" s="170"/>
      <c r="EB36" s="170"/>
      <c r="EC36" s="170"/>
      <c r="ED36" s="170"/>
      <c r="EE36" s="170"/>
      <c r="EF36" s="170"/>
      <c r="EG36" s="170"/>
      <c r="EH36" s="170"/>
      <c r="EI36" s="170"/>
      <c r="EJ36" s="170"/>
      <c r="EK36" s="170"/>
      <c r="EL36" s="170"/>
      <c r="EM36" s="170"/>
      <c r="EN36" s="170"/>
      <c r="EO36" s="170"/>
      <c r="EP36" s="170"/>
      <c r="EQ36" s="170"/>
      <c r="ER36" s="170"/>
      <c r="ES36" s="170"/>
      <c r="ET36" s="170"/>
      <c r="EU36" s="170"/>
      <c r="EV36" s="170"/>
      <c r="EW36" s="170"/>
      <c r="EX36" s="170"/>
      <c r="EY36" s="170"/>
      <c r="EZ36" s="170"/>
      <c r="FA36" s="170"/>
      <c r="FB36" s="170"/>
      <c r="FC36" s="170"/>
      <c r="FD36" s="170"/>
      <c r="FE36" s="170"/>
      <c r="FF36" s="170"/>
      <c r="FG36" s="170"/>
      <c r="FH36" s="170"/>
      <c r="FI36" s="170"/>
      <c r="FJ36" s="170"/>
      <c r="FK36" s="170"/>
      <c r="FL36" s="170"/>
      <c r="FM36" s="170"/>
      <c r="FN36" s="170"/>
      <c r="FO36" s="170"/>
      <c r="FP36" s="170"/>
      <c r="FQ36" s="170"/>
      <c r="FR36" s="170"/>
      <c r="FS36" s="170"/>
      <c r="FT36" s="170"/>
      <c r="FU36" s="170"/>
      <c r="FV36" s="170"/>
      <c r="FW36" s="170"/>
      <c r="FX36" s="170"/>
      <c r="FY36" s="170"/>
      <c r="FZ36" s="170"/>
      <c r="GA36" s="170"/>
      <c r="GB36" s="170"/>
      <c r="GC36" s="170"/>
    </row>
    <row r="37" spans="1:185" s="180" customFormat="1" ht="13">
      <c r="A37" s="692"/>
      <c r="B37" s="588" t="s">
        <v>2491</v>
      </c>
      <c r="C37" s="423"/>
      <c r="D37" s="421"/>
      <c r="E37" s="290"/>
      <c r="F37" s="290"/>
      <c r="G37" s="290"/>
      <c r="H37" s="290"/>
      <c r="I37" s="290"/>
      <c r="J37" s="290"/>
      <c r="K37" s="284"/>
      <c r="L37" s="284"/>
      <c r="M37" s="284"/>
      <c r="N37" s="284"/>
      <c r="O37" s="284"/>
      <c r="P37" s="284"/>
      <c r="Q37" s="284"/>
      <c r="R37" s="284"/>
      <c r="S37" s="284"/>
      <c r="T37" s="284"/>
      <c r="U37" s="284"/>
      <c r="V37" s="284"/>
      <c r="W37" s="284"/>
      <c r="X37" s="284"/>
      <c r="Y37" s="284"/>
      <c r="Z37" s="284"/>
      <c r="AA37" s="284"/>
      <c r="AB37" s="284"/>
      <c r="AC37" s="284"/>
      <c r="AD37" s="284"/>
      <c r="AE37" s="284"/>
      <c r="AF37" s="284"/>
      <c r="AG37" s="284"/>
      <c r="AH37" s="170"/>
      <c r="AI37" s="170"/>
      <c r="AJ37" s="170"/>
      <c r="AK37" s="170"/>
      <c r="AL37" s="170"/>
      <c r="AM37" s="170"/>
      <c r="AN37" s="170"/>
      <c r="AO37" s="170"/>
      <c r="AP37" s="170"/>
      <c r="AQ37" s="170"/>
      <c r="AR37" s="170"/>
      <c r="AS37" s="170"/>
      <c r="AT37" s="170"/>
      <c r="AU37" s="170"/>
      <c r="AV37" s="170"/>
      <c r="AW37" s="170"/>
      <c r="AX37" s="170"/>
      <c r="AY37" s="170"/>
      <c r="AZ37" s="170"/>
      <c r="BA37" s="170"/>
      <c r="BB37" s="170"/>
      <c r="BC37" s="170"/>
      <c r="BD37" s="170"/>
      <c r="BE37" s="170"/>
      <c r="BF37" s="170"/>
      <c r="BG37" s="170"/>
      <c r="BH37" s="170"/>
      <c r="BI37" s="170"/>
      <c r="BJ37" s="170"/>
      <c r="BK37" s="170"/>
      <c r="BL37" s="170"/>
      <c r="BM37" s="170"/>
      <c r="BN37" s="170"/>
      <c r="BO37" s="170"/>
      <c r="BP37" s="170"/>
      <c r="BQ37" s="170"/>
      <c r="BR37" s="170"/>
      <c r="BS37" s="170"/>
      <c r="BT37" s="170"/>
      <c r="BU37" s="170"/>
      <c r="BV37" s="170"/>
      <c r="BW37" s="170"/>
      <c r="BX37" s="170"/>
      <c r="BY37" s="170"/>
      <c r="BZ37" s="170"/>
      <c r="CA37" s="170"/>
      <c r="CB37" s="170"/>
      <c r="CC37" s="170"/>
      <c r="CD37" s="170"/>
      <c r="CE37" s="170"/>
      <c r="CF37" s="170"/>
      <c r="CG37" s="170"/>
      <c r="CH37" s="170"/>
      <c r="CI37" s="170"/>
      <c r="CJ37" s="170"/>
      <c r="CK37" s="170"/>
      <c r="CL37" s="170"/>
      <c r="CM37" s="170"/>
      <c r="CN37" s="170"/>
      <c r="CO37" s="170"/>
      <c r="CP37" s="170"/>
      <c r="CQ37" s="170"/>
      <c r="CR37" s="170"/>
      <c r="CS37" s="170"/>
      <c r="CT37" s="170"/>
      <c r="CU37" s="170"/>
      <c r="CV37" s="170"/>
      <c r="CW37" s="170"/>
      <c r="CX37" s="170"/>
      <c r="CY37" s="170"/>
      <c r="CZ37" s="170"/>
      <c r="DA37" s="170"/>
      <c r="DB37" s="170"/>
      <c r="DC37" s="170"/>
      <c r="DD37" s="170"/>
      <c r="DE37" s="170"/>
      <c r="DF37" s="170"/>
      <c r="DG37" s="170"/>
      <c r="DH37" s="170"/>
      <c r="DI37" s="170"/>
      <c r="DJ37" s="170"/>
      <c r="DK37" s="170"/>
      <c r="DL37" s="170"/>
      <c r="DM37" s="170"/>
      <c r="DN37" s="170"/>
      <c r="DO37" s="170"/>
      <c r="DP37" s="170"/>
      <c r="DQ37" s="170"/>
      <c r="DR37" s="170"/>
      <c r="DS37" s="170"/>
      <c r="DT37" s="170"/>
      <c r="DU37" s="170"/>
      <c r="DV37" s="170"/>
      <c r="DW37" s="170"/>
      <c r="DX37" s="170"/>
      <c r="DY37" s="170"/>
      <c r="DZ37" s="170"/>
      <c r="EA37" s="170"/>
      <c r="EB37" s="170"/>
      <c r="EC37" s="170"/>
      <c r="ED37" s="170"/>
      <c r="EE37" s="170"/>
      <c r="EF37" s="170"/>
      <c r="EG37" s="170"/>
      <c r="EH37" s="170"/>
      <c r="EI37" s="170"/>
      <c r="EJ37" s="170"/>
      <c r="EK37" s="170"/>
      <c r="EL37" s="170"/>
      <c r="EM37" s="170"/>
      <c r="EN37" s="170"/>
      <c r="EO37" s="170"/>
      <c r="EP37" s="170"/>
      <c r="EQ37" s="170"/>
      <c r="ER37" s="170"/>
      <c r="ES37" s="170"/>
      <c r="ET37" s="170"/>
      <c r="EU37" s="170"/>
      <c r="EV37" s="170"/>
      <c r="EW37" s="170"/>
      <c r="EX37" s="170"/>
      <c r="EY37" s="170"/>
      <c r="EZ37" s="170"/>
      <c r="FA37" s="170"/>
      <c r="FB37" s="170"/>
      <c r="FC37" s="170"/>
      <c r="FD37" s="170"/>
      <c r="FE37" s="170"/>
      <c r="FF37" s="170"/>
      <c r="FG37" s="170"/>
      <c r="FH37" s="170"/>
      <c r="FI37" s="170"/>
      <c r="FJ37" s="170"/>
      <c r="FK37" s="170"/>
      <c r="FL37" s="170"/>
      <c r="FM37" s="170"/>
      <c r="FN37" s="170"/>
      <c r="FO37" s="170"/>
      <c r="FP37" s="170"/>
      <c r="FQ37" s="170"/>
      <c r="FR37" s="170"/>
      <c r="FS37" s="170"/>
      <c r="FT37" s="170"/>
      <c r="FU37" s="170"/>
      <c r="FV37" s="170"/>
      <c r="FW37" s="170"/>
      <c r="FX37" s="170"/>
      <c r="FY37" s="170"/>
      <c r="FZ37" s="170"/>
      <c r="GA37" s="170"/>
      <c r="GB37" s="170"/>
      <c r="GC37" s="170"/>
    </row>
    <row r="38" spans="1:185" s="180" customFormat="1" ht="13">
      <c r="A38" s="692"/>
      <c r="B38" s="583" t="s">
        <v>2340</v>
      </c>
      <c r="C38" s="423"/>
      <c r="D38" s="421"/>
      <c r="E38" s="290"/>
      <c r="F38" s="290"/>
      <c r="G38" s="290"/>
      <c r="H38" s="290"/>
      <c r="I38" s="290"/>
      <c r="J38" s="290"/>
      <c r="K38" s="284"/>
      <c r="L38" s="284"/>
      <c r="M38" s="284"/>
      <c r="N38" s="284"/>
      <c r="O38" s="284"/>
      <c r="P38" s="284"/>
      <c r="Q38" s="284"/>
      <c r="R38" s="284"/>
      <c r="S38" s="284"/>
      <c r="T38" s="284"/>
      <c r="U38" s="284"/>
      <c r="V38" s="284"/>
      <c r="W38" s="284"/>
      <c r="X38" s="284"/>
      <c r="Y38" s="284"/>
      <c r="Z38" s="284"/>
      <c r="AA38" s="284"/>
      <c r="AB38" s="284"/>
      <c r="AC38" s="284"/>
      <c r="AD38" s="284"/>
      <c r="AE38" s="284"/>
      <c r="AF38" s="284"/>
      <c r="AG38" s="284"/>
      <c r="AH38" s="170"/>
      <c r="AI38" s="170"/>
      <c r="AJ38" s="170"/>
      <c r="AK38" s="170"/>
      <c r="AL38" s="170"/>
      <c r="AM38" s="170"/>
      <c r="AN38" s="170"/>
      <c r="AO38" s="170"/>
      <c r="AP38" s="170"/>
      <c r="AQ38" s="170"/>
      <c r="AR38" s="170"/>
      <c r="AS38" s="170"/>
      <c r="AT38" s="170"/>
      <c r="AU38" s="170"/>
      <c r="AV38" s="170"/>
      <c r="AW38" s="170"/>
      <c r="AX38" s="170"/>
      <c r="AY38" s="170"/>
      <c r="AZ38" s="170"/>
      <c r="BA38" s="170"/>
      <c r="BB38" s="170"/>
      <c r="BC38" s="170"/>
      <c r="BD38" s="170"/>
      <c r="BE38" s="170"/>
      <c r="BF38" s="170"/>
      <c r="BG38" s="170"/>
      <c r="BH38" s="170"/>
      <c r="BI38" s="170"/>
      <c r="BJ38" s="170"/>
      <c r="BK38" s="170"/>
      <c r="BL38" s="170"/>
      <c r="BM38" s="170"/>
      <c r="BN38" s="170"/>
      <c r="BO38" s="170"/>
      <c r="BP38" s="170"/>
      <c r="BQ38" s="170"/>
      <c r="BR38" s="170"/>
      <c r="BS38" s="170"/>
      <c r="BT38" s="170"/>
      <c r="BU38" s="170"/>
      <c r="BV38" s="170"/>
      <c r="BW38" s="170"/>
      <c r="BX38" s="170"/>
      <c r="BY38" s="170"/>
      <c r="BZ38" s="170"/>
      <c r="CA38" s="170"/>
      <c r="CB38" s="170"/>
      <c r="CC38" s="170"/>
      <c r="CD38" s="170"/>
      <c r="CE38" s="170"/>
      <c r="CF38" s="170"/>
      <c r="CG38" s="170"/>
      <c r="CH38" s="170"/>
      <c r="CI38" s="170"/>
      <c r="CJ38" s="170"/>
      <c r="CK38" s="170"/>
      <c r="CL38" s="170"/>
      <c r="CM38" s="170"/>
      <c r="CN38" s="170"/>
      <c r="CO38" s="170"/>
      <c r="CP38" s="170"/>
      <c r="CQ38" s="170"/>
      <c r="CR38" s="170"/>
      <c r="CS38" s="170"/>
      <c r="CT38" s="170"/>
      <c r="CU38" s="170"/>
      <c r="CV38" s="170"/>
      <c r="CW38" s="170"/>
      <c r="CX38" s="170"/>
      <c r="CY38" s="170"/>
      <c r="CZ38" s="170"/>
      <c r="DA38" s="170"/>
      <c r="DB38" s="170"/>
      <c r="DC38" s="170"/>
      <c r="DD38" s="170"/>
      <c r="DE38" s="170"/>
      <c r="DF38" s="170"/>
      <c r="DG38" s="170"/>
      <c r="DH38" s="170"/>
      <c r="DI38" s="170"/>
      <c r="DJ38" s="170"/>
      <c r="DK38" s="170"/>
      <c r="DL38" s="170"/>
      <c r="DM38" s="170"/>
      <c r="DN38" s="170"/>
      <c r="DO38" s="170"/>
      <c r="DP38" s="170"/>
      <c r="DQ38" s="170"/>
      <c r="DR38" s="170"/>
      <c r="DS38" s="170"/>
      <c r="DT38" s="170"/>
      <c r="DU38" s="170"/>
      <c r="DV38" s="170"/>
      <c r="DW38" s="170"/>
      <c r="DX38" s="170"/>
      <c r="DY38" s="170"/>
      <c r="DZ38" s="170"/>
      <c r="EA38" s="170"/>
      <c r="EB38" s="170"/>
      <c r="EC38" s="170"/>
      <c r="ED38" s="170"/>
      <c r="EE38" s="170"/>
      <c r="EF38" s="170"/>
      <c r="EG38" s="170"/>
      <c r="EH38" s="170"/>
      <c r="EI38" s="170"/>
      <c r="EJ38" s="170"/>
      <c r="EK38" s="170"/>
      <c r="EL38" s="170"/>
      <c r="EM38" s="170"/>
      <c r="EN38" s="170"/>
      <c r="EO38" s="170"/>
      <c r="EP38" s="170"/>
      <c r="EQ38" s="170"/>
      <c r="ER38" s="170"/>
      <c r="ES38" s="170"/>
      <c r="ET38" s="170"/>
      <c r="EU38" s="170"/>
      <c r="EV38" s="170"/>
      <c r="EW38" s="170"/>
      <c r="EX38" s="170"/>
      <c r="EY38" s="170"/>
      <c r="EZ38" s="170"/>
      <c r="FA38" s="170"/>
      <c r="FB38" s="170"/>
      <c r="FC38" s="170"/>
      <c r="FD38" s="170"/>
      <c r="FE38" s="170"/>
      <c r="FF38" s="170"/>
      <c r="FG38" s="170"/>
      <c r="FH38" s="170"/>
      <c r="FI38" s="170"/>
      <c r="FJ38" s="170"/>
      <c r="FK38" s="170"/>
      <c r="FL38" s="170"/>
      <c r="FM38" s="170"/>
      <c r="FN38" s="170"/>
      <c r="FO38" s="170"/>
      <c r="FP38" s="170"/>
      <c r="FQ38" s="170"/>
      <c r="FR38" s="170"/>
      <c r="FS38" s="170"/>
      <c r="FT38" s="170"/>
      <c r="FU38" s="170"/>
      <c r="FV38" s="170"/>
      <c r="FW38" s="170"/>
      <c r="FX38" s="170"/>
      <c r="FY38" s="170"/>
      <c r="FZ38" s="170"/>
      <c r="GA38" s="170"/>
      <c r="GB38" s="170"/>
      <c r="GC38" s="170"/>
    </row>
    <row r="39" spans="1:185" s="180" customFormat="1" ht="13">
      <c r="A39" s="692"/>
      <c r="B39" s="584" t="s">
        <v>2495</v>
      </c>
      <c r="C39" s="424">
        <f>SUM(C33:C34,C35,C38)</f>
        <v>0</v>
      </c>
      <c r="D39" s="421"/>
      <c r="E39" s="290"/>
      <c r="F39" s="290"/>
      <c r="G39" s="290"/>
      <c r="H39" s="290"/>
      <c r="I39" s="290"/>
      <c r="J39" s="290"/>
      <c r="K39" s="284"/>
      <c r="L39" s="284"/>
      <c r="M39" s="284"/>
      <c r="N39" s="284"/>
      <c r="O39" s="284"/>
      <c r="P39" s="284"/>
      <c r="Q39" s="284"/>
      <c r="R39" s="284"/>
      <c r="S39" s="284"/>
      <c r="T39" s="284"/>
      <c r="U39" s="284"/>
      <c r="V39" s="284"/>
      <c r="W39" s="284"/>
      <c r="X39" s="284"/>
      <c r="Y39" s="284"/>
      <c r="Z39" s="284"/>
      <c r="AA39" s="284"/>
      <c r="AB39" s="284"/>
      <c r="AC39" s="284"/>
      <c r="AD39" s="284"/>
      <c r="AE39" s="284"/>
      <c r="AF39" s="284"/>
      <c r="AG39" s="284"/>
      <c r="AH39" s="170"/>
      <c r="AI39" s="170"/>
      <c r="AJ39" s="170"/>
      <c r="AK39" s="170"/>
      <c r="AL39" s="170"/>
      <c r="AM39" s="170"/>
      <c r="AN39" s="170"/>
      <c r="AO39" s="170"/>
      <c r="AP39" s="170"/>
      <c r="AQ39" s="170"/>
      <c r="AR39" s="170"/>
      <c r="AS39" s="170"/>
      <c r="AT39" s="170"/>
      <c r="AU39" s="170"/>
      <c r="AV39" s="170"/>
      <c r="AW39" s="170"/>
      <c r="AX39" s="170"/>
      <c r="AY39" s="170"/>
      <c r="AZ39" s="170"/>
      <c r="BA39" s="170"/>
      <c r="BB39" s="170"/>
      <c r="BC39" s="170"/>
      <c r="BD39" s="170"/>
      <c r="BE39" s="170"/>
      <c r="BF39" s="170"/>
      <c r="BG39" s="170"/>
      <c r="BH39" s="170"/>
      <c r="BI39" s="170"/>
      <c r="BJ39" s="170"/>
      <c r="BK39" s="170"/>
      <c r="BL39" s="170"/>
      <c r="BM39" s="170"/>
      <c r="BN39" s="170"/>
      <c r="BO39" s="170"/>
      <c r="BP39" s="170"/>
      <c r="BQ39" s="170"/>
      <c r="BR39" s="170"/>
      <c r="BS39" s="170"/>
      <c r="BT39" s="170"/>
      <c r="BU39" s="170"/>
      <c r="BV39" s="170"/>
      <c r="BW39" s="170"/>
      <c r="BX39" s="170"/>
      <c r="BY39" s="170"/>
      <c r="BZ39" s="170"/>
      <c r="CA39" s="170"/>
      <c r="CB39" s="170"/>
      <c r="CC39" s="170"/>
      <c r="CD39" s="170"/>
      <c r="CE39" s="170"/>
      <c r="CF39" s="170"/>
      <c r="CG39" s="170"/>
      <c r="CH39" s="170"/>
      <c r="CI39" s="170"/>
      <c r="CJ39" s="170"/>
      <c r="CK39" s="170"/>
      <c r="CL39" s="170"/>
      <c r="CM39" s="170"/>
      <c r="CN39" s="170"/>
      <c r="CO39" s="170"/>
      <c r="CP39" s="170"/>
      <c r="CQ39" s="170"/>
      <c r="CR39" s="170"/>
      <c r="CS39" s="170"/>
      <c r="CT39" s="170"/>
      <c r="CU39" s="170"/>
      <c r="CV39" s="170"/>
      <c r="CW39" s="170"/>
      <c r="CX39" s="170"/>
      <c r="CY39" s="170"/>
      <c r="CZ39" s="170"/>
      <c r="DA39" s="170"/>
      <c r="DB39" s="170"/>
      <c r="DC39" s="170"/>
      <c r="DD39" s="170"/>
      <c r="DE39" s="170"/>
      <c r="DF39" s="170"/>
      <c r="DG39" s="170"/>
      <c r="DH39" s="170"/>
      <c r="DI39" s="170"/>
      <c r="DJ39" s="170"/>
      <c r="DK39" s="170"/>
      <c r="DL39" s="170"/>
      <c r="DM39" s="170"/>
      <c r="DN39" s="170"/>
      <c r="DO39" s="170"/>
      <c r="DP39" s="170"/>
      <c r="DQ39" s="170"/>
      <c r="DR39" s="170"/>
      <c r="DS39" s="170"/>
      <c r="DT39" s="170"/>
      <c r="DU39" s="170"/>
      <c r="DV39" s="170"/>
      <c r="DW39" s="170"/>
      <c r="DX39" s="170"/>
      <c r="DY39" s="170"/>
      <c r="DZ39" s="170"/>
      <c r="EA39" s="170"/>
      <c r="EB39" s="170"/>
      <c r="EC39" s="170"/>
      <c r="ED39" s="170"/>
      <c r="EE39" s="170"/>
      <c r="EF39" s="170"/>
      <c r="EG39" s="170"/>
      <c r="EH39" s="170"/>
      <c r="EI39" s="170"/>
      <c r="EJ39" s="170"/>
      <c r="EK39" s="170"/>
      <c r="EL39" s="170"/>
      <c r="EM39" s="170"/>
      <c r="EN39" s="170"/>
      <c r="EO39" s="170"/>
      <c r="EP39" s="170"/>
      <c r="EQ39" s="170"/>
      <c r="ER39" s="170"/>
      <c r="ES39" s="170"/>
      <c r="ET39" s="170"/>
      <c r="EU39" s="170"/>
      <c r="EV39" s="170"/>
      <c r="EW39" s="170"/>
      <c r="EX39" s="170"/>
      <c r="EY39" s="170"/>
      <c r="EZ39" s="170"/>
      <c r="FA39" s="170"/>
      <c r="FB39" s="170"/>
      <c r="FC39" s="170"/>
      <c r="FD39" s="170"/>
      <c r="FE39" s="170"/>
      <c r="FF39" s="170"/>
      <c r="FG39" s="170"/>
      <c r="FH39" s="170"/>
      <c r="FI39" s="170"/>
      <c r="FJ39" s="170"/>
      <c r="FK39" s="170"/>
      <c r="FL39" s="170"/>
      <c r="FM39" s="170"/>
      <c r="FN39" s="170"/>
      <c r="FO39" s="170"/>
      <c r="FP39" s="170"/>
      <c r="FQ39" s="170"/>
      <c r="FR39" s="170"/>
      <c r="FS39" s="170"/>
      <c r="FT39" s="170"/>
      <c r="FU39" s="170"/>
      <c r="FV39" s="170"/>
      <c r="FW39" s="170"/>
      <c r="FX39" s="170"/>
      <c r="FY39" s="170"/>
      <c r="FZ39" s="170"/>
      <c r="GA39" s="170"/>
      <c r="GB39" s="170"/>
      <c r="GC39" s="170"/>
    </row>
    <row r="40" spans="1:185" s="180" customFormat="1" ht="13">
      <c r="A40" s="693"/>
      <c r="B40" s="586" t="s">
        <v>2230</v>
      </c>
      <c r="C40" s="402"/>
      <c r="D40" s="290"/>
      <c r="E40" s="290"/>
      <c r="F40" s="290"/>
      <c r="G40" s="290"/>
      <c r="H40" s="290"/>
      <c r="I40" s="290"/>
      <c r="J40" s="290"/>
      <c r="K40" s="284"/>
      <c r="L40" s="284"/>
      <c r="M40" s="284"/>
      <c r="N40" s="284"/>
      <c r="O40" s="284"/>
      <c r="P40" s="284"/>
      <c r="Q40" s="284"/>
      <c r="R40" s="284"/>
      <c r="S40" s="284"/>
      <c r="T40" s="284"/>
      <c r="U40" s="284"/>
      <c r="V40" s="284"/>
      <c r="W40" s="284"/>
      <c r="X40" s="284"/>
      <c r="Y40" s="284"/>
      <c r="Z40" s="284"/>
      <c r="AA40" s="284"/>
      <c r="AB40" s="284"/>
      <c r="AC40" s="284"/>
      <c r="AD40" s="284"/>
      <c r="AE40" s="284"/>
      <c r="AF40" s="284"/>
      <c r="AG40" s="284"/>
      <c r="AH40" s="170"/>
      <c r="AI40" s="170"/>
      <c r="AJ40" s="170"/>
      <c r="AK40" s="170"/>
      <c r="AL40" s="170"/>
      <c r="AM40" s="170"/>
      <c r="AN40" s="170"/>
      <c r="AO40" s="170"/>
      <c r="AP40" s="170"/>
      <c r="AQ40" s="170"/>
      <c r="AR40" s="170"/>
      <c r="AS40" s="170"/>
      <c r="AT40" s="170"/>
      <c r="AU40" s="170"/>
      <c r="AV40" s="170"/>
      <c r="AW40" s="170"/>
      <c r="AX40" s="170"/>
      <c r="AY40" s="170"/>
      <c r="AZ40" s="170"/>
      <c r="BA40" s="170"/>
      <c r="BB40" s="170"/>
      <c r="BC40" s="170"/>
      <c r="BD40" s="170"/>
      <c r="BE40" s="170"/>
      <c r="BF40" s="170"/>
      <c r="BG40" s="170"/>
      <c r="BH40" s="170"/>
      <c r="BI40" s="170"/>
      <c r="BJ40" s="170"/>
      <c r="BK40" s="170"/>
      <c r="BL40" s="170"/>
      <c r="BM40" s="170"/>
      <c r="BN40" s="170"/>
      <c r="BO40" s="170"/>
      <c r="BP40" s="170"/>
      <c r="BQ40" s="170"/>
      <c r="BR40" s="170"/>
      <c r="BS40" s="170"/>
      <c r="BT40" s="170"/>
      <c r="BU40" s="170"/>
      <c r="BV40" s="170"/>
      <c r="BW40" s="170"/>
      <c r="BX40" s="170"/>
      <c r="BY40" s="170"/>
      <c r="BZ40" s="170"/>
      <c r="CA40" s="170"/>
      <c r="CB40" s="170"/>
      <c r="CC40" s="170"/>
      <c r="CD40" s="170"/>
      <c r="CE40" s="170"/>
      <c r="CF40" s="170"/>
      <c r="CG40" s="170"/>
      <c r="CH40" s="170"/>
      <c r="CI40" s="170"/>
      <c r="CJ40" s="170"/>
      <c r="CK40" s="170"/>
      <c r="CL40" s="170"/>
      <c r="CM40" s="170"/>
      <c r="CN40" s="170"/>
      <c r="CO40" s="170"/>
      <c r="CP40" s="170"/>
      <c r="CQ40" s="170"/>
      <c r="CR40" s="170"/>
      <c r="CS40" s="170"/>
      <c r="CT40" s="170"/>
      <c r="CU40" s="170"/>
      <c r="CV40" s="170"/>
      <c r="CW40" s="170"/>
      <c r="CX40" s="170"/>
      <c r="CY40" s="170"/>
      <c r="CZ40" s="170"/>
      <c r="DA40" s="170"/>
      <c r="DB40" s="170"/>
      <c r="DC40" s="170"/>
      <c r="DD40" s="170"/>
      <c r="DE40" s="170"/>
      <c r="DF40" s="170"/>
      <c r="DG40" s="170"/>
      <c r="DH40" s="170"/>
      <c r="DI40" s="170"/>
      <c r="DJ40" s="170"/>
      <c r="DK40" s="170"/>
      <c r="DL40" s="170"/>
      <c r="DM40" s="170"/>
      <c r="DN40" s="170"/>
      <c r="DO40" s="170"/>
      <c r="DP40" s="170"/>
      <c r="DQ40" s="170"/>
      <c r="DR40" s="170"/>
      <c r="DS40" s="170"/>
      <c r="DT40" s="170"/>
      <c r="DU40" s="170"/>
      <c r="DV40" s="170"/>
      <c r="DW40" s="170"/>
      <c r="DX40" s="170"/>
      <c r="DY40" s="170"/>
      <c r="DZ40" s="170"/>
      <c r="EA40" s="170"/>
      <c r="EB40" s="170"/>
      <c r="EC40" s="170"/>
      <c r="ED40" s="170"/>
      <c r="EE40" s="170"/>
      <c r="EF40" s="170"/>
      <c r="EG40" s="170"/>
      <c r="EH40" s="170"/>
      <c r="EI40" s="170"/>
      <c r="EJ40" s="170"/>
      <c r="EK40" s="170"/>
      <c r="EL40" s="170"/>
      <c r="EM40" s="170"/>
      <c r="EN40" s="170"/>
      <c r="EO40" s="170"/>
      <c r="EP40" s="170"/>
      <c r="EQ40" s="170"/>
      <c r="ER40" s="170"/>
      <c r="ES40" s="170"/>
      <c r="ET40" s="170"/>
      <c r="EU40" s="170"/>
      <c r="EV40" s="170"/>
      <c r="EW40" s="170"/>
      <c r="EX40" s="170"/>
      <c r="EY40" s="170"/>
      <c r="EZ40" s="170"/>
      <c r="FA40" s="170"/>
      <c r="FB40" s="170"/>
      <c r="FC40" s="170"/>
      <c r="FD40" s="170"/>
      <c r="FE40" s="170"/>
      <c r="FF40" s="170"/>
      <c r="FG40" s="170"/>
      <c r="FH40" s="170"/>
      <c r="FI40" s="170"/>
      <c r="FJ40" s="170"/>
      <c r="FK40" s="170"/>
      <c r="FL40" s="170"/>
      <c r="FM40" s="170"/>
      <c r="FN40" s="170"/>
      <c r="FO40" s="170"/>
      <c r="FP40" s="170"/>
      <c r="FQ40" s="170"/>
      <c r="FR40" s="170"/>
      <c r="FS40" s="170"/>
      <c r="FT40" s="170"/>
      <c r="FU40" s="170"/>
      <c r="FV40" s="170"/>
      <c r="FW40" s="170"/>
      <c r="FX40" s="170"/>
      <c r="FY40" s="170"/>
      <c r="FZ40" s="170"/>
      <c r="GA40" s="170"/>
      <c r="GB40" s="170"/>
      <c r="GC40" s="170"/>
    </row>
    <row r="41" spans="1:185" s="180" customFormat="1" ht="13">
      <c r="A41" s="693"/>
      <c r="B41" s="587" t="s">
        <v>1898</v>
      </c>
      <c r="C41" s="403"/>
      <c r="D41" s="290"/>
      <c r="E41" s="290"/>
      <c r="F41" s="290"/>
      <c r="G41" s="290"/>
      <c r="H41" s="290"/>
      <c r="I41" s="290"/>
      <c r="J41" s="290"/>
      <c r="K41" s="284"/>
      <c r="L41" s="284"/>
      <c r="M41" s="284"/>
      <c r="N41" s="284"/>
      <c r="O41" s="284"/>
      <c r="P41" s="284"/>
      <c r="Q41" s="284"/>
      <c r="R41" s="284"/>
      <c r="S41" s="284"/>
      <c r="T41" s="284"/>
      <c r="U41" s="284"/>
      <c r="V41" s="284"/>
      <c r="W41" s="284"/>
      <c r="X41" s="284"/>
      <c r="Y41" s="284"/>
      <c r="Z41" s="284"/>
      <c r="AA41" s="284"/>
      <c r="AB41" s="284"/>
      <c r="AC41" s="284"/>
      <c r="AD41" s="284"/>
      <c r="AE41" s="284"/>
      <c r="AF41" s="284"/>
      <c r="AG41" s="284"/>
      <c r="AH41" s="170"/>
      <c r="AI41" s="170"/>
      <c r="AJ41" s="170"/>
      <c r="AK41" s="170"/>
      <c r="AL41" s="170"/>
      <c r="AM41" s="170"/>
      <c r="AN41" s="170"/>
      <c r="AO41" s="170"/>
      <c r="AP41" s="170"/>
      <c r="AQ41" s="170"/>
      <c r="AR41" s="170"/>
      <c r="AS41" s="170"/>
      <c r="AT41" s="170"/>
      <c r="AU41" s="170"/>
      <c r="AV41" s="170"/>
      <c r="AW41" s="170"/>
      <c r="AX41" s="170"/>
      <c r="AY41" s="170"/>
      <c r="AZ41" s="170"/>
      <c r="BA41" s="170"/>
      <c r="BB41" s="170"/>
      <c r="BC41" s="170"/>
      <c r="BD41" s="170"/>
      <c r="BE41" s="170"/>
      <c r="BF41" s="170"/>
      <c r="BG41" s="170"/>
      <c r="BH41" s="170"/>
      <c r="BI41" s="170"/>
      <c r="BJ41" s="170"/>
      <c r="BK41" s="170"/>
      <c r="BL41" s="170"/>
      <c r="BM41" s="170"/>
      <c r="BN41" s="170"/>
      <c r="BO41" s="170"/>
      <c r="BP41" s="170"/>
      <c r="BQ41" s="170"/>
      <c r="BR41" s="170"/>
      <c r="BS41" s="170"/>
      <c r="BT41" s="170"/>
      <c r="BU41" s="170"/>
      <c r="BV41" s="170"/>
      <c r="BW41" s="170"/>
      <c r="BX41" s="170"/>
      <c r="BY41" s="170"/>
      <c r="BZ41" s="170"/>
      <c r="CA41" s="170"/>
      <c r="CB41" s="170"/>
      <c r="CC41" s="170"/>
      <c r="CD41" s="170"/>
      <c r="CE41" s="170"/>
      <c r="CF41" s="170"/>
      <c r="CG41" s="170"/>
      <c r="CH41" s="170"/>
      <c r="CI41" s="170"/>
      <c r="CJ41" s="170"/>
      <c r="CK41" s="170"/>
      <c r="CL41" s="170"/>
      <c r="CM41" s="170"/>
      <c r="CN41" s="170"/>
      <c r="CO41" s="170"/>
      <c r="CP41" s="170"/>
      <c r="CQ41" s="170"/>
      <c r="CR41" s="170"/>
      <c r="CS41" s="170"/>
      <c r="CT41" s="170"/>
      <c r="CU41" s="170"/>
      <c r="CV41" s="170"/>
      <c r="CW41" s="170"/>
      <c r="CX41" s="170"/>
      <c r="CY41" s="170"/>
      <c r="CZ41" s="170"/>
      <c r="DA41" s="170"/>
      <c r="DB41" s="170"/>
      <c r="DC41" s="170"/>
      <c r="DD41" s="170"/>
      <c r="DE41" s="170"/>
      <c r="DF41" s="170"/>
      <c r="DG41" s="170"/>
      <c r="DH41" s="170"/>
      <c r="DI41" s="170"/>
      <c r="DJ41" s="170"/>
      <c r="DK41" s="170"/>
      <c r="DL41" s="170"/>
      <c r="DM41" s="170"/>
      <c r="DN41" s="170"/>
      <c r="DO41" s="170"/>
      <c r="DP41" s="170"/>
      <c r="DQ41" s="170"/>
      <c r="DR41" s="170"/>
      <c r="DS41" s="170"/>
      <c r="DT41" s="170"/>
      <c r="DU41" s="170"/>
      <c r="DV41" s="170"/>
      <c r="DW41" s="170"/>
      <c r="DX41" s="170"/>
      <c r="DY41" s="170"/>
      <c r="DZ41" s="170"/>
      <c r="EA41" s="170"/>
      <c r="EB41" s="170"/>
      <c r="EC41" s="170"/>
      <c r="ED41" s="170"/>
      <c r="EE41" s="170"/>
      <c r="EF41" s="170"/>
      <c r="EG41" s="170"/>
      <c r="EH41" s="170"/>
      <c r="EI41" s="170"/>
      <c r="EJ41" s="170"/>
      <c r="EK41" s="170"/>
      <c r="EL41" s="170"/>
      <c r="EM41" s="170"/>
      <c r="EN41" s="170"/>
      <c r="EO41" s="170"/>
      <c r="EP41" s="170"/>
      <c r="EQ41" s="170"/>
      <c r="ER41" s="170"/>
      <c r="ES41" s="170"/>
      <c r="ET41" s="170"/>
      <c r="EU41" s="170"/>
      <c r="EV41" s="170"/>
      <c r="EW41" s="170"/>
      <c r="EX41" s="170"/>
      <c r="EY41" s="170"/>
      <c r="EZ41" s="170"/>
      <c r="FA41" s="170"/>
      <c r="FB41" s="170"/>
      <c r="FC41" s="170"/>
      <c r="FD41" s="170"/>
      <c r="FE41" s="170"/>
      <c r="FF41" s="170"/>
      <c r="FG41" s="170"/>
      <c r="FH41" s="170"/>
      <c r="FI41" s="170"/>
      <c r="FJ41" s="170"/>
      <c r="FK41" s="170"/>
      <c r="FL41" s="170"/>
      <c r="FM41" s="170"/>
      <c r="FN41" s="170"/>
      <c r="FO41" s="170"/>
      <c r="FP41" s="170"/>
      <c r="FQ41" s="170"/>
      <c r="FR41" s="170"/>
      <c r="FS41" s="170"/>
      <c r="FT41" s="170"/>
      <c r="FU41" s="170"/>
      <c r="FV41" s="170"/>
      <c r="FW41" s="170"/>
      <c r="FX41" s="170"/>
      <c r="FY41" s="170"/>
      <c r="FZ41" s="170"/>
      <c r="GA41" s="170"/>
      <c r="GB41" s="170"/>
      <c r="GC41" s="170"/>
    </row>
    <row r="42" spans="1:185" s="180" customFormat="1" ht="13">
      <c r="A42" s="693"/>
      <c r="B42" s="588" t="s">
        <v>2312</v>
      </c>
      <c r="C42" s="195"/>
      <c r="D42" s="290"/>
      <c r="E42" s="290"/>
      <c r="F42" s="290"/>
      <c r="G42" s="290"/>
      <c r="H42" s="290"/>
      <c r="I42" s="290"/>
      <c r="J42" s="290"/>
      <c r="K42" s="284"/>
      <c r="L42" s="284"/>
      <c r="M42" s="284"/>
      <c r="N42" s="284"/>
      <c r="O42" s="284"/>
      <c r="P42" s="284"/>
      <c r="Q42" s="284"/>
      <c r="R42" s="284"/>
      <c r="S42" s="284"/>
      <c r="T42" s="284"/>
      <c r="U42" s="284"/>
      <c r="V42" s="284"/>
      <c r="W42" s="284"/>
      <c r="X42" s="284"/>
      <c r="Y42" s="284"/>
      <c r="Z42" s="284"/>
      <c r="AA42" s="284"/>
      <c r="AB42" s="284"/>
      <c r="AC42" s="284"/>
      <c r="AD42" s="284"/>
      <c r="AE42" s="284"/>
      <c r="AF42" s="284"/>
      <c r="AG42" s="284"/>
      <c r="AH42" s="170"/>
      <c r="AI42" s="170"/>
      <c r="AJ42" s="170"/>
      <c r="AK42" s="170"/>
      <c r="AL42" s="170"/>
      <c r="AM42" s="170"/>
      <c r="AN42" s="170"/>
      <c r="AO42" s="170"/>
      <c r="AP42" s="170"/>
      <c r="AQ42" s="170"/>
      <c r="AR42" s="170"/>
      <c r="AS42" s="170"/>
      <c r="AT42" s="170"/>
      <c r="AU42" s="170"/>
      <c r="AV42" s="170"/>
      <c r="AW42" s="170"/>
      <c r="AX42" s="170"/>
      <c r="AY42" s="170"/>
      <c r="AZ42" s="170"/>
      <c r="BA42" s="170"/>
      <c r="BB42" s="170"/>
      <c r="BC42" s="170"/>
      <c r="BD42" s="170"/>
      <c r="BE42" s="170"/>
      <c r="BF42" s="170"/>
      <c r="BG42" s="170"/>
      <c r="BH42" s="170"/>
      <c r="BI42" s="170"/>
      <c r="BJ42" s="170"/>
      <c r="BK42" s="170"/>
      <c r="BL42" s="170"/>
      <c r="BM42" s="170"/>
      <c r="BN42" s="170"/>
      <c r="BO42" s="170"/>
      <c r="BP42" s="170"/>
      <c r="BQ42" s="170"/>
      <c r="BR42" s="170"/>
      <c r="BS42" s="170"/>
      <c r="BT42" s="170"/>
      <c r="BU42" s="170"/>
      <c r="BV42" s="170"/>
      <c r="BW42" s="170"/>
      <c r="BX42" s="170"/>
      <c r="BY42" s="170"/>
      <c r="BZ42" s="170"/>
      <c r="CA42" s="170"/>
      <c r="CB42" s="170"/>
      <c r="CC42" s="170"/>
      <c r="CD42" s="170"/>
      <c r="CE42" s="170"/>
      <c r="CF42" s="170"/>
      <c r="CG42" s="170"/>
      <c r="CH42" s="170"/>
      <c r="CI42" s="170"/>
      <c r="CJ42" s="170"/>
      <c r="CK42" s="170"/>
      <c r="CL42" s="170"/>
      <c r="CM42" s="170"/>
      <c r="CN42" s="170"/>
      <c r="CO42" s="170"/>
      <c r="CP42" s="170"/>
      <c r="CQ42" s="170"/>
      <c r="CR42" s="170"/>
      <c r="CS42" s="170"/>
      <c r="CT42" s="170"/>
      <c r="CU42" s="170"/>
      <c r="CV42" s="170"/>
      <c r="CW42" s="170"/>
      <c r="CX42" s="170"/>
      <c r="CY42" s="170"/>
      <c r="CZ42" s="170"/>
      <c r="DA42" s="170"/>
      <c r="DB42" s="170"/>
      <c r="DC42" s="170"/>
      <c r="DD42" s="170"/>
      <c r="DE42" s="170"/>
      <c r="DF42" s="170"/>
      <c r="DG42" s="170"/>
      <c r="DH42" s="170"/>
      <c r="DI42" s="170"/>
      <c r="DJ42" s="170"/>
      <c r="DK42" s="170"/>
      <c r="DL42" s="170"/>
      <c r="DM42" s="170"/>
      <c r="DN42" s="170"/>
      <c r="DO42" s="170"/>
      <c r="DP42" s="170"/>
      <c r="DQ42" s="170"/>
      <c r="DR42" s="170"/>
      <c r="DS42" s="170"/>
      <c r="DT42" s="170"/>
      <c r="DU42" s="170"/>
      <c r="DV42" s="170"/>
      <c r="DW42" s="170"/>
      <c r="DX42" s="170"/>
      <c r="DY42" s="170"/>
      <c r="DZ42" s="170"/>
      <c r="EA42" s="170"/>
      <c r="EB42" s="170"/>
      <c r="EC42" s="170"/>
      <c r="ED42" s="170"/>
      <c r="EE42" s="170"/>
      <c r="EF42" s="170"/>
      <c r="EG42" s="170"/>
      <c r="EH42" s="170"/>
      <c r="EI42" s="170"/>
      <c r="EJ42" s="170"/>
      <c r="EK42" s="170"/>
      <c r="EL42" s="170"/>
      <c r="EM42" s="170"/>
      <c r="EN42" s="170"/>
      <c r="EO42" s="170"/>
      <c r="EP42" s="170"/>
      <c r="EQ42" s="170"/>
      <c r="ER42" s="170"/>
      <c r="ES42" s="170"/>
      <c r="ET42" s="170"/>
      <c r="EU42" s="170"/>
      <c r="EV42" s="170"/>
      <c r="EW42" s="170"/>
      <c r="EX42" s="170"/>
      <c r="EY42" s="170"/>
      <c r="EZ42" s="170"/>
      <c r="FA42" s="170"/>
      <c r="FB42" s="170"/>
      <c r="FC42" s="170"/>
      <c r="FD42" s="170"/>
      <c r="FE42" s="170"/>
      <c r="FF42" s="170"/>
      <c r="FG42" s="170"/>
      <c r="FH42" s="170"/>
      <c r="FI42" s="170"/>
      <c r="FJ42" s="170"/>
      <c r="FK42" s="170"/>
      <c r="FL42" s="170"/>
      <c r="FM42" s="170"/>
      <c r="FN42" s="170"/>
      <c r="FO42" s="170"/>
      <c r="FP42" s="170"/>
      <c r="FQ42" s="170"/>
      <c r="FR42" s="170"/>
      <c r="FS42" s="170"/>
      <c r="FT42" s="170"/>
      <c r="FU42" s="170"/>
      <c r="FV42" s="170"/>
      <c r="FW42" s="170"/>
      <c r="FX42" s="170"/>
      <c r="FY42" s="170"/>
      <c r="FZ42" s="170"/>
      <c r="GA42" s="170"/>
      <c r="GB42" s="170"/>
      <c r="GC42" s="170"/>
    </row>
    <row r="43" spans="1:185" s="180" customFormat="1" ht="13">
      <c r="A43" s="693"/>
      <c r="B43" s="588" t="s">
        <v>2313</v>
      </c>
      <c r="C43" s="195"/>
      <c r="D43" s="290"/>
      <c r="E43" s="290"/>
      <c r="F43" s="290"/>
      <c r="G43" s="290"/>
      <c r="H43" s="290"/>
      <c r="I43" s="290"/>
      <c r="J43" s="290"/>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c r="AH43" s="170"/>
      <c r="AI43" s="170"/>
      <c r="AJ43" s="170"/>
      <c r="AK43" s="170"/>
      <c r="AL43" s="170"/>
      <c r="AM43" s="170"/>
      <c r="AN43" s="170"/>
      <c r="AO43" s="170"/>
      <c r="AP43" s="170"/>
      <c r="AQ43" s="170"/>
      <c r="AR43" s="170"/>
      <c r="AS43" s="170"/>
      <c r="AT43" s="170"/>
      <c r="AU43" s="170"/>
      <c r="AV43" s="170"/>
      <c r="AW43" s="170"/>
      <c r="AX43" s="170"/>
      <c r="AY43" s="170"/>
      <c r="AZ43" s="170"/>
      <c r="BA43" s="170"/>
      <c r="BB43" s="170"/>
      <c r="BC43" s="170"/>
      <c r="BD43" s="170"/>
      <c r="BE43" s="170"/>
      <c r="BF43" s="170"/>
      <c r="BG43" s="170"/>
      <c r="BH43" s="170"/>
      <c r="BI43" s="170"/>
      <c r="BJ43" s="170"/>
      <c r="BK43" s="170"/>
      <c r="BL43" s="170"/>
      <c r="BM43" s="170"/>
      <c r="BN43" s="170"/>
      <c r="BO43" s="170"/>
      <c r="BP43" s="170"/>
      <c r="BQ43" s="170"/>
      <c r="BR43" s="170"/>
      <c r="BS43" s="170"/>
      <c r="BT43" s="170"/>
      <c r="BU43" s="170"/>
      <c r="BV43" s="170"/>
      <c r="BW43" s="170"/>
      <c r="BX43" s="170"/>
      <c r="BY43" s="170"/>
      <c r="BZ43" s="170"/>
      <c r="CA43" s="170"/>
      <c r="CB43" s="170"/>
      <c r="CC43" s="170"/>
      <c r="CD43" s="170"/>
      <c r="CE43" s="170"/>
      <c r="CF43" s="170"/>
      <c r="CG43" s="170"/>
      <c r="CH43" s="170"/>
      <c r="CI43" s="170"/>
      <c r="CJ43" s="170"/>
      <c r="CK43" s="170"/>
      <c r="CL43" s="170"/>
      <c r="CM43" s="170"/>
      <c r="CN43" s="170"/>
      <c r="CO43" s="170"/>
      <c r="CP43" s="170"/>
      <c r="CQ43" s="170"/>
      <c r="CR43" s="170"/>
      <c r="CS43" s="170"/>
      <c r="CT43" s="170"/>
      <c r="CU43" s="170"/>
      <c r="CV43" s="170"/>
      <c r="CW43" s="170"/>
      <c r="CX43" s="170"/>
      <c r="CY43" s="170"/>
      <c r="CZ43" s="170"/>
      <c r="DA43" s="170"/>
      <c r="DB43" s="170"/>
      <c r="DC43" s="170"/>
      <c r="DD43" s="170"/>
      <c r="DE43" s="170"/>
      <c r="DF43" s="170"/>
      <c r="DG43" s="170"/>
      <c r="DH43" s="170"/>
      <c r="DI43" s="170"/>
      <c r="DJ43" s="170"/>
      <c r="DK43" s="170"/>
      <c r="DL43" s="170"/>
      <c r="DM43" s="170"/>
      <c r="DN43" s="170"/>
      <c r="DO43" s="170"/>
      <c r="DP43" s="170"/>
      <c r="DQ43" s="170"/>
      <c r="DR43" s="170"/>
      <c r="DS43" s="170"/>
      <c r="DT43" s="170"/>
      <c r="DU43" s="170"/>
      <c r="DV43" s="170"/>
      <c r="DW43" s="170"/>
      <c r="DX43" s="170"/>
      <c r="DY43" s="170"/>
      <c r="DZ43" s="170"/>
      <c r="EA43" s="170"/>
      <c r="EB43" s="170"/>
      <c r="EC43" s="170"/>
      <c r="ED43" s="170"/>
      <c r="EE43" s="170"/>
      <c r="EF43" s="170"/>
      <c r="EG43" s="170"/>
      <c r="EH43" s="170"/>
      <c r="EI43" s="170"/>
      <c r="EJ43" s="170"/>
      <c r="EK43" s="170"/>
      <c r="EL43" s="170"/>
      <c r="EM43" s="170"/>
      <c r="EN43" s="170"/>
      <c r="EO43" s="170"/>
      <c r="EP43" s="170"/>
      <c r="EQ43" s="170"/>
      <c r="ER43" s="170"/>
      <c r="ES43" s="170"/>
      <c r="ET43" s="170"/>
      <c r="EU43" s="170"/>
      <c r="EV43" s="170"/>
      <c r="EW43" s="170"/>
      <c r="EX43" s="170"/>
      <c r="EY43" s="170"/>
      <c r="EZ43" s="170"/>
      <c r="FA43" s="170"/>
      <c r="FB43" s="170"/>
      <c r="FC43" s="170"/>
      <c r="FD43" s="170"/>
      <c r="FE43" s="170"/>
      <c r="FF43" s="170"/>
      <c r="FG43" s="170"/>
      <c r="FH43" s="170"/>
      <c r="FI43" s="170"/>
      <c r="FJ43" s="170"/>
      <c r="FK43" s="170"/>
      <c r="FL43" s="170"/>
      <c r="FM43" s="170"/>
      <c r="FN43" s="170"/>
      <c r="FO43" s="170"/>
      <c r="FP43" s="170"/>
      <c r="FQ43" s="170"/>
      <c r="FR43" s="170"/>
      <c r="FS43" s="170"/>
      <c r="FT43" s="170"/>
      <c r="FU43" s="170"/>
      <c r="FV43" s="170"/>
      <c r="FW43" s="170"/>
      <c r="FX43" s="170"/>
      <c r="FY43" s="170"/>
      <c r="FZ43" s="170"/>
      <c r="GA43" s="170"/>
      <c r="GB43" s="170"/>
      <c r="GC43" s="170"/>
    </row>
    <row r="44" spans="1:185" s="180" customFormat="1" ht="13">
      <c r="A44" s="693"/>
      <c r="B44" s="588" t="s">
        <v>2318</v>
      </c>
      <c r="C44" s="195"/>
      <c r="D44" s="290"/>
      <c r="E44" s="290"/>
      <c r="F44" s="290"/>
      <c r="G44" s="290"/>
      <c r="H44" s="290"/>
      <c r="I44" s="290"/>
      <c r="J44" s="290"/>
      <c r="K44" s="284"/>
      <c r="L44" s="284"/>
      <c r="M44" s="284"/>
      <c r="N44" s="284"/>
      <c r="O44" s="284"/>
      <c r="P44" s="284"/>
      <c r="Q44" s="284"/>
      <c r="R44" s="284"/>
      <c r="S44" s="284"/>
      <c r="T44" s="284"/>
      <c r="U44" s="284"/>
      <c r="V44" s="284"/>
      <c r="W44" s="284"/>
      <c r="X44" s="284"/>
      <c r="Y44" s="284"/>
      <c r="Z44" s="284"/>
      <c r="AA44" s="284"/>
      <c r="AB44" s="284"/>
      <c r="AC44" s="284"/>
      <c r="AD44" s="284"/>
      <c r="AE44" s="284"/>
      <c r="AF44" s="284"/>
      <c r="AG44" s="284"/>
      <c r="AH44" s="170"/>
      <c r="AI44" s="170"/>
      <c r="AJ44" s="170"/>
      <c r="AK44" s="170"/>
      <c r="AL44" s="170"/>
      <c r="AM44" s="170"/>
      <c r="AN44" s="170"/>
      <c r="AO44" s="170"/>
      <c r="AP44" s="170"/>
      <c r="AQ44" s="170"/>
      <c r="AR44" s="170"/>
      <c r="AS44" s="170"/>
      <c r="AT44" s="170"/>
      <c r="AU44" s="170"/>
      <c r="AV44" s="170"/>
      <c r="AW44" s="170"/>
      <c r="AX44" s="170"/>
      <c r="AY44" s="170"/>
      <c r="AZ44" s="170"/>
      <c r="BA44" s="170"/>
      <c r="BB44" s="170"/>
      <c r="BC44" s="170"/>
      <c r="BD44" s="170"/>
      <c r="BE44" s="170"/>
      <c r="BF44" s="170"/>
      <c r="BG44" s="170"/>
      <c r="BH44" s="170"/>
      <c r="BI44" s="170"/>
      <c r="BJ44" s="170"/>
      <c r="BK44" s="170"/>
      <c r="BL44" s="170"/>
      <c r="BM44" s="170"/>
      <c r="BN44" s="170"/>
      <c r="BO44" s="170"/>
      <c r="BP44" s="170"/>
      <c r="BQ44" s="170"/>
      <c r="BR44" s="170"/>
      <c r="BS44" s="170"/>
      <c r="BT44" s="170"/>
      <c r="BU44" s="170"/>
      <c r="BV44" s="170"/>
      <c r="BW44" s="170"/>
      <c r="BX44" s="170"/>
      <c r="BY44" s="170"/>
      <c r="BZ44" s="170"/>
      <c r="CA44" s="170"/>
      <c r="CB44" s="170"/>
      <c r="CC44" s="170"/>
      <c r="CD44" s="170"/>
      <c r="CE44" s="170"/>
      <c r="CF44" s="170"/>
      <c r="CG44" s="170"/>
      <c r="CH44" s="170"/>
      <c r="CI44" s="170"/>
      <c r="CJ44" s="170"/>
      <c r="CK44" s="170"/>
      <c r="CL44" s="170"/>
      <c r="CM44" s="170"/>
      <c r="CN44" s="170"/>
      <c r="CO44" s="170"/>
      <c r="CP44" s="170"/>
      <c r="CQ44" s="170"/>
      <c r="CR44" s="170"/>
      <c r="CS44" s="170"/>
      <c r="CT44" s="170"/>
      <c r="CU44" s="170"/>
      <c r="CV44" s="170"/>
      <c r="CW44" s="170"/>
      <c r="CX44" s="170"/>
      <c r="CY44" s="170"/>
      <c r="CZ44" s="170"/>
      <c r="DA44" s="170"/>
      <c r="DB44" s="170"/>
      <c r="DC44" s="170"/>
      <c r="DD44" s="170"/>
      <c r="DE44" s="170"/>
      <c r="DF44" s="170"/>
      <c r="DG44" s="170"/>
      <c r="DH44" s="170"/>
      <c r="DI44" s="170"/>
      <c r="DJ44" s="170"/>
      <c r="DK44" s="170"/>
      <c r="DL44" s="170"/>
      <c r="DM44" s="170"/>
      <c r="DN44" s="170"/>
      <c r="DO44" s="170"/>
      <c r="DP44" s="170"/>
      <c r="DQ44" s="170"/>
      <c r="DR44" s="170"/>
      <c r="DS44" s="170"/>
      <c r="DT44" s="170"/>
      <c r="DU44" s="170"/>
      <c r="DV44" s="170"/>
      <c r="DW44" s="170"/>
      <c r="DX44" s="170"/>
      <c r="DY44" s="170"/>
      <c r="DZ44" s="170"/>
      <c r="EA44" s="170"/>
      <c r="EB44" s="170"/>
      <c r="EC44" s="170"/>
      <c r="ED44" s="170"/>
      <c r="EE44" s="170"/>
      <c r="EF44" s="170"/>
      <c r="EG44" s="170"/>
      <c r="EH44" s="170"/>
      <c r="EI44" s="170"/>
      <c r="EJ44" s="170"/>
      <c r="EK44" s="170"/>
      <c r="EL44" s="170"/>
      <c r="EM44" s="170"/>
      <c r="EN44" s="170"/>
      <c r="EO44" s="170"/>
      <c r="EP44" s="170"/>
      <c r="EQ44" s="170"/>
      <c r="ER44" s="170"/>
      <c r="ES44" s="170"/>
      <c r="ET44" s="170"/>
      <c r="EU44" s="170"/>
      <c r="EV44" s="170"/>
      <c r="EW44" s="170"/>
      <c r="EX44" s="170"/>
      <c r="EY44" s="170"/>
      <c r="EZ44" s="170"/>
      <c r="FA44" s="170"/>
      <c r="FB44" s="170"/>
      <c r="FC44" s="170"/>
      <c r="FD44" s="170"/>
      <c r="FE44" s="170"/>
      <c r="FF44" s="170"/>
      <c r="FG44" s="170"/>
      <c r="FH44" s="170"/>
      <c r="FI44" s="170"/>
      <c r="FJ44" s="170"/>
      <c r="FK44" s="170"/>
      <c r="FL44" s="170"/>
      <c r="FM44" s="170"/>
      <c r="FN44" s="170"/>
      <c r="FO44" s="170"/>
      <c r="FP44" s="170"/>
      <c r="FQ44" s="170"/>
      <c r="FR44" s="170"/>
      <c r="FS44" s="170"/>
      <c r="FT44" s="170"/>
      <c r="FU44" s="170"/>
      <c r="FV44" s="170"/>
      <c r="FW44" s="170"/>
      <c r="FX44" s="170"/>
      <c r="FY44" s="170"/>
      <c r="FZ44" s="170"/>
      <c r="GA44" s="170"/>
      <c r="GB44" s="170"/>
      <c r="GC44" s="170"/>
    </row>
    <row r="45" spans="1:185" s="180" customFormat="1" ht="13">
      <c r="A45" s="693"/>
      <c r="B45" s="588" t="s">
        <v>2319</v>
      </c>
      <c r="C45" s="195"/>
      <c r="D45" s="290"/>
      <c r="E45" s="290"/>
      <c r="F45" s="290"/>
      <c r="G45" s="290"/>
      <c r="H45" s="290"/>
      <c r="I45" s="290"/>
      <c r="J45" s="290"/>
      <c r="K45" s="284"/>
      <c r="L45" s="284"/>
      <c r="M45" s="284"/>
      <c r="N45" s="284"/>
      <c r="O45" s="284"/>
      <c r="P45" s="284"/>
      <c r="Q45" s="284"/>
      <c r="R45" s="284"/>
      <c r="S45" s="284"/>
      <c r="T45" s="284"/>
      <c r="U45" s="284"/>
      <c r="V45" s="284"/>
      <c r="W45" s="284"/>
      <c r="X45" s="284"/>
      <c r="Y45" s="284"/>
      <c r="Z45" s="284"/>
      <c r="AA45" s="284"/>
      <c r="AB45" s="284"/>
      <c r="AC45" s="284"/>
      <c r="AD45" s="284"/>
      <c r="AE45" s="284"/>
      <c r="AF45" s="284"/>
      <c r="AG45" s="284"/>
      <c r="AH45" s="170"/>
      <c r="AI45" s="170"/>
      <c r="AJ45" s="170"/>
      <c r="AK45" s="170"/>
      <c r="AL45" s="170"/>
      <c r="AM45" s="170"/>
      <c r="AN45" s="170"/>
      <c r="AO45" s="170"/>
      <c r="AP45" s="170"/>
      <c r="AQ45" s="170"/>
      <c r="AR45" s="170"/>
      <c r="AS45" s="170"/>
      <c r="AT45" s="170"/>
      <c r="AU45" s="170"/>
      <c r="AV45" s="170"/>
      <c r="AW45" s="170"/>
      <c r="AX45" s="170"/>
      <c r="AY45" s="170"/>
      <c r="AZ45" s="170"/>
      <c r="BA45" s="170"/>
      <c r="BB45" s="170"/>
      <c r="BC45" s="170"/>
      <c r="BD45" s="170"/>
      <c r="BE45" s="170"/>
      <c r="BF45" s="170"/>
      <c r="BG45" s="170"/>
      <c r="BH45" s="170"/>
      <c r="BI45" s="170"/>
      <c r="BJ45" s="170"/>
      <c r="BK45" s="170"/>
      <c r="BL45" s="170"/>
      <c r="BM45" s="170"/>
      <c r="BN45" s="170"/>
      <c r="BO45" s="170"/>
      <c r="BP45" s="170"/>
      <c r="BQ45" s="170"/>
      <c r="BR45" s="170"/>
      <c r="BS45" s="170"/>
      <c r="BT45" s="170"/>
      <c r="BU45" s="170"/>
      <c r="BV45" s="170"/>
      <c r="BW45" s="170"/>
      <c r="BX45" s="170"/>
      <c r="BY45" s="170"/>
      <c r="BZ45" s="170"/>
      <c r="CA45" s="170"/>
      <c r="CB45" s="170"/>
      <c r="CC45" s="170"/>
      <c r="CD45" s="170"/>
      <c r="CE45" s="170"/>
      <c r="CF45" s="170"/>
      <c r="CG45" s="170"/>
      <c r="CH45" s="170"/>
      <c r="CI45" s="170"/>
      <c r="CJ45" s="170"/>
      <c r="CK45" s="170"/>
      <c r="CL45" s="170"/>
      <c r="CM45" s="170"/>
      <c r="CN45" s="170"/>
      <c r="CO45" s="170"/>
      <c r="CP45" s="170"/>
      <c r="CQ45" s="170"/>
      <c r="CR45" s="170"/>
      <c r="CS45" s="170"/>
      <c r="CT45" s="170"/>
      <c r="CU45" s="170"/>
      <c r="CV45" s="170"/>
      <c r="CW45" s="170"/>
      <c r="CX45" s="170"/>
      <c r="CY45" s="170"/>
      <c r="CZ45" s="170"/>
      <c r="DA45" s="170"/>
      <c r="DB45" s="170"/>
      <c r="DC45" s="170"/>
      <c r="DD45" s="170"/>
      <c r="DE45" s="170"/>
      <c r="DF45" s="170"/>
      <c r="DG45" s="170"/>
      <c r="DH45" s="170"/>
      <c r="DI45" s="170"/>
      <c r="DJ45" s="170"/>
      <c r="DK45" s="170"/>
      <c r="DL45" s="170"/>
      <c r="DM45" s="170"/>
      <c r="DN45" s="170"/>
      <c r="DO45" s="170"/>
      <c r="DP45" s="170"/>
      <c r="DQ45" s="170"/>
      <c r="DR45" s="170"/>
      <c r="DS45" s="170"/>
      <c r="DT45" s="170"/>
      <c r="DU45" s="170"/>
      <c r="DV45" s="170"/>
      <c r="DW45" s="170"/>
      <c r="DX45" s="170"/>
      <c r="DY45" s="170"/>
      <c r="DZ45" s="170"/>
      <c r="EA45" s="170"/>
      <c r="EB45" s="170"/>
      <c r="EC45" s="170"/>
      <c r="ED45" s="170"/>
      <c r="EE45" s="170"/>
      <c r="EF45" s="170"/>
      <c r="EG45" s="170"/>
      <c r="EH45" s="170"/>
      <c r="EI45" s="170"/>
      <c r="EJ45" s="170"/>
      <c r="EK45" s="170"/>
      <c r="EL45" s="170"/>
      <c r="EM45" s="170"/>
      <c r="EN45" s="170"/>
      <c r="EO45" s="170"/>
      <c r="EP45" s="170"/>
      <c r="EQ45" s="170"/>
      <c r="ER45" s="170"/>
      <c r="ES45" s="170"/>
      <c r="ET45" s="170"/>
      <c r="EU45" s="170"/>
      <c r="EV45" s="170"/>
      <c r="EW45" s="170"/>
      <c r="EX45" s="170"/>
      <c r="EY45" s="170"/>
      <c r="EZ45" s="170"/>
      <c r="FA45" s="170"/>
      <c r="FB45" s="170"/>
      <c r="FC45" s="170"/>
      <c r="FD45" s="170"/>
      <c r="FE45" s="170"/>
      <c r="FF45" s="170"/>
      <c r="FG45" s="170"/>
      <c r="FH45" s="170"/>
      <c r="FI45" s="170"/>
      <c r="FJ45" s="170"/>
      <c r="FK45" s="170"/>
      <c r="FL45" s="170"/>
      <c r="FM45" s="170"/>
      <c r="FN45" s="170"/>
      <c r="FO45" s="170"/>
      <c r="FP45" s="170"/>
      <c r="FQ45" s="170"/>
      <c r="FR45" s="170"/>
      <c r="FS45" s="170"/>
      <c r="FT45" s="170"/>
      <c r="FU45" s="170"/>
      <c r="FV45" s="170"/>
      <c r="FW45" s="170"/>
      <c r="FX45" s="170"/>
      <c r="FY45" s="170"/>
      <c r="FZ45" s="170"/>
      <c r="GA45" s="170"/>
      <c r="GB45" s="170"/>
      <c r="GC45" s="170"/>
    </row>
    <row r="46" spans="1:185" s="180" customFormat="1" ht="13">
      <c r="A46" s="693"/>
      <c r="B46" s="584" t="s">
        <v>2333</v>
      </c>
      <c r="C46" s="396">
        <f>SUM(C42:C45)</f>
        <v>0</v>
      </c>
      <c r="D46" s="290"/>
      <c r="E46" s="290"/>
      <c r="F46" s="290"/>
      <c r="G46" s="290"/>
      <c r="H46" s="290"/>
      <c r="I46" s="290"/>
      <c r="J46" s="290"/>
      <c r="K46" s="284"/>
      <c r="L46" s="284"/>
      <c r="M46" s="284"/>
      <c r="N46" s="284"/>
      <c r="O46" s="284"/>
      <c r="P46" s="284"/>
      <c r="Q46" s="284"/>
      <c r="R46" s="284"/>
      <c r="S46" s="284"/>
      <c r="T46" s="284"/>
      <c r="U46" s="284"/>
      <c r="V46" s="284"/>
      <c r="W46" s="284"/>
      <c r="X46" s="284"/>
      <c r="Y46" s="284"/>
      <c r="Z46" s="284"/>
      <c r="AA46" s="284"/>
      <c r="AB46" s="284"/>
      <c r="AC46" s="284"/>
      <c r="AD46" s="284"/>
      <c r="AE46" s="284"/>
      <c r="AF46" s="284"/>
      <c r="AG46" s="284"/>
      <c r="AH46" s="170"/>
      <c r="AI46" s="170"/>
      <c r="AJ46" s="170"/>
      <c r="AK46" s="170"/>
      <c r="AL46" s="170"/>
      <c r="AM46" s="170"/>
      <c r="AN46" s="170"/>
      <c r="AO46" s="170"/>
      <c r="AP46" s="170"/>
      <c r="AQ46" s="170"/>
      <c r="AR46" s="170"/>
      <c r="AS46" s="170"/>
      <c r="AT46" s="170"/>
      <c r="AU46" s="170"/>
      <c r="AV46" s="170"/>
      <c r="AW46" s="170"/>
      <c r="AX46" s="170"/>
      <c r="AY46" s="170"/>
      <c r="AZ46" s="170"/>
      <c r="BA46" s="170"/>
      <c r="BB46" s="170"/>
      <c r="BC46" s="170"/>
      <c r="BD46" s="170"/>
      <c r="BE46" s="170"/>
      <c r="BF46" s="170"/>
      <c r="BG46" s="170"/>
      <c r="BH46" s="170"/>
      <c r="BI46" s="170"/>
      <c r="BJ46" s="170"/>
      <c r="BK46" s="170"/>
      <c r="BL46" s="170"/>
      <c r="BM46" s="170"/>
      <c r="BN46" s="170"/>
      <c r="BO46" s="170"/>
      <c r="BP46" s="170"/>
      <c r="BQ46" s="170"/>
      <c r="BR46" s="170"/>
      <c r="BS46" s="170"/>
      <c r="BT46" s="170"/>
      <c r="BU46" s="170"/>
      <c r="BV46" s="170"/>
      <c r="BW46" s="170"/>
      <c r="BX46" s="170"/>
      <c r="BY46" s="170"/>
      <c r="BZ46" s="170"/>
      <c r="CA46" s="170"/>
      <c r="CB46" s="170"/>
      <c r="CC46" s="170"/>
      <c r="CD46" s="170"/>
      <c r="CE46" s="170"/>
      <c r="CF46" s="170"/>
      <c r="CG46" s="170"/>
      <c r="CH46" s="170"/>
      <c r="CI46" s="170"/>
      <c r="CJ46" s="170"/>
      <c r="CK46" s="170"/>
      <c r="CL46" s="170"/>
      <c r="CM46" s="170"/>
      <c r="CN46" s="170"/>
      <c r="CO46" s="170"/>
      <c r="CP46" s="170"/>
      <c r="CQ46" s="170"/>
      <c r="CR46" s="170"/>
      <c r="CS46" s="170"/>
      <c r="CT46" s="170"/>
      <c r="CU46" s="170"/>
      <c r="CV46" s="170"/>
      <c r="CW46" s="170"/>
      <c r="CX46" s="170"/>
      <c r="CY46" s="170"/>
      <c r="CZ46" s="170"/>
      <c r="DA46" s="170"/>
      <c r="DB46" s="170"/>
      <c r="DC46" s="170"/>
      <c r="DD46" s="170"/>
      <c r="DE46" s="170"/>
      <c r="DF46" s="170"/>
      <c r="DG46" s="170"/>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70"/>
      <c r="EM46" s="170"/>
      <c r="EN46" s="170"/>
      <c r="EO46" s="170"/>
      <c r="EP46" s="170"/>
      <c r="EQ46" s="170"/>
      <c r="ER46" s="170"/>
      <c r="ES46" s="170"/>
      <c r="ET46" s="170"/>
      <c r="EU46" s="170"/>
      <c r="EV46" s="170"/>
      <c r="EW46" s="170"/>
      <c r="EX46" s="170"/>
      <c r="EY46" s="170"/>
      <c r="EZ46" s="170"/>
      <c r="FA46" s="170"/>
      <c r="FB46" s="170"/>
      <c r="FC46" s="170"/>
      <c r="FD46" s="170"/>
      <c r="FE46" s="170"/>
      <c r="FF46" s="170"/>
      <c r="FG46" s="170"/>
      <c r="FH46" s="170"/>
      <c r="FI46" s="170"/>
      <c r="FJ46" s="170"/>
      <c r="FK46" s="170"/>
      <c r="FL46" s="170"/>
      <c r="FM46" s="170"/>
      <c r="FN46" s="170"/>
      <c r="FO46" s="170"/>
      <c r="FP46" s="170"/>
      <c r="FQ46" s="170"/>
      <c r="FR46" s="170"/>
      <c r="FS46" s="170"/>
      <c r="FT46" s="170"/>
      <c r="FU46" s="170"/>
      <c r="FV46" s="170"/>
      <c r="FW46" s="170"/>
      <c r="FX46" s="170"/>
      <c r="FY46" s="170"/>
      <c r="FZ46" s="170"/>
      <c r="GA46" s="170"/>
      <c r="GB46" s="170"/>
      <c r="GC46" s="170"/>
    </row>
    <row r="47" spans="1:185" s="289" customFormat="1" ht="15" customHeight="1">
      <c r="A47" s="694"/>
      <c r="B47" s="438" t="s">
        <v>1855</v>
      </c>
      <c r="C47" s="396">
        <f>C32+C39+C40+C41+C46</f>
        <v>0</v>
      </c>
      <c r="D47" s="290"/>
      <c r="E47" s="290"/>
      <c r="F47" s="290"/>
      <c r="G47" s="290"/>
      <c r="H47" s="290"/>
      <c r="I47" s="290"/>
      <c r="J47" s="290"/>
      <c r="K47" s="284"/>
      <c r="L47" s="284"/>
      <c r="M47" s="284"/>
      <c r="N47" s="284"/>
      <c r="O47" s="284"/>
      <c r="P47" s="284"/>
      <c r="Q47" s="284"/>
      <c r="R47" s="284"/>
      <c r="S47" s="284"/>
      <c r="T47" s="284"/>
      <c r="U47" s="284"/>
      <c r="V47" s="284"/>
      <c r="W47" s="284"/>
      <c r="X47" s="284"/>
      <c r="Y47" s="284"/>
      <c r="Z47" s="284"/>
      <c r="AA47" s="284"/>
      <c r="AB47" s="284"/>
      <c r="AC47" s="284"/>
      <c r="AD47" s="284"/>
      <c r="AE47" s="284"/>
      <c r="AF47" s="284"/>
      <c r="AG47" s="284"/>
      <c r="AH47" s="172"/>
      <c r="AI47" s="172"/>
      <c r="AJ47" s="172"/>
      <c r="AK47" s="172"/>
      <c r="AL47" s="172"/>
      <c r="AM47" s="172"/>
      <c r="AN47" s="172"/>
      <c r="AO47" s="172"/>
      <c r="AP47" s="172"/>
      <c r="AQ47" s="172"/>
      <c r="AR47" s="172"/>
      <c r="AS47" s="172"/>
      <c r="AT47" s="172"/>
      <c r="AU47" s="172"/>
      <c r="AV47" s="172"/>
      <c r="AW47" s="172"/>
      <c r="AX47" s="172"/>
      <c r="AY47" s="172"/>
      <c r="AZ47" s="172"/>
      <c r="BA47" s="172"/>
      <c r="BB47" s="172"/>
      <c r="BC47" s="172"/>
      <c r="BD47" s="172"/>
      <c r="BE47" s="172"/>
      <c r="BF47" s="172"/>
      <c r="BG47" s="172"/>
      <c r="BH47" s="172"/>
      <c r="BI47" s="172"/>
      <c r="BJ47" s="172"/>
      <c r="BK47" s="172"/>
      <c r="BL47" s="172"/>
      <c r="BM47" s="172"/>
      <c r="BN47" s="172"/>
      <c r="BO47" s="172"/>
      <c r="BP47" s="172"/>
      <c r="BQ47" s="172"/>
      <c r="BR47" s="172"/>
      <c r="BS47" s="172"/>
      <c r="BT47" s="172"/>
      <c r="BU47" s="172"/>
      <c r="BV47" s="172"/>
      <c r="BW47" s="172"/>
      <c r="BX47" s="172"/>
      <c r="BY47" s="172"/>
      <c r="BZ47" s="172"/>
      <c r="CA47" s="172"/>
      <c r="CB47" s="172"/>
      <c r="CC47" s="172"/>
      <c r="CD47" s="172"/>
      <c r="CE47" s="172"/>
      <c r="CF47" s="172"/>
      <c r="CG47" s="172"/>
      <c r="CH47" s="172"/>
      <c r="CI47" s="172"/>
      <c r="CJ47" s="172"/>
      <c r="CK47" s="172"/>
      <c r="CL47" s="172"/>
      <c r="CM47" s="172"/>
      <c r="CN47" s="172"/>
      <c r="CO47" s="172"/>
      <c r="CP47" s="172"/>
      <c r="CQ47" s="172"/>
      <c r="CR47" s="172"/>
      <c r="CS47" s="172"/>
      <c r="CT47" s="172"/>
      <c r="CU47" s="172"/>
      <c r="CV47" s="172"/>
      <c r="CW47" s="172"/>
      <c r="CX47" s="172"/>
      <c r="CY47" s="172"/>
      <c r="CZ47" s="172"/>
      <c r="DA47" s="172"/>
      <c r="DB47" s="172"/>
      <c r="DC47" s="172"/>
      <c r="DD47" s="172"/>
      <c r="DE47" s="172"/>
      <c r="DF47" s="172"/>
      <c r="DG47" s="172"/>
      <c r="DH47" s="172"/>
      <c r="DI47" s="172"/>
      <c r="DJ47" s="172"/>
      <c r="DK47" s="172"/>
      <c r="DL47" s="172"/>
      <c r="DM47" s="172"/>
      <c r="DN47" s="172"/>
      <c r="DO47" s="172"/>
      <c r="DP47" s="172"/>
      <c r="DQ47" s="172"/>
      <c r="DR47" s="172"/>
      <c r="DS47" s="172"/>
      <c r="DT47" s="172"/>
      <c r="DU47" s="172"/>
      <c r="DV47" s="172"/>
      <c r="DW47" s="172"/>
      <c r="DX47" s="172"/>
      <c r="DY47" s="172"/>
      <c r="DZ47" s="172"/>
      <c r="EA47" s="172"/>
      <c r="EB47" s="172"/>
      <c r="EC47" s="172"/>
      <c r="ED47" s="172"/>
      <c r="EE47" s="172"/>
      <c r="EF47" s="172"/>
      <c r="EG47" s="172"/>
      <c r="EH47" s="172"/>
      <c r="EI47" s="172"/>
      <c r="EJ47" s="172"/>
      <c r="EK47" s="172"/>
      <c r="EL47" s="172"/>
      <c r="EM47" s="172"/>
      <c r="EN47" s="172"/>
      <c r="EO47" s="172"/>
      <c r="EP47" s="172"/>
      <c r="EQ47" s="172"/>
      <c r="ER47" s="172"/>
      <c r="ES47" s="172"/>
      <c r="ET47" s="172"/>
      <c r="EU47" s="172"/>
      <c r="EV47" s="172"/>
      <c r="EW47" s="172"/>
      <c r="EX47" s="172"/>
      <c r="EY47" s="172"/>
      <c r="EZ47" s="172"/>
      <c r="FA47" s="172"/>
      <c r="FB47" s="172"/>
      <c r="FC47" s="172"/>
      <c r="FD47" s="172"/>
      <c r="FE47" s="172"/>
      <c r="FF47" s="172"/>
      <c r="FG47" s="172"/>
      <c r="FH47" s="172"/>
      <c r="FI47" s="172"/>
      <c r="FJ47" s="172"/>
      <c r="FK47" s="172"/>
      <c r="FL47" s="172"/>
      <c r="FM47" s="172"/>
      <c r="FN47" s="172"/>
      <c r="FO47" s="172"/>
      <c r="FP47" s="172"/>
      <c r="FQ47" s="172"/>
      <c r="FR47" s="172"/>
      <c r="FS47" s="172"/>
      <c r="FT47" s="172"/>
      <c r="FU47" s="172"/>
      <c r="FV47" s="172"/>
      <c r="FW47" s="172"/>
      <c r="FX47" s="172"/>
      <c r="FY47" s="172"/>
      <c r="FZ47" s="172"/>
      <c r="GA47" s="172"/>
      <c r="GB47" s="172"/>
      <c r="GC47" s="172"/>
    </row>
    <row r="48" spans="1:185" s="289" customFormat="1" ht="13">
      <c r="A48" s="290"/>
      <c r="B48" s="290"/>
      <c r="C48" s="290"/>
      <c r="D48" s="290"/>
      <c r="E48" s="290"/>
      <c r="F48" s="290"/>
      <c r="G48" s="290"/>
      <c r="H48" s="290"/>
      <c r="I48" s="290"/>
      <c r="J48" s="290"/>
      <c r="K48" s="290"/>
      <c r="L48" s="290"/>
      <c r="M48" s="290"/>
      <c r="N48" s="290"/>
      <c r="O48" s="290"/>
      <c r="P48" s="290"/>
      <c r="Q48" s="290"/>
      <c r="R48" s="290"/>
      <c r="S48" s="290"/>
      <c r="T48" s="290"/>
      <c r="U48" s="290"/>
      <c r="V48" s="290"/>
      <c r="W48" s="290"/>
      <c r="X48" s="290"/>
      <c r="Y48" s="290"/>
      <c r="Z48" s="290"/>
      <c r="AA48" s="290"/>
      <c r="AB48" s="290"/>
      <c r="AC48" s="290"/>
      <c r="AD48" s="290"/>
      <c r="AE48" s="290"/>
      <c r="AF48" s="290"/>
      <c r="AG48" s="290"/>
      <c r="AH48" s="172"/>
      <c r="AI48" s="172"/>
      <c r="AJ48" s="172"/>
      <c r="AK48" s="172"/>
      <c r="AL48" s="172"/>
      <c r="AM48" s="172"/>
      <c r="AN48" s="172"/>
      <c r="AO48" s="172"/>
      <c r="AP48" s="172"/>
      <c r="AQ48" s="172"/>
      <c r="AR48" s="172"/>
      <c r="AS48" s="172"/>
      <c r="AT48" s="172"/>
      <c r="AU48" s="172"/>
      <c r="AV48" s="172"/>
      <c r="AW48" s="172"/>
      <c r="AX48" s="172"/>
      <c r="AY48" s="172"/>
      <c r="AZ48" s="172"/>
      <c r="BA48" s="172"/>
      <c r="BB48" s="172"/>
      <c r="BC48" s="172"/>
      <c r="BD48" s="172"/>
      <c r="BE48" s="172"/>
      <c r="BF48" s="172"/>
      <c r="BG48" s="172"/>
      <c r="BH48" s="172"/>
      <c r="BI48" s="172"/>
      <c r="BJ48" s="172"/>
      <c r="BK48" s="172"/>
      <c r="BL48" s="172"/>
      <c r="BM48" s="172"/>
      <c r="BN48" s="172"/>
      <c r="BO48" s="172"/>
      <c r="BP48" s="172"/>
      <c r="BQ48" s="172"/>
      <c r="BR48" s="172"/>
      <c r="BS48" s="172"/>
      <c r="BT48" s="172"/>
      <c r="BU48" s="172"/>
      <c r="BV48" s="172"/>
      <c r="BW48" s="172"/>
      <c r="BX48" s="172"/>
      <c r="BY48" s="172"/>
      <c r="BZ48" s="172"/>
      <c r="CA48" s="172"/>
      <c r="CB48" s="172"/>
      <c r="CC48" s="172"/>
      <c r="CD48" s="172"/>
      <c r="CE48" s="172"/>
      <c r="CF48" s="172"/>
      <c r="CG48" s="172"/>
      <c r="CH48" s="172"/>
      <c r="CI48" s="172"/>
      <c r="CJ48" s="172"/>
      <c r="CK48" s="172"/>
      <c r="CL48" s="172"/>
      <c r="CM48" s="172"/>
      <c r="CN48" s="172"/>
      <c r="CO48" s="172"/>
      <c r="CP48" s="172"/>
      <c r="CQ48" s="172"/>
      <c r="CR48" s="172"/>
      <c r="CS48" s="172"/>
      <c r="CT48" s="172"/>
      <c r="CU48" s="172"/>
      <c r="CV48" s="172"/>
      <c r="CW48" s="172"/>
      <c r="CX48" s="172"/>
      <c r="CY48" s="172"/>
      <c r="CZ48" s="172"/>
      <c r="DA48" s="172"/>
      <c r="DB48" s="172"/>
      <c r="DC48" s="172"/>
      <c r="DD48" s="172"/>
      <c r="DE48" s="172"/>
      <c r="DF48" s="172"/>
      <c r="DG48" s="172"/>
      <c r="DH48" s="172"/>
      <c r="DI48" s="172"/>
      <c r="DJ48" s="172"/>
      <c r="DK48" s="172"/>
      <c r="DL48" s="172"/>
      <c r="DM48" s="172"/>
      <c r="DN48" s="172"/>
      <c r="DO48" s="172"/>
      <c r="DP48" s="172"/>
      <c r="DQ48" s="172"/>
      <c r="DR48" s="172"/>
      <c r="DS48" s="172"/>
      <c r="DT48" s="172"/>
      <c r="DU48" s="172"/>
      <c r="DV48" s="172"/>
      <c r="DW48" s="172"/>
      <c r="DX48" s="172"/>
      <c r="DY48" s="172"/>
      <c r="DZ48" s="172"/>
      <c r="EA48" s="172"/>
      <c r="EB48" s="172"/>
      <c r="EC48" s="172"/>
      <c r="ED48" s="172"/>
      <c r="EE48" s="172"/>
      <c r="EF48" s="172"/>
      <c r="EG48" s="172"/>
      <c r="EH48" s="172"/>
      <c r="EI48" s="172"/>
      <c r="EJ48" s="172"/>
      <c r="EK48" s="172"/>
      <c r="EL48" s="172"/>
      <c r="EM48" s="172"/>
      <c r="EN48" s="172"/>
      <c r="EO48" s="172"/>
      <c r="EP48" s="172"/>
      <c r="EQ48" s="172"/>
      <c r="ER48" s="172"/>
      <c r="ES48" s="172"/>
      <c r="ET48" s="172"/>
      <c r="EU48" s="172"/>
      <c r="EV48" s="172"/>
      <c r="EW48" s="172"/>
      <c r="EX48" s="172"/>
      <c r="EY48" s="172"/>
      <c r="EZ48" s="172"/>
      <c r="FA48" s="172"/>
      <c r="FB48" s="172"/>
      <c r="FC48" s="172"/>
      <c r="FD48" s="172"/>
      <c r="FE48" s="172"/>
      <c r="FF48" s="172"/>
      <c r="FG48" s="172"/>
      <c r="FH48" s="172"/>
      <c r="FI48" s="172"/>
      <c r="FJ48" s="172"/>
      <c r="FK48" s="172"/>
      <c r="FL48" s="172"/>
      <c r="FM48" s="172"/>
      <c r="FN48" s="172"/>
      <c r="FO48" s="172"/>
      <c r="FP48" s="172"/>
      <c r="FQ48" s="172"/>
      <c r="FR48" s="172"/>
      <c r="FS48" s="172"/>
      <c r="FT48" s="172"/>
      <c r="FU48" s="172"/>
      <c r="FV48" s="172"/>
      <c r="FW48" s="172"/>
      <c r="FX48" s="172"/>
      <c r="FY48" s="172"/>
      <c r="FZ48" s="172"/>
      <c r="GA48" s="172"/>
      <c r="GB48" s="172"/>
      <c r="GC48" s="172"/>
    </row>
    <row r="49" spans="1:185" s="289" customFormat="1" ht="28">
      <c r="A49" s="697" t="s">
        <v>2365</v>
      </c>
      <c r="B49" s="589" t="s">
        <v>2335</v>
      </c>
      <c r="C49" s="396">
        <f>C14+C29+C47</f>
        <v>0</v>
      </c>
      <c r="D49" s="397">
        <f t="shared" ref="D49:AG49" si="8">D14+D29</f>
        <v>565082285.58483565</v>
      </c>
      <c r="E49" s="396">
        <f t="shared" si="8"/>
        <v>0</v>
      </c>
      <c r="F49" s="396">
        <f t="shared" si="8"/>
        <v>0</v>
      </c>
      <c r="G49" s="396">
        <f t="shared" si="8"/>
        <v>0</v>
      </c>
      <c r="H49" s="396">
        <f t="shared" si="8"/>
        <v>0</v>
      </c>
      <c r="I49" s="396">
        <f t="shared" si="8"/>
        <v>0</v>
      </c>
      <c r="J49" s="396">
        <f t="shared" si="8"/>
        <v>0</v>
      </c>
      <c r="K49" s="396">
        <f t="shared" si="8"/>
        <v>0</v>
      </c>
      <c r="L49" s="396">
        <f t="shared" si="8"/>
        <v>0</v>
      </c>
      <c r="M49" s="396">
        <f t="shared" si="8"/>
        <v>0</v>
      </c>
      <c r="N49" s="396">
        <f t="shared" si="8"/>
        <v>0</v>
      </c>
      <c r="O49" s="396">
        <f t="shared" si="8"/>
        <v>0</v>
      </c>
      <c r="P49" s="396">
        <f t="shared" si="8"/>
        <v>0</v>
      </c>
      <c r="Q49" s="396">
        <f t="shared" si="8"/>
        <v>0</v>
      </c>
      <c r="R49" s="396">
        <f t="shared" si="8"/>
        <v>0</v>
      </c>
      <c r="S49" s="396">
        <f t="shared" si="8"/>
        <v>0</v>
      </c>
      <c r="T49" s="396">
        <f t="shared" si="8"/>
        <v>0</v>
      </c>
      <c r="U49" s="396">
        <f t="shared" si="8"/>
        <v>0</v>
      </c>
      <c r="V49" s="396">
        <f t="shared" si="8"/>
        <v>0</v>
      </c>
      <c r="W49" s="396">
        <f t="shared" si="8"/>
        <v>0</v>
      </c>
      <c r="X49" s="396">
        <f t="shared" si="8"/>
        <v>0</v>
      </c>
      <c r="Y49" s="396">
        <f t="shared" si="8"/>
        <v>0</v>
      </c>
      <c r="Z49" s="396">
        <f t="shared" si="8"/>
        <v>0</v>
      </c>
      <c r="AA49" s="396">
        <f t="shared" si="8"/>
        <v>0</v>
      </c>
      <c r="AB49" s="396">
        <f t="shared" si="8"/>
        <v>0</v>
      </c>
      <c r="AC49" s="396">
        <f t="shared" si="8"/>
        <v>0</v>
      </c>
      <c r="AD49" s="396">
        <f t="shared" si="8"/>
        <v>0</v>
      </c>
      <c r="AE49" s="396">
        <f t="shared" si="8"/>
        <v>0</v>
      </c>
      <c r="AF49" s="396">
        <f t="shared" si="8"/>
        <v>0</v>
      </c>
      <c r="AG49" s="396">
        <f t="shared" si="8"/>
        <v>0</v>
      </c>
      <c r="AH49" s="172"/>
      <c r="AI49" s="172"/>
      <c r="AJ49" s="172"/>
      <c r="AK49" s="172"/>
      <c r="AL49" s="172"/>
      <c r="AM49" s="172"/>
      <c r="AN49" s="172"/>
      <c r="AO49" s="172"/>
      <c r="AP49" s="172"/>
      <c r="AQ49" s="172"/>
      <c r="AR49" s="172"/>
      <c r="AS49" s="172"/>
      <c r="AT49" s="172"/>
      <c r="AU49" s="172"/>
      <c r="AV49" s="172"/>
      <c r="AW49" s="172"/>
      <c r="AX49" s="172"/>
      <c r="AY49" s="172"/>
      <c r="AZ49" s="172"/>
      <c r="BA49" s="172"/>
      <c r="BB49" s="172"/>
      <c r="BC49" s="172"/>
      <c r="BD49" s="172"/>
      <c r="BE49" s="172"/>
      <c r="BF49" s="172"/>
      <c r="BG49" s="172"/>
      <c r="BH49" s="172"/>
      <c r="BI49" s="172"/>
      <c r="BJ49" s="172"/>
      <c r="BK49" s="172"/>
      <c r="BL49" s="172"/>
      <c r="BM49" s="172"/>
      <c r="BN49" s="172"/>
      <c r="BO49" s="172"/>
      <c r="BP49" s="172"/>
      <c r="BQ49" s="172"/>
      <c r="BR49" s="172"/>
      <c r="BS49" s="172"/>
      <c r="BT49" s="172"/>
      <c r="BU49" s="172"/>
      <c r="BV49" s="172"/>
      <c r="BW49" s="172"/>
      <c r="BX49" s="172"/>
      <c r="BY49" s="172"/>
      <c r="BZ49" s="172"/>
      <c r="CA49" s="172"/>
      <c r="CB49" s="172"/>
      <c r="CC49" s="172"/>
      <c r="CD49" s="172"/>
      <c r="CE49" s="172"/>
      <c r="CF49" s="172"/>
      <c r="CG49" s="172"/>
      <c r="CH49" s="172"/>
      <c r="CI49" s="172"/>
      <c r="CJ49" s="172"/>
      <c r="CK49" s="172"/>
      <c r="CL49" s="172"/>
      <c r="CM49" s="172"/>
      <c r="CN49" s="172"/>
      <c r="CO49" s="172"/>
      <c r="CP49" s="172"/>
      <c r="CQ49" s="172"/>
      <c r="CR49" s="172"/>
      <c r="CS49" s="172"/>
      <c r="CT49" s="172"/>
      <c r="CU49" s="172"/>
      <c r="CV49" s="172"/>
      <c r="CW49" s="172"/>
      <c r="CX49" s="172"/>
      <c r="CY49" s="172"/>
      <c r="CZ49" s="172"/>
      <c r="DA49" s="172"/>
      <c r="DB49" s="172"/>
      <c r="DC49" s="172"/>
      <c r="DD49" s="172"/>
      <c r="DE49" s="172"/>
      <c r="DF49" s="172"/>
      <c r="DG49" s="172"/>
      <c r="DH49" s="172"/>
      <c r="DI49" s="172"/>
      <c r="DJ49" s="172"/>
      <c r="DK49" s="172"/>
      <c r="DL49" s="172"/>
      <c r="DM49" s="172"/>
      <c r="DN49" s="172"/>
      <c r="DO49" s="172"/>
      <c r="DP49" s="172"/>
      <c r="DQ49" s="172"/>
      <c r="DR49" s="172"/>
      <c r="DS49" s="172"/>
      <c r="DT49" s="172"/>
      <c r="DU49" s="172"/>
      <c r="DV49" s="172"/>
      <c r="DW49" s="172"/>
      <c r="DX49" s="172"/>
      <c r="DY49" s="172"/>
      <c r="DZ49" s="172"/>
      <c r="EA49" s="172"/>
      <c r="EB49" s="172"/>
      <c r="EC49" s="172"/>
      <c r="ED49" s="172"/>
      <c r="EE49" s="172"/>
      <c r="EF49" s="172"/>
      <c r="EG49" s="172"/>
      <c r="EH49" s="172"/>
      <c r="EI49" s="172"/>
      <c r="EJ49" s="172"/>
      <c r="EK49" s="172"/>
      <c r="EL49" s="172"/>
      <c r="EM49" s="172"/>
      <c r="EN49" s="172"/>
      <c r="EO49" s="172"/>
      <c r="EP49" s="172"/>
      <c r="EQ49" s="172"/>
      <c r="ER49" s="172"/>
      <c r="ES49" s="172"/>
      <c r="ET49" s="172"/>
      <c r="EU49" s="172"/>
      <c r="EV49" s="172"/>
      <c r="EW49" s="172"/>
      <c r="EX49" s="172"/>
      <c r="EY49" s="172"/>
      <c r="EZ49" s="172"/>
      <c r="FA49" s="172"/>
      <c r="FB49" s="172"/>
      <c r="FC49" s="172"/>
      <c r="FD49" s="172"/>
      <c r="FE49" s="172"/>
      <c r="FF49" s="172"/>
      <c r="FG49" s="172"/>
      <c r="FH49" s="172"/>
      <c r="FI49" s="172"/>
      <c r="FJ49" s="172"/>
      <c r="FK49" s="172"/>
      <c r="FL49" s="172"/>
      <c r="FM49" s="172"/>
      <c r="FN49" s="172"/>
      <c r="FO49" s="172"/>
      <c r="FP49" s="172"/>
      <c r="FQ49" s="172"/>
      <c r="FR49" s="172"/>
      <c r="FS49" s="172"/>
      <c r="FT49" s="172"/>
      <c r="FU49" s="172"/>
      <c r="FV49" s="172"/>
      <c r="FW49" s="172"/>
      <c r="FX49" s="172"/>
      <c r="FY49" s="172"/>
      <c r="FZ49" s="172"/>
      <c r="GA49" s="172"/>
      <c r="GB49" s="172"/>
      <c r="GC49" s="172"/>
    </row>
    <row r="50" spans="1:185" s="180" customFormat="1" ht="14" thickBot="1">
      <c r="A50" s="698"/>
      <c r="B50" s="590" t="s">
        <v>2320</v>
      </c>
      <c r="C50" s="395"/>
      <c r="D50" s="343"/>
      <c r="E50" s="385"/>
      <c r="F50" s="385"/>
      <c r="G50" s="385"/>
      <c r="H50" s="385"/>
      <c r="I50" s="385"/>
      <c r="J50" s="385"/>
      <c r="K50" s="386"/>
      <c r="L50" s="386"/>
      <c r="M50" s="386"/>
      <c r="N50" s="386"/>
      <c r="O50" s="386"/>
      <c r="P50" s="386"/>
      <c r="Q50" s="386"/>
      <c r="R50" s="386"/>
      <c r="S50" s="386"/>
      <c r="T50" s="386"/>
      <c r="U50" s="386"/>
      <c r="V50" s="386"/>
      <c r="W50" s="386"/>
      <c r="X50" s="386"/>
      <c r="Y50" s="386"/>
      <c r="Z50" s="386"/>
      <c r="AA50" s="386"/>
      <c r="AB50" s="386"/>
      <c r="AC50" s="386"/>
      <c r="AD50" s="386"/>
      <c r="AE50" s="386"/>
      <c r="AF50" s="386"/>
      <c r="AG50" s="386"/>
      <c r="AH50" s="170"/>
      <c r="AI50" s="170"/>
      <c r="AJ50" s="170"/>
      <c r="AK50" s="170"/>
      <c r="AL50" s="170"/>
      <c r="AM50" s="170"/>
      <c r="AN50" s="170"/>
      <c r="AO50" s="170"/>
      <c r="AP50" s="170"/>
      <c r="AQ50" s="170"/>
      <c r="AR50" s="170"/>
      <c r="AS50" s="170"/>
      <c r="AT50" s="170"/>
      <c r="AU50" s="170"/>
      <c r="AV50" s="170"/>
      <c r="AW50" s="170"/>
      <c r="AX50" s="170"/>
      <c r="AY50" s="170"/>
      <c r="AZ50" s="170"/>
      <c r="BA50" s="170"/>
      <c r="BB50" s="170"/>
      <c r="BC50" s="170"/>
      <c r="BD50" s="170"/>
      <c r="BE50" s="170"/>
      <c r="BF50" s="170"/>
      <c r="BG50" s="170"/>
      <c r="BH50" s="170"/>
      <c r="BI50" s="170"/>
      <c r="BJ50" s="170"/>
      <c r="BK50" s="170"/>
      <c r="BL50" s="170"/>
      <c r="BM50" s="170"/>
      <c r="BN50" s="170"/>
      <c r="BO50" s="170"/>
      <c r="BP50" s="170"/>
      <c r="BQ50" s="170"/>
      <c r="BR50" s="170"/>
      <c r="BS50" s="170"/>
      <c r="BT50" s="170"/>
      <c r="BU50" s="170"/>
      <c r="BV50" s="170"/>
      <c r="BW50" s="170"/>
      <c r="BX50" s="170"/>
      <c r="BY50" s="170"/>
      <c r="BZ50" s="170"/>
      <c r="CA50" s="170"/>
      <c r="CB50" s="170"/>
      <c r="CC50" s="170"/>
      <c r="CD50" s="170"/>
      <c r="CE50" s="170"/>
      <c r="CF50" s="170"/>
      <c r="CG50" s="170"/>
      <c r="CH50" s="170"/>
      <c r="CI50" s="170"/>
      <c r="CJ50" s="170"/>
      <c r="CK50" s="170"/>
      <c r="CL50" s="170"/>
      <c r="CM50" s="170"/>
      <c r="CN50" s="170"/>
      <c r="CO50" s="170"/>
      <c r="CP50" s="170"/>
      <c r="CQ50" s="170"/>
      <c r="CR50" s="170"/>
      <c r="CS50" s="170"/>
      <c r="CT50" s="170"/>
      <c r="CU50" s="170"/>
      <c r="CV50" s="170"/>
      <c r="CW50" s="170"/>
      <c r="CX50" s="170"/>
      <c r="CY50" s="170"/>
      <c r="CZ50" s="170"/>
      <c r="DA50" s="170"/>
      <c r="DB50" s="170"/>
      <c r="DC50" s="170"/>
      <c r="DD50" s="170"/>
      <c r="DE50" s="170"/>
      <c r="DF50" s="170"/>
      <c r="DG50" s="170"/>
      <c r="DH50" s="170"/>
      <c r="DI50" s="170"/>
      <c r="DJ50" s="170"/>
      <c r="DK50" s="170"/>
      <c r="DL50" s="170"/>
      <c r="DM50" s="170"/>
      <c r="DN50" s="170"/>
      <c r="DO50" s="170"/>
      <c r="DP50" s="170"/>
      <c r="DQ50" s="170"/>
      <c r="DR50" s="170"/>
      <c r="DS50" s="170"/>
      <c r="DT50" s="170"/>
      <c r="DU50" s="170"/>
      <c r="DV50" s="170"/>
      <c r="DW50" s="170"/>
      <c r="DX50" s="170"/>
      <c r="DY50" s="170"/>
      <c r="DZ50" s="170"/>
      <c r="EA50" s="170"/>
      <c r="EB50" s="170"/>
      <c r="EC50" s="170"/>
      <c r="ED50" s="170"/>
      <c r="EE50" s="170"/>
      <c r="EF50" s="170"/>
      <c r="EG50" s="170"/>
      <c r="EH50" s="170"/>
      <c r="EI50" s="170"/>
      <c r="EJ50" s="170"/>
      <c r="EK50" s="170"/>
      <c r="EL50" s="170"/>
      <c r="EM50" s="170"/>
      <c r="EN50" s="170"/>
      <c r="EO50" s="170"/>
      <c r="EP50" s="170"/>
      <c r="EQ50" s="170"/>
      <c r="ER50" s="170"/>
      <c r="ES50" s="170"/>
      <c r="ET50" s="170"/>
      <c r="EU50" s="170"/>
      <c r="EV50" s="170"/>
      <c r="EW50" s="170"/>
      <c r="EX50" s="170"/>
      <c r="EY50" s="170"/>
      <c r="EZ50" s="170"/>
      <c r="FA50" s="170"/>
      <c r="FB50" s="170"/>
      <c r="FC50" s="170"/>
      <c r="FD50" s="170"/>
      <c r="FE50" s="170"/>
      <c r="FF50" s="170"/>
      <c r="FG50" s="170"/>
      <c r="FH50" s="170"/>
      <c r="FI50" s="170"/>
      <c r="FJ50" s="170"/>
      <c r="FK50" s="170"/>
      <c r="FL50" s="170"/>
      <c r="FM50" s="170"/>
      <c r="FN50" s="170"/>
      <c r="FO50" s="170"/>
      <c r="FP50" s="170"/>
      <c r="FQ50" s="170"/>
      <c r="FR50" s="170"/>
      <c r="FS50" s="170"/>
      <c r="FT50" s="170"/>
      <c r="FU50" s="170"/>
      <c r="FV50" s="170"/>
      <c r="FW50" s="170"/>
      <c r="FX50" s="170"/>
      <c r="FY50" s="170"/>
      <c r="FZ50" s="170"/>
      <c r="GA50" s="170"/>
      <c r="GB50" s="170"/>
      <c r="GC50" s="170"/>
    </row>
    <row r="51" spans="1:185" s="180" customFormat="1" ht="13">
      <c r="A51" s="290"/>
      <c r="B51" s="290"/>
      <c r="C51" s="290"/>
      <c r="D51" s="290"/>
      <c r="E51" s="290"/>
      <c r="F51" s="290"/>
      <c r="G51" s="290"/>
      <c r="H51" s="290"/>
      <c r="I51" s="290"/>
      <c r="J51" s="290"/>
      <c r="K51" s="290"/>
      <c r="L51" s="290"/>
      <c r="M51" s="290"/>
      <c r="N51" s="290"/>
      <c r="O51" s="290"/>
      <c r="P51" s="290"/>
      <c r="Q51" s="290"/>
      <c r="R51" s="290"/>
      <c r="S51" s="290"/>
      <c r="T51" s="290"/>
      <c r="U51" s="290"/>
      <c r="V51" s="290"/>
      <c r="W51" s="290"/>
      <c r="X51" s="290"/>
      <c r="Y51" s="290"/>
      <c r="Z51" s="290"/>
      <c r="AA51" s="290"/>
      <c r="AB51" s="290"/>
      <c r="AC51" s="290"/>
      <c r="AD51" s="290"/>
      <c r="AE51" s="290"/>
      <c r="AF51" s="290"/>
      <c r="AG51" s="290"/>
      <c r="AH51" s="170"/>
      <c r="AI51" s="170"/>
      <c r="AJ51" s="170"/>
      <c r="AK51" s="170"/>
      <c r="AL51" s="170"/>
      <c r="AM51" s="170"/>
      <c r="AN51" s="170"/>
      <c r="AO51" s="170"/>
      <c r="AP51" s="170"/>
      <c r="AQ51" s="170"/>
      <c r="AR51" s="170"/>
      <c r="AS51" s="170"/>
      <c r="AT51" s="170"/>
      <c r="AU51" s="170"/>
      <c r="AV51" s="170"/>
      <c r="AW51" s="170"/>
      <c r="AX51" s="170"/>
      <c r="AY51" s="170"/>
      <c r="AZ51" s="170"/>
      <c r="BA51" s="170"/>
      <c r="BB51" s="170"/>
      <c r="BC51" s="170"/>
      <c r="BD51" s="170"/>
      <c r="BE51" s="170"/>
      <c r="BF51" s="170"/>
      <c r="BG51" s="170"/>
      <c r="BH51" s="170"/>
      <c r="BI51" s="170"/>
      <c r="BJ51" s="170"/>
      <c r="BK51" s="170"/>
      <c r="BL51" s="170"/>
      <c r="BM51" s="170"/>
      <c r="BN51" s="170"/>
      <c r="BO51" s="170"/>
      <c r="BP51" s="170"/>
      <c r="BQ51" s="170"/>
      <c r="BR51" s="170"/>
      <c r="BS51" s="170"/>
      <c r="BT51" s="170"/>
      <c r="BU51" s="170"/>
      <c r="BV51" s="170"/>
      <c r="BW51" s="170"/>
      <c r="BX51" s="170"/>
      <c r="BY51" s="170"/>
      <c r="BZ51" s="170"/>
      <c r="CA51" s="170"/>
      <c r="CB51" s="170"/>
      <c r="CC51" s="170"/>
      <c r="CD51" s="170"/>
      <c r="CE51" s="170"/>
      <c r="CF51" s="170"/>
      <c r="CG51" s="170"/>
      <c r="CH51" s="170"/>
      <c r="CI51" s="170"/>
      <c r="CJ51" s="170"/>
      <c r="CK51" s="170"/>
      <c r="CL51" s="170"/>
      <c r="CM51" s="170"/>
      <c r="CN51" s="170"/>
      <c r="CO51" s="170"/>
      <c r="CP51" s="170"/>
      <c r="CQ51" s="170"/>
      <c r="CR51" s="170"/>
      <c r="CS51" s="170"/>
      <c r="CT51" s="170"/>
      <c r="CU51" s="170"/>
      <c r="CV51" s="170"/>
      <c r="CW51" s="170"/>
      <c r="CX51" s="170"/>
      <c r="CY51" s="170"/>
      <c r="CZ51" s="170"/>
      <c r="DA51" s="170"/>
      <c r="DB51" s="170"/>
      <c r="DC51" s="170"/>
      <c r="DD51" s="170"/>
      <c r="DE51" s="170"/>
      <c r="DF51" s="170"/>
      <c r="DG51" s="170"/>
      <c r="DH51" s="170"/>
      <c r="DI51" s="170"/>
      <c r="DJ51" s="170"/>
      <c r="DK51" s="170"/>
      <c r="DL51" s="170"/>
      <c r="DM51" s="170"/>
      <c r="DN51" s="170"/>
      <c r="DO51" s="170"/>
      <c r="DP51" s="170"/>
      <c r="DQ51" s="170"/>
      <c r="DR51" s="170"/>
      <c r="DS51" s="170"/>
      <c r="DT51" s="170"/>
      <c r="DU51" s="170"/>
      <c r="DV51" s="170"/>
      <c r="DW51" s="170"/>
      <c r="DX51" s="170"/>
      <c r="DY51" s="170"/>
      <c r="DZ51" s="170"/>
      <c r="EA51" s="170"/>
      <c r="EB51" s="170"/>
      <c r="EC51" s="170"/>
      <c r="ED51" s="170"/>
      <c r="EE51" s="170"/>
      <c r="EF51" s="170"/>
      <c r="EG51" s="170"/>
      <c r="EH51" s="170"/>
      <c r="EI51" s="170"/>
      <c r="EJ51" s="170"/>
      <c r="EK51" s="170"/>
      <c r="EL51" s="170"/>
      <c r="EM51" s="170"/>
      <c r="EN51" s="170"/>
      <c r="EO51" s="170"/>
      <c r="EP51" s="170"/>
      <c r="EQ51" s="170"/>
      <c r="ER51" s="170"/>
      <c r="ES51" s="170"/>
      <c r="ET51" s="170"/>
      <c r="EU51" s="170"/>
      <c r="EV51" s="170"/>
      <c r="EW51" s="170"/>
      <c r="EX51" s="170"/>
      <c r="EY51" s="170"/>
      <c r="EZ51" s="170"/>
      <c r="FA51" s="170"/>
      <c r="FB51" s="170"/>
      <c r="FC51" s="170"/>
      <c r="FD51" s="170"/>
      <c r="FE51" s="170"/>
      <c r="FF51" s="170"/>
      <c r="FG51" s="170"/>
      <c r="FH51" s="170"/>
      <c r="FI51" s="170"/>
      <c r="FJ51" s="170"/>
      <c r="FK51" s="170"/>
      <c r="FL51" s="170"/>
      <c r="FM51" s="170"/>
      <c r="FN51" s="170"/>
      <c r="FO51" s="170"/>
      <c r="FP51" s="170"/>
      <c r="FQ51" s="170"/>
      <c r="FR51" s="170"/>
      <c r="FS51" s="170"/>
      <c r="FT51" s="170"/>
      <c r="FU51" s="170"/>
      <c r="FV51" s="170"/>
      <c r="FW51" s="170"/>
      <c r="FX51" s="170"/>
      <c r="FY51" s="170"/>
      <c r="FZ51" s="170"/>
      <c r="GA51" s="170"/>
      <c r="GB51" s="170"/>
      <c r="GC51" s="170"/>
    </row>
    <row r="52" spans="1:185" s="180" customFormat="1" ht="13">
      <c r="A52" s="290"/>
      <c r="B52" s="562" t="s">
        <v>2384</v>
      </c>
      <c r="C52" s="482" t="str">
        <f>IF(AND(C8&gt;0,C9&gt;0,C10&gt;0,C11&gt;0,C12&gt;0,C13&gt;0,C22&gt;0,C25&gt;0,C28&gt;0,C32&gt;0,C39&gt;0,C40&gt;0,C41&gt;0,C46&gt;0),"Yes","No")</f>
        <v>No</v>
      </c>
      <c r="D52" s="290"/>
      <c r="E52" s="290"/>
      <c r="F52" s="290"/>
      <c r="G52" s="290"/>
      <c r="H52" s="290"/>
      <c r="I52" s="290"/>
      <c r="J52" s="290"/>
      <c r="K52" s="290"/>
      <c r="L52" s="290"/>
      <c r="M52" s="290"/>
      <c r="N52" s="290"/>
      <c r="O52" s="290"/>
      <c r="P52" s="290"/>
      <c r="Q52" s="290"/>
      <c r="R52" s="290"/>
      <c r="S52" s="290"/>
      <c r="T52" s="290"/>
      <c r="U52" s="290"/>
      <c r="V52" s="290"/>
      <c r="W52" s="290"/>
      <c r="X52" s="290"/>
      <c r="Y52" s="290"/>
      <c r="Z52" s="290"/>
      <c r="AA52" s="290"/>
      <c r="AB52" s="290"/>
      <c r="AC52" s="290"/>
      <c r="AD52" s="290"/>
      <c r="AE52" s="290"/>
      <c r="AF52" s="290"/>
      <c r="AG52" s="290"/>
      <c r="AH52" s="170"/>
      <c r="AI52" s="170"/>
      <c r="AJ52" s="170"/>
      <c r="AK52" s="170"/>
      <c r="AL52" s="170"/>
      <c r="AM52" s="170"/>
      <c r="AN52" s="170"/>
      <c r="AO52" s="170"/>
      <c r="AP52" s="170"/>
      <c r="AQ52" s="170"/>
      <c r="AR52" s="170"/>
      <c r="AS52" s="170"/>
      <c r="AT52" s="170"/>
      <c r="AU52" s="170"/>
      <c r="AV52" s="170"/>
      <c r="AW52" s="170"/>
      <c r="AX52" s="170"/>
      <c r="AY52" s="170"/>
      <c r="AZ52" s="170"/>
      <c r="BA52" s="170"/>
      <c r="BB52" s="170"/>
      <c r="BC52" s="170"/>
      <c r="BD52" s="170"/>
      <c r="BE52" s="170"/>
      <c r="BF52" s="170"/>
      <c r="BG52" s="170"/>
      <c r="BH52" s="170"/>
      <c r="BI52" s="170"/>
      <c r="BJ52" s="170"/>
      <c r="BK52" s="170"/>
      <c r="BL52" s="170"/>
      <c r="BM52" s="170"/>
      <c r="BN52" s="170"/>
      <c r="BO52" s="170"/>
      <c r="BP52" s="170"/>
      <c r="BQ52" s="170"/>
      <c r="BR52" s="170"/>
      <c r="BS52" s="170"/>
      <c r="BT52" s="170"/>
      <c r="BU52" s="170"/>
      <c r="BV52" s="170"/>
      <c r="BW52" s="170"/>
      <c r="BX52" s="170"/>
      <c r="BY52" s="170"/>
      <c r="BZ52" s="170"/>
      <c r="CA52" s="170"/>
      <c r="CB52" s="170"/>
      <c r="CC52" s="170"/>
      <c r="CD52" s="170"/>
      <c r="CE52" s="170"/>
      <c r="CF52" s="170"/>
      <c r="CG52" s="170"/>
      <c r="CH52" s="170"/>
      <c r="CI52" s="170"/>
      <c r="CJ52" s="170"/>
      <c r="CK52" s="170"/>
      <c r="CL52" s="170"/>
      <c r="CM52" s="170"/>
      <c r="CN52" s="170"/>
      <c r="CO52" s="170"/>
      <c r="CP52" s="170"/>
      <c r="CQ52" s="170"/>
      <c r="CR52" s="170"/>
      <c r="CS52" s="170"/>
      <c r="CT52" s="170"/>
      <c r="CU52" s="170"/>
      <c r="CV52" s="170"/>
      <c r="CW52" s="170"/>
      <c r="CX52" s="170"/>
      <c r="CY52" s="170"/>
      <c r="CZ52" s="170"/>
      <c r="DA52" s="170"/>
      <c r="DB52" s="170"/>
      <c r="DC52" s="170"/>
      <c r="DD52" s="170"/>
      <c r="DE52" s="170"/>
      <c r="DF52" s="170"/>
      <c r="DG52" s="170"/>
      <c r="DH52" s="170"/>
      <c r="DI52" s="170"/>
      <c r="DJ52" s="170"/>
      <c r="DK52" s="170"/>
      <c r="DL52" s="170"/>
      <c r="DM52" s="170"/>
      <c r="DN52" s="170"/>
      <c r="DO52" s="170"/>
      <c r="DP52" s="170"/>
      <c r="DQ52" s="170"/>
      <c r="DR52" s="170"/>
      <c r="DS52" s="170"/>
      <c r="DT52" s="170"/>
      <c r="DU52" s="170"/>
      <c r="DV52" s="170"/>
      <c r="DW52" s="170"/>
      <c r="DX52" s="170"/>
      <c r="DY52" s="170"/>
      <c r="DZ52" s="170"/>
      <c r="EA52" s="170"/>
      <c r="EB52" s="170"/>
      <c r="EC52" s="170"/>
      <c r="ED52" s="170"/>
      <c r="EE52" s="170"/>
      <c r="EF52" s="170"/>
      <c r="EG52" s="170"/>
      <c r="EH52" s="170"/>
      <c r="EI52" s="170"/>
      <c r="EJ52" s="170"/>
      <c r="EK52" s="170"/>
      <c r="EL52" s="170"/>
      <c r="EM52" s="170"/>
      <c r="EN52" s="170"/>
      <c r="EO52" s="170"/>
      <c r="EP52" s="170"/>
      <c r="EQ52" s="170"/>
      <c r="ER52" s="170"/>
      <c r="ES52" s="170"/>
      <c r="ET52" s="170"/>
      <c r="EU52" s="170"/>
      <c r="EV52" s="170"/>
      <c r="EW52" s="170"/>
      <c r="EX52" s="170"/>
      <c r="EY52" s="170"/>
      <c r="EZ52" s="170"/>
      <c r="FA52" s="170"/>
      <c r="FB52" s="170"/>
      <c r="FC52" s="170"/>
      <c r="FD52" s="170"/>
      <c r="FE52" s="170"/>
      <c r="FF52" s="170"/>
      <c r="FG52" s="170"/>
      <c r="FH52" s="170"/>
      <c r="FI52" s="170"/>
      <c r="FJ52" s="170"/>
      <c r="FK52" s="170"/>
      <c r="FL52" s="170"/>
      <c r="FM52" s="170"/>
      <c r="FN52" s="170"/>
      <c r="FO52" s="170"/>
      <c r="FP52" s="170"/>
      <c r="FQ52" s="170"/>
      <c r="FR52" s="170"/>
      <c r="FS52" s="170"/>
      <c r="FT52" s="170"/>
      <c r="FU52" s="170"/>
      <c r="FV52" s="170"/>
      <c r="FW52" s="170"/>
      <c r="FX52" s="170"/>
      <c r="FY52" s="170"/>
      <c r="FZ52" s="170"/>
      <c r="GA52" s="170"/>
      <c r="GB52" s="170"/>
      <c r="GC52" s="170"/>
    </row>
    <row r="53" spans="1:185" s="180" customFormat="1" ht="13">
      <c r="A53" s="290"/>
      <c r="B53" s="290"/>
      <c r="C53" s="290"/>
      <c r="D53" s="290"/>
      <c r="E53" s="290"/>
      <c r="F53" s="290"/>
      <c r="G53" s="290"/>
      <c r="H53" s="290"/>
      <c r="I53" s="290"/>
      <c r="J53" s="290"/>
      <c r="K53" s="290"/>
      <c r="L53" s="290"/>
      <c r="M53" s="290"/>
      <c r="N53" s="290"/>
      <c r="O53" s="290"/>
      <c r="P53" s="290"/>
      <c r="Q53" s="290"/>
      <c r="R53" s="290"/>
      <c r="S53" s="290"/>
      <c r="T53" s="290"/>
      <c r="U53" s="290"/>
      <c r="V53" s="290"/>
      <c r="W53" s="290"/>
      <c r="X53" s="290"/>
      <c r="Y53" s="290"/>
      <c r="Z53" s="290"/>
      <c r="AA53" s="290"/>
      <c r="AB53" s="290"/>
      <c r="AC53" s="290"/>
      <c r="AD53" s="290"/>
      <c r="AE53" s="290"/>
      <c r="AF53" s="290"/>
      <c r="AG53" s="290"/>
      <c r="AH53" s="170"/>
      <c r="AI53" s="170"/>
      <c r="AJ53" s="170"/>
      <c r="AK53" s="170"/>
      <c r="AL53" s="170"/>
      <c r="AM53" s="170"/>
      <c r="AN53" s="170"/>
      <c r="AO53" s="170"/>
      <c r="AP53" s="170"/>
      <c r="AQ53" s="170"/>
      <c r="AR53" s="170"/>
      <c r="AS53" s="170"/>
      <c r="AT53" s="170"/>
      <c r="AU53" s="170"/>
      <c r="AV53" s="170"/>
      <c r="AW53" s="170"/>
      <c r="AX53" s="170"/>
      <c r="AY53" s="170"/>
      <c r="AZ53" s="170"/>
      <c r="BA53" s="170"/>
      <c r="BB53" s="170"/>
      <c r="BC53" s="170"/>
      <c r="BD53" s="170"/>
      <c r="BE53" s="170"/>
      <c r="BF53" s="170"/>
      <c r="BG53" s="170"/>
      <c r="BH53" s="170"/>
      <c r="BI53" s="170"/>
      <c r="BJ53" s="170"/>
      <c r="BK53" s="170"/>
      <c r="BL53" s="170"/>
      <c r="BM53" s="170"/>
      <c r="BN53" s="170"/>
      <c r="BO53" s="170"/>
      <c r="BP53" s="170"/>
      <c r="BQ53" s="170"/>
      <c r="BR53" s="170"/>
      <c r="BS53" s="170"/>
      <c r="BT53" s="170"/>
      <c r="BU53" s="170"/>
      <c r="BV53" s="170"/>
      <c r="BW53" s="170"/>
      <c r="BX53" s="170"/>
      <c r="BY53" s="170"/>
      <c r="BZ53" s="170"/>
      <c r="CA53" s="170"/>
      <c r="CB53" s="170"/>
      <c r="CC53" s="170"/>
      <c r="CD53" s="170"/>
      <c r="CE53" s="170"/>
      <c r="CF53" s="170"/>
      <c r="CG53" s="170"/>
      <c r="CH53" s="170"/>
      <c r="CI53" s="170"/>
      <c r="CJ53" s="170"/>
      <c r="CK53" s="170"/>
      <c r="CL53" s="170"/>
      <c r="CM53" s="170"/>
      <c r="CN53" s="170"/>
      <c r="CO53" s="170"/>
      <c r="CP53" s="170"/>
      <c r="CQ53" s="170"/>
      <c r="CR53" s="170"/>
      <c r="CS53" s="170"/>
      <c r="CT53" s="170"/>
      <c r="CU53" s="170"/>
      <c r="CV53" s="170"/>
      <c r="CW53" s="170"/>
      <c r="CX53" s="170"/>
      <c r="CY53" s="170"/>
      <c r="CZ53" s="170"/>
      <c r="DA53" s="170"/>
      <c r="DB53" s="170"/>
      <c r="DC53" s="170"/>
      <c r="DD53" s="170"/>
      <c r="DE53" s="170"/>
      <c r="DF53" s="170"/>
      <c r="DG53" s="170"/>
      <c r="DH53" s="170"/>
      <c r="DI53" s="170"/>
      <c r="DJ53" s="170"/>
      <c r="DK53" s="170"/>
      <c r="DL53" s="170"/>
      <c r="DM53" s="170"/>
      <c r="DN53" s="170"/>
      <c r="DO53" s="170"/>
      <c r="DP53" s="170"/>
      <c r="DQ53" s="170"/>
      <c r="DR53" s="170"/>
      <c r="DS53" s="170"/>
      <c r="DT53" s="170"/>
      <c r="DU53" s="170"/>
      <c r="DV53" s="170"/>
      <c r="DW53" s="170"/>
      <c r="DX53" s="170"/>
      <c r="DY53" s="170"/>
      <c r="DZ53" s="170"/>
      <c r="EA53" s="170"/>
      <c r="EB53" s="170"/>
      <c r="EC53" s="170"/>
      <c r="ED53" s="170"/>
      <c r="EE53" s="170"/>
      <c r="EF53" s="170"/>
      <c r="EG53" s="170"/>
      <c r="EH53" s="170"/>
      <c r="EI53" s="170"/>
      <c r="EJ53" s="170"/>
      <c r="EK53" s="170"/>
      <c r="EL53" s="170"/>
      <c r="EM53" s="170"/>
      <c r="EN53" s="170"/>
      <c r="EO53" s="170"/>
      <c r="EP53" s="170"/>
      <c r="EQ53" s="170"/>
      <c r="ER53" s="170"/>
      <c r="ES53" s="170"/>
      <c r="ET53" s="170"/>
      <c r="EU53" s="170"/>
      <c r="EV53" s="170"/>
      <c r="EW53" s="170"/>
      <c r="EX53" s="170"/>
      <c r="EY53" s="170"/>
      <c r="EZ53" s="170"/>
      <c r="FA53" s="170"/>
      <c r="FB53" s="170"/>
      <c r="FC53" s="170"/>
      <c r="FD53" s="170"/>
      <c r="FE53" s="170"/>
      <c r="FF53" s="170"/>
      <c r="FG53" s="170"/>
      <c r="FH53" s="170"/>
      <c r="FI53" s="170"/>
      <c r="FJ53" s="170"/>
      <c r="FK53" s="170"/>
      <c r="FL53" s="170"/>
      <c r="FM53" s="170"/>
      <c r="FN53" s="170"/>
      <c r="FO53" s="170"/>
      <c r="FP53" s="170"/>
      <c r="FQ53" s="170"/>
      <c r="FR53" s="170"/>
      <c r="FS53" s="170"/>
      <c r="FT53" s="170"/>
      <c r="FU53" s="170"/>
      <c r="FV53" s="170"/>
      <c r="FW53" s="170"/>
      <c r="FX53" s="170"/>
      <c r="FY53" s="170"/>
      <c r="FZ53" s="170"/>
      <c r="GA53" s="170"/>
      <c r="GB53" s="170"/>
      <c r="GC53" s="170"/>
    </row>
    <row r="54" spans="1:185" s="289" customFormat="1" ht="12.75" customHeight="1">
      <c r="A54" s="683" t="s">
        <v>2277</v>
      </c>
      <c r="B54" s="567" t="s">
        <v>2084</v>
      </c>
      <c r="C54" s="404">
        <f t="shared" ref="C54:C59" si="9">SUM(E54:AG54)</f>
        <v>0</v>
      </c>
      <c r="D54" s="399">
        <v>13823368.187999999</v>
      </c>
      <c r="E54" s="405"/>
      <c r="F54" s="405"/>
      <c r="G54" s="405"/>
      <c r="H54" s="405"/>
      <c r="I54" s="405"/>
      <c r="J54" s="405"/>
      <c r="K54" s="405"/>
      <c r="L54" s="405"/>
      <c r="M54" s="405"/>
      <c r="N54" s="405"/>
      <c r="O54" s="405"/>
      <c r="P54" s="405"/>
      <c r="Q54" s="405"/>
      <c r="R54" s="405"/>
      <c r="S54" s="405"/>
      <c r="T54" s="405"/>
      <c r="U54" s="405"/>
      <c r="V54" s="405"/>
      <c r="W54" s="405"/>
      <c r="X54" s="405"/>
      <c r="Y54" s="405"/>
      <c r="Z54" s="405"/>
      <c r="AA54" s="405"/>
      <c r="AB54" s="405"/>
      <c r="AC54" s="405"/>
      <c r="AD54" s="405"/>
      <c r="AE54" s="405"/>
      <c r="AF54" s="405"/>
      <c r="AG54" s="405"/>
      <c r="AH54" s="172"/>
      <c r="AI54" s="172"/>
      <c r="AJ54" s="172"/>
      <c r="AK54" s="172"/>
      <c r="AL54" s="172"/>
      <c r="AM54" s="172"/>
      <c r="AN54" s="172"/>
      <c r="AO54" s="172"/>
      <c r="AP54" s="172"/>
      <c r="AQ54" s="172"/>
      <c r="AR54" s="172"/>
      <c r="AS54" s="172"/>
      <c r="AT54" s="172"/>
      <c r="AU54" s="172"/>
      <c r="AV54" s="172"/>
      <c r="AW54" s="172"/>
      <c r="AX54" s="172"/>
      <c r="AY54" s="172"/>
      <c r="AZ54" s="172"/>
      <c r="BA54" s="172"/>
      <c r="BB54" s="172"/>
      <c r="BC54" s="172"/>
      <c r="BD54" s="172"/>
      <c r="BE54" s="172"/>
      <c r="BF54" s="172"/>
      <c r="BG54" s="172"/>
      <c r="BH54" s="172"/>
      <c r="BI54" s="172"/>
      <c r="BJ54" s="172"/>
      <c r="BK54" s="172"/>
      <c r="BL54" s="172"/>
      <c r="BM54" s="172"/>
      <c r="BN54" s="172"/>
      <c r="BO54" s="172"/>
      <c r="BP54" s="172"/>
      <c r="BQ54" s="172"/>
      <c r="BR54" s="172"/>
      <c r="BS54" s="172"/>
      <c r="BT54" s="172"/>
      <c r="BU54" s="172"/>
      <c r="BV54" s="172"/>
      <c r="BW54" s="172"/>
      <c r="BX54" s="172"/>
      <c r="BY54" s="172"/>
      <c r="BZ54" s="172"/>
      <c r="CA54" s="172"/>
      <c r="CB54" s="172"/>
      <c r="CC54" s="172"/>
      <c r="CD54" s="172"/>
      <c r="CE54" s="172"/>
      <c r="CF54" s="172"/>
      <c r="CG54" s="172"/>
      <c r="CH54" s="172"/>
      <c r="CI54" s="172"/>
      <c r="CJ54" s="172"/>
      <c r="CK54" s="172"/>
      <c r="CL54" s="172"/>
      <c r="CM54" s="172"/>
      <c r="CN54" s="172"/>
      <c r="CO54" s="172"/>
      <c r="CP54" s="172"/>
      <c r="CQ54" s="172"/>
      <c r="CR54" s="172"/>
      <c r="CS54" s="172"/>
      <c r="CT54" s="172"/>
      <c r="CU54" s="172"/>
      <c r="CV54" s="172"/>
      <c r="CW54" s="172"/>
      <c r="CX54" s="172"/>
      <c r="CY54" s="172"/>
      <c r="CZ54" s="172"/>
      <c r="DA54" s="172"/>
      <c r="DB54" s="172"/>
      <c r="DC54" s="172"/>
      <c r="DD54" s="172"/>
      <c r="DE54" s="172"/>
      <c r="DF54" s="172"/>
      <c r="DG54" s="172"/>
      <c r="DH54" s="172"/>
      <c r="DI54" s="172"/>
      <c r="DJ54" s="172"/>
      <c r="DK54" s="172"/>
      <c r="DL54" s="172"/>
      <c r="DM54" s="172"/>
      <c r="DN54" s="172"/>
      <c r="DO54" s="172"/>
      <c r="DP54" s="172"/>
      <c r="DQ54" s="172"/>
      <c r="DR54" s="172"/>
      <c r="DS54" s="172"/>
      <c r="DT54" s="172"/>
      <c r="DU54" s="172"/>
      <c r="DV54" s="172"/>
      <c r="DW54" s="172"/>
      <c r="DX54" s="172"/>
      <c r="DY54" s="172"/>
      <c r="DZ54" s="172"/>
      <c r="EA54" s="172"/>
      <c r="EB54" s="172"/>
      <c r="EC54" s="172"/>
      <c r="ED54" s="172"/>
      <c r="EE54" s="172"/>
      <c r="EF54" s="172"/>
      <c r="EG54" s="172"/>
      <c r="EH54" s="172"/>
      <c r="EI54" s="172"/>
      <c r="EJ54" s="172"/>
      <c r="EK54" s="172"/>
      <c r="EL54" s="172"/>
      <c r="EM54" s="172"/>
      <c r="EN54" s="172"/>
      <c r="EO54" s="172"/>
      <c r="EP54" s="172"/>
      <c r="EQ54" s="172"/>
      <c r="ER54" s="172"/>
      <c r="ES54" s="172"/>
      <c r="ET54" s="172"/>
      <c r="EU54" s="172"/>
      <c r="EV54" s="172"/>
      <c r="EW54" s="172"/>
      <c r="EX54" s="172"/>
      <c r="EY54" s="172"/>
      <c r="EZ54" s="172"/>
      <c r="FA54" s="172"/>
      <c r="FB54" s="172"/>
      <c r="FC54" s="172"/>
      <c r="FD54" s="172"/>
      <c r="FE54" s="172"/>
      <c r="FF54" s="172"/>
      <c r="FG54" s="172"/>
      <c r="FH54" s="172"/>
      <c r="FI54" s="172"/>
      <c r="FJ54" s="172"/>
      <c r="FK54" s="172"/>
      <c r="FL54" s="172"/>
      <c r="FM54" s="172"/>
      <c r="FN54" s="172"/>
      <c r="FO54" s="172"/>
      <c r="FP54" s="172"/>
      <c r="FQ54" s="172"/>
      <c r="FR54" s="172"/>
      <c r="FS54" s="172"/>
      <c r="FT54" s="172"/>
      <c r="FU54" s="172"/>
      <c r="FV54" s="172"/>
      <c r="FW54" s="172"/>
      <c r="FX54" s="172"/>
      <c r="FY54" s="172"/>
      <c r="FZ54" s="172"/>
      <c r="GA54" s="172"/>
      <c r="GB54" s="172"/>
      <c r="GC54" s="172"/>
    </row>
    <row r="55" spans="1:185" s="289" customFormat="1" ht="13">
      <c r="A55" s="683"/>
      <c r="B55" s="568" t="s">
        <v>2180</v>
      </c>
      <c r="C55" s="415">
        <f t="shared" si="9"/>
        <v>0</v>
      </c>
      <c r="D55" s="416">
        <v>17167444.587000001</v>
      </c>
      <c r="E55" s="417"/>
      <c r="F55" s="417"/>
      <c r="G55" s="417"/>
      <c r="H55" s="417"/>
      <c r="I55" s="417"/>
      <c r="J55" s="417"/>
      <c r="K55" s="417"/>
      <c r="L55" s="417"/>
      <c r="M55" s="417"/>
      <c r="N55" s="417"/>
      <c r="O55" s="417"/>
      <c r="P55" s="417"/>
      <c r="Q55" s="417"/>
      <c r="R55" s="417"/>
      <c r="S55" s="417"/>
      <c r="T55" s="417"/>
      <c r="U55" s="417"/>
      <c r="V55" s="417"/>
      <c r="W55" s="417"/>
      <c r="X55" s="417"/>
      <c r="Y55" s="417"/>
      <c r="Z55" s="417"/>
      <c r="AA55" s="417"/>
      <c r="AB55" s="417"/>
      <c r="AC55" s="417"/>
      <c r="AD55" s="417"/>
      <c r="AE55" s="417"/>
      <c r="AF55" s="417"/>
      <c r="AG55" s="417"/>
      <c r="AH55" s="172"/>
      <c r="AI55" s="172"/>
      <c r="AJ55" s="172"/>
      <c r="AK55" s="172"/>
      <c r="AL55" s="172"/>
      <c r="AM55" s="172"/>
      <c r="AN55" s="172"/>
      <c r="AO55" s="172"/>
      <c r="AP55" s="172"/>
      <c r="AQ55" s="172"/>
      <c r="AR55" s="172"/>
      <c r="AS55" s="172"/>
      <c r="AT55" s="172"/>
      <c r="AU55" s="172"/>
      <c r="AV55" s="172"/>
      <c r="AW55" s="172"/>
      <c r="AX55" s="172"/>
      <c r="AY55" s="172"/>
      <c r="AZ55" s="172"/>
      <c r="BA55" s="172"/>
      <c r="BB55" s="172"/>
      <c r="BC55" s="172"/>
      <c r="BD55" s="172"/>
      <c r="BE55" s="172"/>
      <c r="BF55" s="172"/>
      <c r="BG55" s="172"/>
      <c r="BH55" s="172"/>
      <c r="BI55" s="172"/>
      <c r="BJ55" s="172"/>
      <c r="BK55" s="172"/>
      <c r="BL55" s="172"/>
      <c r="BM55" s="172"/>
      <c r="BN55" s="172"/>
      <c r="BO55" s="172"/>
      <c r="BP55" s="172"/>
      <c r="BQ55" s="172"/>
      <c r="BR55" s="172"/>
      <c r="BS55" s="172"/>
      <c r="BT55" s="172"/>
      <c r="BU55" s="172"/>
      <c r="BV55" s="172"/>
      <c r="BW55" s="172"/>
      <c r="BX55" s="172"/>
      <c r="BY55" s="172"/>
      <c r="BZ55" s="172"/>
      <c r="CA55" s="172"/>
      <c r="CB55" s="172"/>
      <c r="CC55" s="172"/>
      <c r="CD55" s="172"/>
      <c r="CE55" s="172"/>
      <c r="CF55" s="172"/>
      <c r="CG55" s="172"/>
      <c r="CH55" s="172"/>
      <c r="CI55" s="172"/>
      <c r="CJ55" s="172"/>
      <c r="CK55" s="172"/>
      <c r="CL55" s="172"/>
      <c r="CM55" s="172"/>
      <c r="CN55" s="172"/>
      <c r="CO55" s="172"/>
      <c r="CP55" s="172"/>
      <c r="CQ55" s="172"/>
      <c r="CR55" s="172"/>
      <c r="CS55" s="172"/>
      <c r="CT55" s="172"/>
      <c r="CU55" s="172"/>
      <c r="CV55" s="172"/>
      <c r="CW55" s="172"/>
      <c r="CX55" s="172"/>
      <c r="CY55" s="172"/>
      <c r="CZ55" s="172"/>
      <c r="DA55" s="172"/>
      <c r="DB55" s="172"/>
      <c r="DC55" s="172"/>
      <c r="DD55" s="172"/>
      <c r="DE55" s="172"/>
      <c r="DF55" s="172"/>
      <c r="DG55" s="172"/>
      <c r="DH55" s="172"/>
      <c r="DI55" s="172"/>
      <c r="DJ55" s="172"/>
      <c r="DK55" s="172"/>
      <c r="DL55" s="172"/>
      <c r="DM55" s="172"/>
      <c r="DN55" s="172"/>
      <c r="DO55" s="172"/>
      <c r="DP55" s="172"/>
      <c r="DQ55" s="172"/>
      <c r="DR55" s="172"/>
      <c r="DS55" s="172"/>
      <c r="DT55" s="172"/>
      <c r="DU55" s="172"/>
      <c r="DV55" s="172"/>
      <c r="DW55" s="172"/>
      <c r="DX55" s="172"/>
      <c r="DY55" s="172"/>
      <c r="DZ55" s="172"/>
      <c r="EA55" s="172"/>
      <c r="EB55" s="172"/>
      <c r="EC55" s="172"/>
      <c r="ED55" s="172"/>
      <c r="EE55" s="172"/>
      <c r="EF55" s="172"/>
      <c r="EG55" s="172"/>
      <c r="EH55" s="172"/>
      <c r="EI55" s="172"/>
      <c r="EJ55" s="172"/>
      <c r="EK55" s="172"/>
      <c r="EL55" s="172"/>
      <c r="EM55" s="172"/>
      <c r="EN55" s="172"/>
      <c r="EO55" s="172"/>
      <c r="EP55" s="172"/>
      <c r="EQ55" s="172"/>
      <c r="ER55" s="172"/>
      <c r="ES55" s="172"/>
      <c r="ET55" s="172"/>
      <c r="EU55" s="172"/>
      <c r="EV55" s="172"/>
      <c r="EW55" s="172"/>
      <c r="EX55" s="172"/>
      <c r="EY55" s="172"/>
      <c r="EZ55" s="172"/>
      <c r="FA55" s="172"/>
      <c r="FB55" s="172"/>
      <c r="FC55" s="172"/>
      <c r="FD55" s="172"/>
      <c r="FE55" s="172"/>
      <c r="FF55" s="172"/>
      <c r="FG55" s="172"/>
      <c r="FH55" s="172"/>
      <c r="FI55" s="172"/>
      <c r="FJ55" s="172"/>
      <c r="FK55" s="172"/>
      <c r="FL55" s="172"/>
      <c r="FM55" s="172"/>
      <c r="FN55" s="172"/>
      <c r="FO55" s="172"/>
      <c r="FP55" s="172"/>
      <c r="FQ55" s="172"/>
      <c r="FR55" s="172"/>
      <c r="FS55" s="172"/>
      <c r="FT55" s="172"/>
      <c r="FU55" s="172"/>
      <c r="FV55" s="172"/>
      <c r="FW55" s="172"/>
      <c r="FX55" s="172"/>
      <c r="FY55" s="172"/>
      <c r="FZ55" s="172"/>
      <c r="GA55" s="172"/>
      <c r="GB55" s="172"/>
      <c r="GC55" s="172"/>
    </row>
    <row r="56" spans="1:185" s="180" customFormat="1" ht="13">
      <c r="A56" s="683"/>
      <c r="B56" s="605" t="s">
        <v>2348</v>
      </c>
      <c r="C56" s="194">
        <f t="shared" si="9"/>
        <v>0</v>
      </c>
      <c r="D56" s="258">
        <v>1395448</v>
      </c>
      <c r="E56" s="195"/>
      <c r="F56" s="195"/>
      <c r="G56" s="195"/>
      <c r="H56" s="195"/>
      <c r="I56" s="195"/>
      <c r="J56" s="195"/>
      <c r="K56" s="196"/>
      <c r="L56" s="196"/>
      <c r="M56" s="196"/>
      <c r="N56" s="196"/>
      <c r="O56" s="196"/>
      <c r="P56" s="196"/>
      <c r="Q56" s="196"/>
      <c r="R56" s="196"/>
      <c r="S56" s="196"/>
      <c r="T56" s="196"/>
      <c r="U56" s="196"/>
      <c r="V56" s="196"/>
      <c r="W56" s="196"/>
      <c r="X56" s="196"/>
      <c r="Y56" s="196"/>
      <c r="Z56" s="196"/>
      <c r="AA56" s="196"/>
      <c r="AB56" s="196"/>
      <c r="AC56" s="196"/>
      <c r="AD56" s="196"/>
      <c r="AE56" s="196"/>
      <c r="AF56" s="196"/>
      <c r="AG56" s="196"/>
      <c r="AH56" s="170"/>
      <c r="AI56" s="170"/>
      <c r="AJ56" s="170"/>
      <c r="AK56" s="170"/>
      <c r="AL56" s="170"/>
      <c r="AM56" s="170"/>
      <c r="AN56" s="170"/>
      <c r="AO56" s="170"/>
      <c r="AP56" s="170"/>
      <c r="AQ56" s="170"/>
      <c r="AR56" s="170"/>
      <c r="AS56" s="170"/>
      <c r="AT56" s="170"/>
      <c r="AU56" s="170"/>
      <c r="AV56" s="170"/>
      <c r="AW56" s="170"/>
      <c r="AX56" s="170"/>
      <c r="AY56" s="170"/>
      <c r="AZ56" s="170"/>
      <c r="BA56" s="170"/>
      <c r="BB56" s="170"/>
      <c r="BC56" s="170"/>
      <c r="BD56" s="170"/>
      <c r="BE56" s="170"/>
      <c r="BF56" s="170"/>
      <c r="BG56" s="170"/>
      <c r="BH56" s="170"/>
      <c r="BI56" s="170"/>
      <c r="BJ56" s="170"/>
      <c r="BK56" s="170"/>
      <c r="BL56" s="170"/>
      <c r="BM56" s="170"/>
      <c r="BN56" s="170"/>
      <c r="BO56" s="170"/>
      <c r="BP56" s="170"/>
      <c r="BQ56" s="170"/>
      <c r="BR56" s="170"/>
      <c r="BS56" s="170"/>
      <c r="BT56" s="170"/>
      <c r="BU56" s="170"/>
      <c r="BV56" s="170"/>
      <c r="BW56" s="170"/>
      <c r="BX56" s="170"/>
      <c r="BY56" s="170"/>
      <c r="BZ56" s="170"/>
      <c r="CA56" s="170"/>
      <c r="CB56" s="170"/>
      <c r="CC56" s="170"/>
      <c r="CD56" s="170"/>
      <c r="CE56" s="170"/>
      <c r="CF56" s="170"/>
      <c r="CG56" s="170"/>
      <c r="CH56" s="170"/>
      <c r="CI56" s="170"/>
      <c r="CJ56" s="170"/>
      <c r="CK56" s="170"/>
      <c r="CL56" s="170"/>
      <c r="CM56" s="170"/>
      <c r="CN56" s="170"/>
      <c r="CO56" s="170"/>
      <c r="CP56" s="170"/>
      <c r="CQ56" s="170"/>
      <c r="CR56" s="170"/>
      <c r="CS56" s="170"/>
      <c r="CT56" s="170"/>
      <c r="CU56" s="170"/>
      <c r="CV56" s="170"/>
      <c r="CW56" s="170"/>
      <c r="CX56" s="170"/>
      <c r="CY56" s="170"/>
      <c r="CZ56" s="170"/>
      <c r="DA56" s="170"/>
      <c r="DB56" s="170"/>
      <c r="DC56" s="170"/>
      <c r="DD56" s="170"/>
      <c r="DE56" s="170"/>
      <c r="DF56" s="170"/>
      <c r="DG56" s="170"/>
      <c r="DH56" s="170"/>
      <c r="DI56" s="170"/>
      <c r="DJ56" s="170"/>
      <c r="DK56" s="170"/>
      <c r="DL56" s="170"/>
      <c r="DM56" s="170"/>
      <c r="DN56" s="170"/>
      <c r="DO56" s="170"/>
      <c r="DP56" s="170"/>
      <c r="DQ56" s="170"/>
      <c r="DR56" s="170"/>
      <c r="DS56" s="170"/>
      <c r="DT56" s="170"/>
      <c r="DU56" s="170"/>
      <c r="DV56" s="170"/>
      <c r="DW56" s="170"/>
      <c r="DX56" s="170"/>
      <c r="DY56" s="170"/>
      <c r="DZ56" s="170"/>
      <c r="EA56" s="170"/>
      <c r="EB56" s="170"/>
      <c r="EC56" s="170"/>
      <c r="ED56" s="170"/>
      <c r="EE56" s="170"/>
      <c r="EF56" s="170"/>
      <c r="EG56" s="170"/>
      <c r="EH56" s="170"/>
      <c r="EI56" s="170"/>
      <c r="EJ56" s="170"/>
      <c r="EK56" s="170"/>
      <c r="EL56" s="170"/>
      <c r="EM56" s="170"/>
      <c r="EN56" s="170"/>
      <c r="EO56" s="170"/>
      <c r="EP56" s="170"/>
      <c r="EQ56" s="170"/>
      <c r="ER56" s="170"/>
      <c r="ES56" s="170"/>
      <c r="ET56" s="170"/>
      <c r="EU56" s="170"/>
      <c r="EV56" s="170"/>
      <c r="EW56" s="170"/>
      <c r="EX56" s="170"/>
      <c r="EY56" s="170"/>
      <c r="EZ56" s="170"/>
      <c r="FA56" s="170"/>
      <c r="FB56" s="170"/>
      <c r="FC56" s="170"/>
      <c r="FD56" s="170"/>
      <c r="FE56" s="170"/>
      <c r="FF56" s="170"/>
      <c r="FG56" s="170"/>
      <c r="FH56" s="170"/>
      <c r="FI56" s="170"/>
      <c r="FJ56" s="170"/>
      <c r="FK56" s="170"/>
      <c r="FL56" s="170"/>
      <c r="FM56" s="170"/>
      <c r="FN56" s="170"/>
      <c r="FO56" s="170"/>
      <c r="FP56" s="170"/>
      <c r="FQ56" s="170"/>
      <c r="FR56" s="170"/>
      <c r="FS56" s="170"/>
      <c r="FT56" s="170"/>
      <c r="FU56" s="170"/>
      <c r="FV56" s="170"/>
      <c r="FW56" s="170"/>
      <c r="FX56" s="170"/>
      <c r="FY56" s="170"/>
      <c r="FZ56" s="170"/>
      <c r="GA56" s="170"/>
      <c r="GB56" s="170"/>
      <c r="GC56" s="170"/>
    </row>
    <row r="57" spans="1:185" s="180" customFormat="1" ht="13">
      <c r="A57" s="683"/>
      <c r="B57" s="605" t="s">
        <v>2349</v>
      </c>
      <c r="C57" s="194">
        <f t="shared" si="9"/>
        <v>0</v>
      </c>
      <c r="D57" s="258">
        <v>10915</v>
      </c>
      <c r="E57" s="195"/>
      <c r="F57" s="195"/>
      <c r="G57" s="195"/>
      <c r="H57" s="195"/>
      <c r="I57" s="195"/>
      <c r="J57" s="195"/>
      <c r="K57" s="196"/>
      <c r="L57" s="196"/>
      <c r="M57" s="196"/>
      <c r="N57" s="196"/>
      <c r="O57" s="196"/>
      <c r="P57" s="196"/>
      <c r="Q57" s="196"/>
      <c r="R57" s="196"/>
      <c r="S57" s="196"/>
      <c r="T57" s="196"/>
      <c r="U57" s="196"/>
      <c r="V57" s="196"/>
      <c r="W57" s="196"/>
      <c r="X57" s="196"/>
      <c r="Y57" s="196"/>
      <c r="Z57" s="196"/>
      <c r="AA57" s="196"/>
      <c r="AB57" s="196"/>
      <c r="AC57" s="196"/>
      <c r="AD57" s="196"/>
      <c r="AE57" s="196"/>
      <c r="AF57" s="196"/>
      <c r="AG57" s="196"/>
      <c r="AH57" s="170"/>
      <c r="AI57" s="170"/>
      <c r="AJ57" s="170"/>
      <c r="AK57" s="170"/>
      <c r="AL57" s="170"/>
      <c r="AM57" s="170"/>
      <c r="AN57" s="170"/>
      <c r="AO57" s="170"/>
      <c r="AP57" s="170"/>
      <c r="AQ57" s="170"/>
      <c r="AR57" s="170"/>
      <c r="AS57" s="170"/>
      <c r="AT57" s="170"/>
      <c r="AU57" s="170"/>
      <c r="AV57" s="170"/>
      <c r="AW57" s="170"/>
      <c r="AX57" s="170"/>
      <c r="AY57" s="170"/>
      <c r="AZ57" s="170"/>
      <c r="BA57" s="170"/>
      <c r="BB57" s="170"/>
      <c r="BC57" s="170"/>
      <c r="BD57" s="170"/>
      <c r="BE57" s="170"/>
      <c r="BF57" s="170"/>
      <c r="BG57" s="170"/>
      <c r="BH57" s="170"/>
      <c r="BI57" s="170"/>
      <c r="BJ57" s="170"/>
      <c r="BK57" s="170"/>
      <c r="BL57" s="170"/>
      <c r="BM57" s="170"/>
      <c r="BN57" s="170"/>
      <c r="BO57" s="170"/>
      <c r="BP57" s="170"/>
      <c r="BQ57" s="170"/>
      <c r="BR57" s="170"/>
      <c r="BS57" s="170"/>
      <c r="BT57" s="170"/>
      <c r="BU57" s="170"/>
      <c r="BV57" s="170"/>
      <c r="BW57" s="170"/>
      <c r="BX57" s="170"/>
      <c r="BY57" s="170"/>
      <c r="BZ57" s="170"/>
      <c r="CA57" s="170"/>
      <c r="CB57" s="170"/>
      <c r="CC57" s="170"/>
      <c r="CD57" s="170"/>
      <c r="CE57" s="170"/>
      <c r="CF57" s="170"/>
      <c r="CG57" s="170"/>
      <c r="CH57" s="170"/>
      <c r="CI57" s="170"/>
      <c r="CJ57" s="170"/>
      <c r="CK57" s="170"/>
      <c r="CL57" s="170"/>
      <c r="CM57" s="170"/>
      <c r="CN57" s="170"/>
      <c r="CO57" s="170"/>
      <c r="CP57" s="170"/>
      <c r="CQ57" s="170"/>
      <c r="CR57" s="170"/>
      <c r="CS57" s="170"/>
      <c r="CT57" s="170"/>
      <c r="CU57" s="170"/>
      <c r="CV57" s="170"/>
      <c r="CW57" s="170"/>
      <c r="CX57" s="170"/>
      <c r="CY57" s="170"/>
      <c r="CZ57" s="170"/>
      <c r="DA57" s="170"/>
      <c r="DB57" s="170"/>
      <c r="DC57" s="170"/>
      <c r="DD57" s="170"/>
      <c r="DE57" s="170"/>
      <c r="DF57" s="170"/>
      <c r="DG57" s="170"/>
      <c r="DH57" s="170"/>
      <c r="DI57" s="170"/>
      <c r="DJ57" s="170"/>
      <c r="DK57" s="170"/>
      <c r="DL57" s="170"/>
      <c r="DM57" s="170"/>
      <c r="DN57" s="170"/>
      <c r="DO57" s="170"/>
      <c r="DP57" s="170"/>
      <c r="DQ57" s="170"/>
      <c r="DR57" s="170"/>
      <c r="DS57" s="170"/>
      <c r="DT57" s="170"/>
      <c r="DU57" s="170"/>
      <c r="DV57" s="170"/>
      <c r="DW57" s="170"/>
      <c r="DX57" s="170"/>
      <c r="DY57" s="170"/>
      <c r="DZ57" s="170"/>
      <c r="EA57" s="170"/>
      <c r="EB57" s="170"/>
      <c r="EC57" s="170"/>
      <c r="ED57" s="170"/>
      <c r="EE57" s="170"/>
      <c r="EF57" s="170"/>
      <c r="EG57" s="170"/>
      <c r="EH57" s="170"/>
      <c r="EI57" s="170"/>
      <c r="EJ57" s="170"/>
      <c r="EK57" s="170"/>
      <c r="EL57" s="170"/>
      <c r="EM57" s="170"/>
      <c r="EN57" s="170"/>
      <c r="EO57" s="170"/>
      <c r="EP57" s="170"/>
      <c r="EQ57" s="170"/>
      <c r="ER57" s="170"/>
      <c r="ES57" s="170"/>
      <c r="ET57" s="170"/>
      <c r="EU57" s="170"/>
      <c r="EV57" s="170"/>
      <c r="EW57" s="170"/>
      <c r="EX57" s="170"/>
      <c r="EY57" s="170"/>
      <c r="EZ57" s="170"/>
      <c r="FA57" s="170"/>
      <c r="FB57" s="170"/>
      <c r="FC57" s="170"/>
      <c r="FD57" s="170"/>
      <c r="FE57" s="170"/>
      <c r="FF57" s="170"/>
      <c r="FG57" s="170"/>
      <c r="FH57" s="170"/>
      <c r="FI57" s="170"/>
      <c r="FJ57" s="170"/>
      <c r="FK57" s="170"/>
      <c r="FL57" s="170"/>
      <c r="FM57" s="170"/>
      <c r="FN57" s="170"/>
      <c r="FO57" s="170"/>
      <c r="FP57" s="170"/>
      <c r="FQ57" s="170"/>
      <c r="FR57" s="170"/>
      <c r="FS57" s="170"/>
      <c r="FT57" s="170"/>
      <c r="FU57" s="170"/>
      <c r="FV57" s="170"/>
      <c r="FW57" s="170"/>
      <c r="FX57" s="170"/>
      <c r="FY57" s="170"/>
      <c r="FZ57" s="170"/>
      <c r="GA57" s="170"/>
      <c r="GB57" s="170"/>
      <c r="GC57" s="170"/>
    </row>
    <row r="58" spans="1:185" s="289" customFormat="1" ht="13">
      <c r="A58" s="683"/>
      <c r="B58" s="605" t="s">
        <v>2184</v>
      </c>
      <c r="C58" s="197">
        <f t="shared" si="9"/>
        <v>0</v>
      </c>
      <c r="D58" s="233">
        <f t="shared" ref="D58:AG58" si="10">SUM(D56:D57)</f>
        <v>1406363</v>
      </c>
      <c r="E58" s="197">
        <f>SUM(E56:E57)</f>
        <v>0</v>
      </c>
      <c r="F58" s="197">
        <f t="shared" si="10"/>
        <v>0</v>
      </c>
      <c r="G58" s="197">
        <f t="shared" si="10"/>
        <v>0</v>
      </c>
      <c r="H58" s="197">
        <f t="shared" si="10"/>
        <v>0</v>
      </c>
      <c r="I58" s="197">
        <f t="shared" si="10"/>
        <v>0</v>
      </c>
      <c r="J58" s="197">
        <f t="shared" si="10"/>
        <v>0</v>
      </c>
      <c r="K58" s="197">
        <f t="shared" si="10"/>
        <v>0</v>
      </c>
      <c r="L58" s="197">
        <f t="shared" si="10"/>
        <v>0</v>
      </c>
      <c r="M58" s="197">
        <f t="shared" si="10"/>
        <v>0</v>
      </c>
      <c r="N58" s="197">
        <f t="shared" si="10"/>
        <v>0</v>
      </c>
      <c r="O58" s="197">
        <f t="shared" si="10"/>
        <v>0</v>
      </c>
      <c r="P58" s="197">
        <f t="shared" si="10"/>
        <v>0</v>
      </c>
      <c r="Q58" s="197">
        <f t="shared" si="10"/>
        <v>0</v>
      </c>
      <c r="R58" s="197">
        <f t="shared" si="10"/>
        <v>0</v>
      </c>
      <c r="S58" s="197">
        <f t="shared" si="10"/>
        <v>0</v>
      </c>
      <c r="T58" s="197">
        <f t="shared" si="10"/>
        <v>0</v>
      </c>
      <c r="U58" s="197">
        <f t="shared" si="10"/>
        <v>0</v>
      </c>
      <c r="V58" s="197">
        <f t="shared" si="10"/>
        <v>0</v>
      </c>
      <c r="W58" s="197">
        <f t="shared" si="10"/>
        <v>0</v>
      </c>
      <c r="X58" s="197">
        <f t="shared" si="10"/>
        <v>0</v>
      </c>
      <c r="Y58" s="197">
        <f t="shared" si="10"/>
        <v>0</v>
      </c>
      <c r="Z58" s="197">
        <f t="shared" si="10"/>
        <v>0</v>
      </c>
      <c r="AA58" s="197">
        <f t="shared" si="10"/>
        <v>0</v>
      </c>
      <c r="AB58" s="197">
        <f t="shared" si="10"/>
        <v>0</v>
      </c>
      <c r="AC58" s="197">
        <f t="shared" si="10"/>
        <v>0</v>
      </c>
      <c r="AD58" s="197">
        <f t="shared" si="10"/>
        <v>0</v>
      </c>
      <c r="AE58" s="197">
        <f t="shared" si="10"/>
        <v>0</v>
      </c>
      <c r="AF58" s="197">
        <f t="shared" si="10"/>
        <v>0</v>
      </c>
      <c r="AG58" s="197">
        <f t="shared" si="10"/>
        <v>0</v>
      </c>
      <c r="AH58" s="172"/>
      <c r="AI58" s="172"/>
      <c r="AJ58" s="172"/>
      <c r="AK58" s="172"/>
      <c r="AL58" s="172"/>
      <c r="AM58" s="172"/>
      <c r="AN58" s="172"/>
      <c r="AO58" s="172"/>
      <c r="AP58" s="172"/>
      <c r="AQ58" s="172"/>
      <c r="AR58" s="172"/>
      <c r="AS58" s="172"/>
      <c r="AT58" s="172"/>
      <c r="AU58" s="172"/>
      <c r="AV58" s="172"/>
      <c r="AW58" s="172"/>
      <c r="AX58" s="172"/>
      <c r="AY58" s="172"/>
      <c r="AZ58" s="172"/>
      <c r="BA58" s="172"/>
      <c r="BB58" s="172"/>
      <c r="BC58" s="172"/>
      <c r="BD58" s="172"/>
      <c r="BE58" s="172"/>
      <c r="BF58" s="172"/>
      <c r="BG58" s="172"/>
      <c r="BH58" s="172"/>
      <c r="BI58" s="172"/>
      <c r="BJ58" s="172"/>
      <c r="BK58" s="172"/>
      <c r="BL58" s="172"/>
      <c r="BM58" s="172"/>
      <c r="BN58" s="172"/>
      <c r="BO58" s="172"/>
      <c r="BP58" s="172"/>
      <c r="BQ58" s="172"/>
      <c r="BR58" s="172"/>
      <c r="BS58" s="172"/>
      <c r="BT58" s="172"/>
      <c r="BU58" s="172"/>
      <c r="BV58" s="172"/>
      <c r="BW58" s="172"/>
      <c r="BX58" s="172"/>
      <c r="BY58" s="172"/>
      <c r="BZ58" s="172"/>
      <c r="CA58" s="172"/>
      <c r="CB58" s="172"/>
      <c r="CC58" s="172"/>
      <c r="CD58" s="172"/>
      <c r="CE58" s="172"/>
      <c r="CF58" s="172"/>
      <c r="CG58" s="172"/>
      <c r="CH58" s="172"/>
      <c r="CI58" s="172"/>
      <c r="CJ58" s="172"/>
      <c r="CK58" s="172"/>
      <c r="CL58" s="172"/>
      <c r="CM58" s="172"/>
      <c r="CN58" s="172"/>
      <c r="CO58" s="172"/>
      <c r="CP58" s="172"/>
      <c r="CQ58" s="172"/>
      <c r="CR58" s="172"/>
      <c r="CS58" s="172"/>
      <c r="CT58" s="172"/>
      <c r="CU58" s="172"/>
      <c r="CV58" s="172"/>
      <c r="CW58" s="172"/>
      <c r="CX58" s="172"/>
      <c r="CY58" s="172"/>
      <c r="CZ58" s="172"/>
      <c r="DA58" s="172"/>
      <c r="DB58" s="172"/>
      <c r="DC58" s="172"/>
      <c r="DD58" s="172"/>
      <c r="DE58" s="172"/>
      <c r="DF58" s="172"/>
      <c r="DG58" s="172"/>
      <c r="DH58" s="172"/>
      <c r="DI58" s="172"/>
      <c r="DJ58" s="172"/>
      <c r="DK58" s="172"/>
      <c r="DL58" s="172"/>
      <c r="DM58" s="172"/>
      <c r="DN58" s="172"/>
      <c r="DO58" s="172"/>
      <c r="DP58" s="172"/>
      <c r="DQ58" s="172"/>
      <c r="DR58" s="172"/>
      <c r="DS58" s="172"/>
      <c r="DT58" s="172"/>
      <c r="DU58" s="172"/>
      <c r="DV58" s="172"/>
      <c r="DW58" s="172"/>
      <c r="DX58" s="172"/>
      <c r="DY58" s="172"/>
      <c r="DZ58" s="172"/>
      <c r="EA58" s="172"/>
      <c r="EB58" s="172"/>
      <c r="EC58" s="172"/>
      <c r="ED58" s="172"/>
      <c r="EE58" s="172"/>
      <c r="EF58" s="172"/>
      <c r="EG58" s="172"/>
      <c r="EH58" s="172"/>
      <c r="EI58" s="172"/>
      <c r="EJ58" s="172"/>
      <c r="EK58" s="172"/>
      <c r="EL58" s="172"/>
      <c r="EM58" s="172"/>
      <c r="EN58" s="172"/>
      <c r="EO58" s="172"/>
      <c r="EP58" s="172"/>
      <c r="EQ58" s="172"/>
      <c r="ER58" s="172"/>
      <c r="ES58" s="172"/>
      <c r="ET58" s="172"/>
      <c r="EU58" s="172"/>
      <c r="EV58" s="172"/>
      <c r="EW58" s="172"/>
      <c r="EX58" s="172"/>
      <c r="EY58" s="172"/>
      <c r="EZ58" s="172"/>
      <c r="FA58" s="172"/>
      <c r="FB58" s="172"/>
      <c r="FC58" s="172"/>
      <c r="FD58" s="172"/>
      <c r="FE58" s="172"/>
      <c r="FF58" s="172"/>
      <c r="FG58" s="172"/>
      <c r="FH58" s="172"/>
      <c r="FI58" s="172"/>
      <c r="FJ58" s="172"/>
      <c r="FK58" s="172"/>
      <c r="FL58" s="172"/>
      <c r="FM58" s="172"/>
      <c r="FN58" s="172"/>
      <c r="FO58" s="172"/>
      <c r="FP58" s="172"/>
      <c r="FQ58" s="172"/>
      <c r="FR58" s="172"/>
      <c r="FS58" s="172"/>
      <c r="FT58" s="172"/>
      <c r="FU58" s="172"/>
      <c r="FV58" s="172"/>
      <c r="FW58" s="172"/>
      <c r="FX58" s="172"/>
      <c r="FY58" s="172"/>
      <c r="FZ58" s="172"/>
      <c r="GA58" s="172"/>
      <c r="GB58" s="172"/>
      <c r="GC58" s="172"/>
    </row>
    <row r="59" spans="1:185" s="289" customFormat="1" ht="13">
      <c r="A59" s="683"/>
      <c r="B59" s="605" t="s">
        <v>2186</v>
      </c>
      <c r="C59" s="396">
        <f t="shared" si="9"/>
        <v>0</v>
      </c>
      <c r="D59" s="406">
        <v>1902758.54</v>
      </c>
      <c r="E59" s="407"/>
      <c r="F59" s="407"/>
      <c r="G59" s="407"/>
      <c r="H59" s="407"/>
      <c r="I59" s="407"/>
      <c r="J59" s="407"/>
      <c r="K59" s="408"/>
      <c r="L59" s="408"/>
      <c r="M59" s="408"/>
      <c r="N59" s="408"/>
      <c r="O59" s="408"/>
      <c r="P59" s="408"/>
      <c r="Q59" s="408"/>
      <c r="R59" s="408"/>
      <c r="S59" s="408"/>
      <c r="T59" s="408"/>
      <c r="U59" s="408"/>
      <c r="V59" s="408"/>
      <c r="W59" s="408"/>
      <c r="X59" s="408"/>
      <c r="Y59" s="408"/>
      <c r="Z59" s="408"/>
      <c r="AA59" s="408"/>
      <c r="AB59" s="408"/>
      <c r="AC59" s="408"/>
      <c r="AD59" s="408"/>
      <c r="AE59" s="408"/>
      <c r="AF59" s="408"/>
      <c r="AG59" s="408"/>
      <c r="AH59" s="172"/>
      <c r="AI59" s="172"/>
      <c r="AJ59" s="172"/>
      <c r="AK59" s="172"/>
      <c r="AL59" s="172"/>
      <c r="AM59" s="172"/>
      <c r="AN59" s="172"/>
      <c r="AO59" s="172"/>
      <c r="AP59" s="172"/>
      <c r="AQ59" s="172"/>
      <c r="AR59" s="172"/>
      <c r="AS59" s="172"/>
      <c r="AT59" s="172"/>
      <c r="AU59" s="172"/>
      <c r="AV59" s="172"/>
      <c r="AW59" s="172"/>
      <c r="AX59" s="172"/>
      <c r="AY59" s="172"/>
      <c r="AZ59" s="172"/>
      <c r="BA59" s="172"/>
      <c r="BB59" s="172"/>
      <c r="BC59" s="172"/>
      <c r="BD59" s="172"/>
      <c r="BE59" s="172"/>
      <c r="BF59" s="172"/>
      <c r="BG59" s="172"/>
      <c r="BH59" s="172"/>
      <c r="BI59" s="172"/>
      <c r="BJ59" s="172"/>
      <c r="BK59" s="172"/>
      <c r="BL59" s="172"/>
      <c r="BM59" s="172"/>
      <c r="BN59" s="172"/>
      <c r="BO59" s="172"/>
      <c r="BP59" s="172"/>
      <c r="BQ59" s="172"/>
      <c r="BR59" s="172"/>
      <c r="BS59" s="172"/>
      <c r="BT59" s="172"/>
      <c r="BU59" s="172"/>
      <c r="BV59" s="172"/>
      <c r="BW59" s="172"/>
      <c r="BX59" s="172"/>
      <c r="BY59" s="172"/>
      <c r="BZ59" s="172"/>
      <c r="CA59" s="172"/>
      <c r="CB59" s="172"/>
      <c r="CC59" s="172"/>
      <c r="CD59" s="172"/>
      <c r="CE59" s="172"/>
      <c r="CF59" s="172"/>
      <c r="CG59" s="172"/>
      <c r="CH59" s="172"/>
      <c r="CI59" s="172"/>
      <c r="CJ59" s="172"/>
      <c r="CK59" s="172"/>
      <c r="CL59" s="172"/>
      <c r="CM59" s="172"/>
      <c r="CN59" s="172"/>
      <c r="CO59" s="172"/>
      <c r="CP59" s="172"/>
      <c r="CQ59" s="172"/>
      <c r="CR59" s="172"/>
      <c r="CS59" s="172"/>
      <c r="CT59" s="172"/>
      <c r="CU59" s="172"/>
      <c r="CV59" s="172"/>
      <c r="CW59" s="172"/>
      <c r="CX59" s="172"/>
      <c r="CY59" s="172"/>
      <c r="CZ59" s="172"/>
      <c r="DA59" s="172"/>
      <c r="DB59" s="172"/>
      <c r="DC59" s="172"/>
      <c r="DD59" s="172"/>
      <c r="DE59" s="172"/>
      <c r="DF59" s="172"/>
      <c r="DG59" s="172"/>
      <c r="DH59" s="172"/>
      <c r="DI59" s="172"/>
      <c r="DJ59" s="172"/>
      <c r="DK59" s="172"/>
      <c r="DL59" s="172"/>
      <c r="DM59" s="172"/>
      <c r="DN59" s="172"/>
      <c r="DO59" s="172"/>
      <c r="DP59" s="172"/>
      <c r="DQ59" s="172"/>
      <c r="DR59" s="172"/>
      <c r="DS59" s="172"/>
      <c r="DT59" s="172"/>
      <c r="DU59" s="172"/>
      <c r="DV59" s="172"/>
      <c r="DW59" s="172"/>
      <c r="DX59" s="172"/>
      <c r="DY59" s="172"/>
      <c r="DZ59" s="172"/>
      <c r="EA59" s="172"/>
      <c r="EB59" s="172"/>
      <c r="EC59" s="172"/>
      <c r="ED59" s="172"/>
      <c r="EE59" s="172"/>
      <c r="EF59" s="172"/>
      <c r="EG59" s="172"/>
      <c r="EH59" s="172"/>
      <c r="EI59" s="172"/>
      <c r="EJ59" s="172"/>
      <c r="EK59" s="172"/>
      <c r="EL59" s="172"/>
      <c r="EM59" s="172"/>
      <c r="EN59" s="172"/>
      <c r="EO59" s="172"/>
      <c r="EP59" s="172"/>
      <c r="EQ59" s="172"/>
      <c r="ER59" s="172"/>
      <c r="ES59" s="172"/>
      <c r="ET59" s="172"/>
      <c r="EU59" s="172"/>
      <c r="EV59" s="172"/>
      <c r="EW59" s="172"/>
      <c r="EX59" s="172"/>
      <c r="EY59" s="172"/>
      <c r="EZ59" s="172"/>
      <c r="FA59" s="172"/>
      <c r="FB59" s="172"/>
      <c r="FC59" s="172"/>
      <c r="FD59" s="172"/>
      <c r="FE59" s="172"/>
      <c r="FF59" s="172"/>
      <c r="FG59" s="172"/>
      <c r="FH59" s="172"/>
      <c r="FI59" s="172"/>
      <c r="FJ59" s="172"/>
      <c r="FK59" s="172"/>
      <c r="FL59" s="172"/>
      <c r="FM59" s="172"/>
      <c r="FN59" s="172"/>
      <c r="FO59" s="172"/>
      <c r="FP59" s="172"/>
      <c r="FQ59" s="172"/>
      <c r="FR59" s="172"/>
      <c r="FS59" s="172"/>
      <c r="FT59" s="172"/>
      <c r="FU59" s="172"/>
      <c r="FV59" s="172"/>
      <c r="FW59" s="172"/>
      <c r="FX59" s="172"/>
      <c r="FY59" s="172"/>
      <c r="FZ59" s="172"/>
      <c r="GA59" s="172"/>
      <c r="GB59" s="172"/>
      <c r="GC59" s="172"/>
    </row>
    <row r="60" spans="1:185" s="289" customFormat="1" ht="13">
      <c r="A60" s="683"/>
      <c r="B60" s="563" t="s">
        <v>2445</v>
      </c>
      <c r="C60" s="472" t="str">
        <f t="shared" ref="C60:AG60" si="11">IF(ISNUMBER(C56/C54*1000),C56/C54*1000,"")</f>
        <v/>
      </c>
      <c r="D60" s="473">
        <f t="shared" si="11"/>
        <v>100.9484794893463</v>
      </c>
      <c r="E60" s="472" t="str">
        <f t="shared" si="11"/>
        <v/>
      </c>
      <c r="F60" s="472" t="str">
        <f t="shared" si="11"/>
        <v/>
      </c>
      <c r="G60" s="472" t="str">
        <f t="shared" si="11"/>
        <v/>
      </c>
      <c r="H60" s="472" t="str">
        <f t="shared" si="11"/>
        <v/>
      </c>
      <c r="I60" s="472" t="str">
        <f t="shared" si="11"/>
        <v/>
      </c>
      <c r="J60" s="472" t="str">
        <f t="shared" si="11"/>
        <v/>
      </c>
      <c r="K60" s="478" t="str">
        <f t="shared" si="11"/>
        <v/>
      </c>
      <c r="L60" s="478" t="str">
        <f t="shared" si="11"/>
        <v/>
      </c>
      <c r="M60" s="478" t="str">
        <f t="shared" si="11"/>
        <v/>
      </c>
      <c r="N60" s="478" t="str">
        <f t="shared" si="11"/>
        <v/>
      </c>
      <c r="O60" s="478" t="str">
        <f t="shared" si="11"/>
        <v/>
      </c>
      <c r="P60" s="478" t="str">
        <f t="shared" si="11"/>
        <v/>
      </c>
      <c r="Q60" s="478" t="str">
        <f t="shared" si="11"/>
        <v/>
      </c>
      <c r="R60" s="478" t="str">
        <f t="shared" si="11"/>
        <v/>
      </c>
      <c r="S60" s="478" t="str">
        <f t="shared" si="11"/>
        <v/>
      </c>
      <c r="T60" s="478" t="str">
        <f t="shared" si="11"/>
        <v/>
      </c>
      <c r="U60" s="478" t="str">
        <f t="shared" si="11"/>
        <v/>
      </c>
      <c r="V60" s="478" t="str">
        <f t="shared" si="11"/>
        <v/>
      </c>
      <c r="W60" s="478" t="str">
        <f t="shared" si="11"/>
        <v/>
      </c>
      <c r="X60" s="478" t="str">
        <f t="shared" si="11"/>
        <v/>
      </c>
      <c r="Y60" s="478" t="str">
        <f t="shared" si="11"/>
        <v/>
      </c>
      <c r="Z60" s="478" t="str">
        <f t="shared" si="11"/>
        <v/>
      </c>
      <c r="AA60" s="478" t="str">
        <f t="shared" si="11"/>
        <v/>
      </c>
      <c r="AB60" s="478" t="str">
        <f t="shared" si="11"/>
        <v/>
      </c>
      <c r="AC60" s="478" t="str">
        <f t="shared" si="11"/>
        <v/>
      </c>
      <c r="AD60" s="478" t="str">
        <f t="shared" si="11"/>
        <v/>
      </c>
      <c r="AE60" s="478" t="str">
        <f t="shared" si="11"/>
        <v/>
      </c>
      <c r="AF60" s="478" t="str">
        <f t="shared" si="11"/>
        <v/>
      </c>
      <c r="AG60" s="478" t="str">
        <f t="shared" si="11"/>
        <v/>
      </c>
      <c r="AH60" s="172"/>
      <c r="AI60" s="172"/>
      <c r="AJ60" s="172"/>
      <c r="AK60" s="172"/>
      <c r="AL60" s="172"/>
      <c r="AM60" s="172"/>
      <c r="AN60" s="172"/>
      <c r="AO60" s="172"/>
      <c r="AP60" s="172"/>
      <c r="AQ60" s="172"/>
      <c r="AR60" s="172"/>
      <c r="AS60" s="172"/>
      <c r="AT60" s="172"/>
      <c r="AU60" s="172"/>
      <c r="AV60" s="172"/>
      <c r="AW60" s="172"/>
      <c r="AX60" s="172"/>
      <c r="AY60" s="172"/>
      <c r="AZ60" s="172"/>
      <c r="BA60" s="172"/>
      <c r="BB60" s="172"/>
      <c r="BC60" s="172"/>
      <c r="BD60" s="172"/>
      <c r="BE60" s="172"/>
      <c r="BF60" s="172"/>
      <c r="BG60" s="172"/>
      <c r="BH60" s="172"/>
      <c r="BI60" s="172"/>
      <c r="BJ60" s="172"/>
      <c r="BK60" s="172"/>
      <c r="BL60" s="172"/>
      <c r="BM60" s="172"/>
      <c r="BN60" s="172"/>
      <c r="BO60" s="172"/>
      <c r="BP60" s="172"/>
      <c r="BQ60" s="172"/>
      <c r="BR60" s="172"/>
      <c r="BS60" s="172"/>
      <c r="BT60" s="172"/>
      <c r="BU60" s="172"/>
      <c r="BV60" s="172"/>
      <c r="BW60" s="172"/>
      <c r="BX60" s="172"/>
      <c r="BY60" s="172"/>
      <c r="BZ60" s="172"/>
      <c r="CA60" s="172"/>
      <c r="CB60" s="172"/>
      <c r="CC60" s="172"/>
      <c r="CD60" s="172"/>
      <c r="CE60" s="172"/>
      <c r="CF60" s="172"/>
      <c r="CG60" s="172"/>
      <c r="CH60" s="172"/>
      <c r="CI60" s="172"/>
      <c r="CJ60" s="172"/>
      <c r="CK60" s="172"/>
      <c r="CL60" s="172"/>
      <c r="CM60" s="172"/>
      <c r="CN60" s="172"/>
      <c r="CO60" s="172"/>
      <c r="CP60" s="172"/>
      <c r="CQ60" s="172"/>
      <c r="CR60" s="172"/>
      <c r="CS60" s="172"/>
      <c r="CT60" s="172"/>
      <c r="CU60" s="172"/>
      <c r="CV60" s="172"/>
      <c r="CW60" s="172"/>
      <c r="CX60" s="172"/>
      <c r="CY60" s="172"/>
      <c r="CZ60" s="172"/>
      <c r="DA60" s="172"/>
      <c r="DB60" s="172"/>
      <c r="DC60" s="172"/>
      <c r="DD60" s="172"/>
      <c r="DE60" s="172"/>
      <c r="DF60" s="172"/>
      <c r="DG60" s="172"/>
      <c r="DH60" s="172"/>
      <c r="DI60" s="172"/>
      <c r="DJ60" s="172"/>
      <c r="DK60" s="172"/>
      <c r="DL60" s="172"/>
      <c r="DM60" s="172"/>
      <c r="DN60" s="172"/>
      <c r="DO60" s="172"/>
      <c r="DP60" s="172"/>
      <c r="DQ60" s="172"/>
      <c r="DR60" s="172"/>
      <c r="DS60" s="172"/>
      <c r="DT60" s="172"/>
      <c r="DU60" s="172"/>
      <c r="DV60" s="172"/>
      <c r="DW60" s="172"/>
      <c r="DX60" s="172"/>
      <c r="DY60" s="172"/>
      <c r="DZ60" s="172"/>
      <c r="EA60" s="172"/>
      <c r="EB60" s="172"/>
      <c r="EC60" s="172"/>
      <c r="ED60" s="172"/>
      <c r="EE60" s="172"/>
      <c r="EF60" s="172"/>
      <c r="EG60" s="172"/>
      <c r="EH60" s="172"/>
      <c r="EI60" s="172"/>
      <c r="EJ60" s="172"/>
      <c r="EK60" s="172"/>
      <c r="EL60" s="172"/>
      <c r="EM60" s="172"/>
      <c r="EN60" s="172"/>
      <c r="EO60" s="172"/>
      <c r="EP60" s="172"/>
      <c r="EQ60" s="172"/>
      <c r="ER60" s="172"/>
      <c r="ES60" s="172"/>
      <c r="ET60" s="172"/>
      <c r="EU60" s="172"/>
      <c r="EV60" s="172"/>
      <c r="EW60" s="172"/>
      <c r="EX60" s="172"/>
      <c r="EY60" s="172"/>
      <c r="EZ60" s="172"/>
      <c r="FA60" s="172"/>
      <c r="FB60" s="172"/>
      <c r="FC60" s="172"/>
      <c r="FD60" s="172"/>
      <c r="FE60" s="172"/>
      <c r="FF60" s="172"/>
      <c r="FG60" s="172"/>
      <c r="FH60" s="172"/>
      <c r="FI60" s="172"/>
      <c r="FJ60" s="172"/>
      <c r="FK60" s="172"/>
      <c r="FL60" s="172"/>
      <c r="FM60" s="172"/>
      <c r="FN60" s="172"/>
      <c r="FO60" s="172"/>
      <c r="FP60" s="172"/>
      <c r="FQ60" s="172"/>
      <c r="FR60" s="172"/>
      <c r="FS60" s="172"/>
      <c r="FT60" s="172"/>
      <c r="FU60" s="172"/>
      <c r="FV60" s="172"/>
      <c r="FW60" s="172"/>
      <c r="FX60" s="172"/>
      <c r="FY60" s="172"/>
      <c r="FZ60" s="172"/>
      <c r="GA60" s="172"/>
      <c r="GB60" s="172"/>
      <c r="GC60" s="172"/>
    </row>
    <row r="61" spans="1:185" s="289" customFormat="1" ht="13">
      <c r="A61" s="683"/>
      <c r="B61" s="564" t="s">
        <v>2387</v>
      </c>
      <c r="C61" s="474" t="str">
        <f>IF(ISNUMBER(C54/C55),(C54/C55),"")</f>
        <v/>
      </c>
      <c r="D61" s="475">
        <f>IF(ISNUMBER(D54/D55),(D54/D55),"")</f>
        <v>0.80520826020127101</v>
      </c>
      <c r="E61" s="474" t="str">
        <f>IF(ISNUMBER(E54/E55),(E54/E55),"")</f>
        <v/>
      </c>
      <c r="F61" s="474" t="str">
        <f t="shared" ref="F61:AG61" si="12">IF(ISNUMBER(F54/F55),(F54/F55),"")</f>
        <v/>
      </c>
      <c r="G61" s="474" t="str">
        <f t="shared" si="12"/>
        <v/>
      </c>
      <c r="H61" s="474" t="str">
        <f t="shared" si="12"/>
        <v/>
      </c>
      <c r="I61" s="474" t="str">
        <f t="shared" si="12"/>
        <v/>
      </c>
      <c r="J61" s="474" t="str">
        <f t="shared" si="12"/>
        <v/>
      </c>
      <c r="K61" s="474" t="str">
        <f t="shared" si="12"/>
        <v/>
      </c>
      <c r="L61" s="474" t="str">
        <f t="shared" si="12"/>
        <v/>
      </c>
      <c r="M61" s="474" t="str">
        <f t="shared" si="12"/>
        <v/>
      </c>
      <c r="N61" s="474" t="str">
        <f t="shared" si="12"/>
        <v/>
      </c>
      <c r="O61" s="474" t="str">
        <f t="shared" si="12"/>
        <v/>
      </c>
      <c r="P61" s="474" t="str">
        <f t="shared" si="12"/>
        <v/>
      </c>
      <c r="Q61" s="474" t="str">
        <f t="shared" si="12"/>
        <v/>
      </c>
      <c r="R61" s="474" t="str">
        <f t="shared" si="12"/>
        <v/>
      </c>
      <c r="S61" s="474" t="str">
        <f t="shared" si="12"/>
        <v/>
      </c>
      <c r="T61" s="474" t="str">
        <f t="shared" si="12"/>
        <v/>
      </c>
      <c r="U61" s="474" t="str">
        <f t="shared" si="12"/>
        <v/>
      </c>
      <c r="V61" s="474" t="str">
        <f t="shared" si="12"/>
        <v/>
      </c>
      <c r="W61" s="474" t="str">
        <f t="shared" si="12"/>
        <v/>
      </c>
      <c r="X61" s="474" t="str">
        <f t="shared" si="12"/>
        <v/>
      </c>
      <c r="Y61" s="474" t="str">
        <f t="shared" si="12"/>
        <v/>
      </c>
      <c r="Z61" s="474" t="str">
        <f t="shared" si="12"/>
        <v/>
      </c>
      <c r="AA61" s="474" t="str">
        <f t="shared" si="12"/>
        <v/>
      </c>
      <c r="AB61" s="474" t="str">
        <f t="shared" si="12"/>
        <v/>
      </c>
      <c r="AC61" s="474" t="str">
        <f t="shared" si="12"/>
        <v/>
      </c>
      <c r="AD61" s="474" t="str">
        <f t="shared" si="12"/>
        <v/>
      </c>
      <c r="AE61" s="474" t="str">
        <f t="shared" si="12"/>
        <v/>
      </c>
      <c r="AF61" s="474" t="str">
        <f t="shared" si="12"/>
        <v/>
      </c>
      <c r="AG61" s="474" t="str">
        <f t="shared" si="12"/>
        <v/>
      </c>
      <c r="AH61" s="172"/>
      <c r="AI61" s="172"/>
      <c r="AJ61" s="172"/>
      <c r="AK61" s="172"/>
      <c r="AL61" s="172"/>
      <c r="AM61" s="172"/>
      <c r="AN61" s="172"/>
      <c r="AO61" s="172"/>
      <c r="AP61" s="172"/>
      <c r="AQ61" s="172"/>
      <c r="AR61" s="172"/>
      <c r="AS61" s="172"/>
      <c r="AT61" s="172"/>
      <c r="AU61" s="172"/>
      <c r="AV61" s="172"/>
      <c r="AW61" s="172"/>
      <c r="AX61" s="172"/>
      <c r="AY61" s="172"/>
      <c r="AZ61" s="172"/>
      <c r="BA61" s="172"/>
      <c r="BB61" s="172"/>
      <c r="BC61" s="172"/>
      <c r="BD61" s="172"/>
      <c r="BE61" s="172"/>
      <c r="BF61" s="172"/>
      <c r="BG61" s="172"/>
      <c r="BH61" s="172"/>
      <c r="BI61" s="172"/>
      <c r="BJ61" s="172"/>
      <c r="BK61" s="172"/>
      <c r="BL61" s="172"/>
      <c r="BM61" s="172"/>
      <c r="BN61" s="172"/>
      <c r="BO61" s="172"/>
      <c r="BP61" s="172"/>
      <c r="BQ61" s="172"/>
      <c r="BR61" s="172"/>
      <c r="BS61" s="172"/>
      <c r="BT61" s="172"/>
      <c r="BU61" s="172"/>
      <c r="BV61" s="172"/>
      <c r="BW61" s="172"/>
      <c r="BX61" s="172"/>
      <c r="BY61" s="172"/>
      <c r="BZ61" s="172"/>
      <c r="CA61" s="172"/>
      <c r="CB61" s="172"/>
      <c r="CC61" s="172"/>
      <c r="CD61" s="172"/>
      <c r="CE61" s="172"/>
      <c r="CF61" s="172"/>
      <c r="CG61" s="172"/>
      <c r="CH61" s="172"/>
      <c r="CI61" s="172"/>
      <c r="CJ61" s="172"/>
      <c r="CK61" s="172"/>
      <c r="CL61" s="172"/>
      <c r="CM61" s="172"/>
      <c r="CN61" s="172"/>
      <c r="CO61" s="172"/>
      <c r="CP61" s="172"/>
      <c r="CQ61" s="172"/>
      <c r="CR61" s="172"/>
      <c r="CS61" s="172"/>
      <c r="CT61" s="172"/>
      <c r="CU61" s="172"/>
      <c r="CV61" s="172"/>
      <c r="CW61" s="172"/>
      <c r="CX61" s="172"/>
      <c r="CY61" s="172"/>
      <c r="CZ61" s="172"/>
      <c r="DA61" s="172"/>
      <c r="DB61" s="172"/>
      <c r="DC61" s="172"/>
      <c r="DD61" s="172"/>
      <c r="DE61" s="172"/>
      <c r="DF61" s="172"/>
      <c r="DG61" s="172"/>
      <c r="DH61" s="172"/>
      <c r="DI61" s="172"/>
      <c r="DJ61" s="172"/>
      <c r="DK61" s="172"/>
      <c r="DL61" s="172"/>
      <c r="DM61" s="172"/>
      <c r="DN61" s="172"/>
      <c r="DO61" s="172"/>
      <c r="DP61" s="172"/>
      <c r="DQ61" s="172"/>
      <c r="DR61" s="172"/>
      <c r="DS61" s="172"/>
      <c r="DT61" s="172"/>
      <c r="DU61" s="172"/>
      <c r="DV61" s="172"/>
      <c r="DW61" s="172"/>
      <c r="DX61" s="172"/>
      <c r="DY61" s="172"/>
      <c r="DZ61" s="172"/>
      <c r="EA61" s="172"/>
      <c r="EB61" s="172"/>
      <c r="EC61" s="172"/>
      <c r="ED61" s="172"/>
      <c r="EE61" s="172"/>
      <c r="EF61" s="172"/>
      <c r="EG61" s="172"/>
      <c r="EH61" s="172"/>
      <c r="EI61" s="172"/>
      <c r="EJ61" s="172"/>
      <c r="EK61" s="172"/>
      <c r="EL61" s="172"/>
      <c r="EM61" s="172"/>
      <c r="EN61" s="172"/>
      <c r="EO61" s="172"/>
      <c r="EP61" s="172"/>
      <c r="EQ61" s="172"/>
      <c r="ER61" s="172"/>
      <c r="ES61" s="172"/>
      <c r="ET61" s="172"/>
      <c r="EU61" s="172"/>
      <c r="EV61" s="172"/>
      <c r="EW61" s="172"/>
      <c r="EX61" s="172"/>
      <c r="EY61" s="172"/>
      <c r="EZ61" s="172"/>
      <c r="FA61" s="172"/>
      <c r="FB61" s="172"/>
      <c r="FC61" s="172"/>
      <c r="FD61" s="172"/>
      <c r="FE61" s="172"/>
      <c r="FF61" s="172"/>
      <c r="FG61" s="172"/>
      <c r="FH61" s="172"/>
      <c r="FI61" s="172"/>
      <c r="FJ61" s="172"/>
      <c r="FK61" s="172"/>
      <c r="FL61" s="172"/>
      <c r="FM61" s="172"/>
      <c r="FN61" s="172"/>
      <c r="FO61" s="172"/>
      <c r="FP61" s="172"/>
      <c r="FQ61" s="172"/>
      <c r="FR61" s="172"/>
      <c r="FS61" s="172"/>
      <c r="FT61" s="172"/>
      <c r="FU61" s="172"/>
      <c r="FV61" s="172"/>
      <c r="FW61" s="172"/>
      <c r="FX61" s="172"/>
      <c r="FY61" s="172"/>
      <c r="FZ61" s="172"/>
      <c r="GA61" s="172"/>
      <c r="GB61" s="172"/>
      <c r="GC61" s="172"/>
    </row>
    <row r="62" spans="1:185" s="289" customFormat="1" ht="13">
      <c r="A62" s="683"/>
      <c r="B62" s="565" t="s">
        <v>2388</v>
      </c>
      <c r="C62" s="476" t="str">
        <f>IF(ISNUMBER(C58/C59),(C58/C59),"")</f>
        <v/>
      </c>
      <c r="D62" s="477">
        <f t="shared" ref="D62:AG62" si="13">IF(ISNUMBER(D58/D59),(D58/D59),"")</f>
        <v>0.7391179545040959</v>
      </c>
      <c r="E62" s="476" t="str">
        <f t="shared" si="13"/>
        <v/>
      </c>
      <c r="F62" s="476" t="str">
        <f t="shared" si="13"/>
        <v/>
      </c>
      <c r="G62" s="476" t="str">
        <f t="shared" si="13"/>
        <v/>
      </c>
      <c r="H62" s="476" t="str">
        <f t="shared" si="13"/>
        <v/>
      </c>
      <c r="I62" s="476" t="str">
        <f t="shared" si="13"/>
        <v/>
      </c>
      <c r="J62" s="476" t="str">
        <f t="shared" si="13"/>
        <v/>
      </c>
      <c r="K62" s="476" t="str">
        <f t="shared" si="13"/>
        <v/>
      </c>
      <c r="L62" s="476" t="str">
        <f t="shared" si="13"/>
        <v/>
      </c>
      <c r="M62" s="476" t="str">
        <f t="shared" si="13"/>
        <v/>
      </c>
      <c r="N62" s="476" t="str">
        <f t="shared" si="13"/>
        <v/>
      </c>
      <c r="O62" s="476" t="str">
        <f t="shared" si="13"/>
        <v/>
      </c>
      <c r="P62" s="476" t="str">
        <f t="shared" si="13"/>
        <v/>
      </c>
      <c r="Q62" s="476" t="str">
        <f t="shared" si="13"/>
        <v/>
      </c>
      <c r="R62" s="476" t="str">
        <f t="shared" si="13"/>
        <v/>
      </c>
      <c r="S62" s="476" t="str">
        <f t="shared" si="13"/>
        <v/>
      </c>
      <c r="T62" s="476" t="str">
        <f t="shared" si="13"/>
        <v/>
      </c>
      <c r="U62" s="476" t="str">
        <f t="shared" si="13"/>
        <v/>
      </c>
      <c r="V62" s="476" t="str">
        <f t="shared" si="13"/>
        <v/>
      </c>
      <c r="W62" s="476" t="str">
        <f t="shared" si="13"/>
        <v/>
      </c>
      <c r="X62" s="476" t="str">
        <f t="shared" si="13"/>
        <v/>
      </c>
      <c r="Y62" s="476" t="str">
        <f t="shared" si="13"/>
        <v/>
      </c>
      <c r="Z62" s="476" t="str">
        <f t="shared" si="13"/>
        <v/>
      </c>
      <c r="AA62" s="476" t="str">
        <f t="shared" si="13"/>
        <v/>
      </c>
      <c r="AB62" s="476" t="str">
        <f t="shared" si="13"/>
        <v/>
      </c>
      <c r="AC62" s="476" t="str">
        <f t="shared" si="13"/>
        <v/>
      </c>
      <c r="AD62" s="476" t="str">
        <f t="shared" si="13"/>
        <v/>
      </c>
      <c r="AE62" s="476" t="str">
        <f t="shared" si="13"/>
        <v/>
      </c>
      <c r="AF62" s="476" t="str">
        <f t="shared" si="13"/>
        <v/>
      </c>
      <c r="AG62" s="476" t="str">
        <f t="shared" si="13"/>
        <v/>
      </c>
      <c r="AH62" s="172"/>
      <c r="AI62" s="172"/>
      <c r="AJ62" s="172"/>
      <c r="AK62" s="172"/>
      <c r="AL62" s="172"/>
      <c r="AM62" s="172"/>
      <c r="AN62" s="172"/>
      <c r="AO62" s="172"/>
      <c r="AP62" s="172"/>
      <c r="AQ62" s="172"/>
      <c r="AR62" s="172"/>
      <c r="AS62" s="172"/>
      <c r="AT62" s="172"/>
      <c r="AU62" s="172"/>
      <c r="AV62" s="172"/>
      <c r="AW62" s="172"/>
      <c r="AX62" s="172"/>
      <c r="AY62" s="172"/>
      <c r="AZ62" s="172"/>
      <c r="BA62" s="172"/>
      <c r="BB62" s="172"/>
      <c r="BC62" s="172"/>
      <c r="BD62" s="172"/>
      <c r="BE62" s="172"/>
      <c r="BF62" s="172"/>
      <c r="BG62" s="172"/>
      <c r="BH62" s="172"/>
      <c r="BI62" s="172"/>
      <c r="BJ62" s="172"/>
      <c r="BK62" s="172"/>
      <c r="BL62" s="172"/>
      <c r="BM62" s="172"/>
      <c r="BN62" s="172"/>
      <c r="BO62" s="172"/>
      <c r="BP62" s="172"/>
      <c r="BQ62" s="172"/>
      <c r="BR62" s="172"/>
      <c r="BS62" s="172"/>
      <c r="BT62" s="172"/>
      <c r="BU62" s="172"/>
      <c r="BV62" s="172"/>
      <c r="BW62" s="172"/>
      <c r="BX62" s="172"/>
      <c r="BY62" s="172"/>
      <c r="BZ62" s="172"/>
      <c r="CA62" s="172"/>
      <c r="CB62" s="172"/>
      <c r="CC62" s="172"/>
      <c r="CD62" s="172"/>
      <c r="CE62" s="172"/>
      <c r="CF62" s="172"/>
      <c r="CG62" s="172"/>
      <c r="CH62" s="172"/>
      <c r="CI62" s="172"/>
      <c r="CJ62" s="172"/>
      <c r="CK62" s="172"/>
      <c r="CL62" s="172"/>
      <c r="CM62" s="172"/>
      <c r="CN62" s="172"/>
      <c r="CO62" s="172"/>
      <c r="CP62" s="172"/>
      <c r="CQ62" s="172"/>
      <c r="CR62" s="172"/>
      <c r="CS62" s="172"/>
      <c r="CT62" s="172"/>
      <c r="CU62" s="172"/>
      <c r="CV62" s="172"/>
      <c r="CW62" s="172"/>
      <c r="CX62" s="172"/>
      <c r="CY62" s="172"/>
      <c r="CZ62" s="172"/>
      <c r="DA62" s="172"/>
      <c r="DB62" s="172"/>
      <c r="DC62" s="172"/>
      <c r="DD62" s="172"/>
      <c r="DE62" s="172"/>
      <c r="DF62" s="172"/>
      <c r="DG62" s="172"/>
      <c r="DH62" s="172"/>
      <c r="DI62" s="172"/>
      <c r="DJ62" s="172"/>
      <c r="DK62" s="172"/>
      <c r="DL62" s="172"/>
      <c r="DM62" s="172"/>
      <c r="DN62" s="172"/>
      <c r="DO62" s="172"/>
      <c r="DP62" s="172"/>
      <c r="DQ62" s="172"/>
      <c r="DR62" s="172"/>
      <c r="DS62" s="172"/>
      <c r="DT62" s="172"/>
      <c r="DU62" s="172"/>
      <c r="DV62" s="172"/>
      <c r="DW62" s="172"/>
      <c r="DX62" s="172"/>
      <c r="DY62" s="172"/>
      <c r="DZ62" s="172"/>
      <c r="EA62" s="172"/>
      <c r="EB62" s="172"/>
      <c r="EC62" s="172"/>
      <c r="ED62" s="172"/>
      <c r="EE62" s="172"/>
      <c r="EF62" s="172"/>
      <c r="EG62" s="172"/>
      <c r="EH62" s="172"/>
      <c r="EI62" s="172"/>
      <c r="EJ62" s="172"/>
      <c r="EK62" s="172"/>
      <c r="EL62" s="172"/>
      <c r="EM62" s="172"/>
      <c r="EN62" s="172"/>
      <c r="EO62" s="172"/>
      <c r="EP62" s="172"/>
      <c r="EQ62" s="172"/>
      <c r="ER62" s="172"/>
      <c r="ES62" s="172"/>
      <c r="ET62" s="172"/>
      <c r="EU62" s="172"/>
      <c r="EV62" s="172"/>
      <c r="EW62" s="172"/>
      <c r="EX62" s="172"/>
      <c r="EY62" s="172"/>
      <c r="EZ62" s="172"/>
      <c r="FA62" s="172"/>
      <c r="FB62" s="172"/>
      <c r="FC62" s="172"/>
      <c r="FD62" s="172"/>
      <c r="FE62" s="172"/>
      <c r="FF62" s="172"/>
      <c r="FG62" s="172"/>
      <c r="FH62" s="172"/>
      <c r="FI62" s="172"/>
      <c r="FJ62" s="172"/>
      <c r="FK62" s="172"/>
      <c r="FL62" s="172"/>
      <c r="FM62" s="172"/>
      <c r="FN62" s="172"/>
      <c r="FO62" s="172"/>
      <c r="FP62" s="172"/>
      <c r="FQ62" s="172"/>
      <c r="FR62" s="172"/>
      <c r="FS62" s="172"/>
      <c r="FT62" s="172"/>
      <c r="FU62" s="172"/>
      <c r="FV62" s="172"/>
      <c r="FW62" s="172"/>
      <c r="FX62" s="172"/>
      <c r="FY62" s="172"/>
      <c r="FZ62" s="172"/>
      <c r="GA62" s="172"/>
      <c r="GB62" s="172"/>
      <c r="GC62" s="172"/>
    </row>
    <row r="63" spans="1:185" s="180" customFormat="1" ht="13">
      <c r="A63" s="290"/>
      <c r="B63" s="290"/>
      <c r="C63" s="290"/>
      <c r="D63" s="290"/>
      <c r="E63" s="290"/>
      <c r="F63" s="290"/>
      <c r="G63" s="290"/>
      <c r="H63" s="290"/>
      <c r="I63" s="290"/>
      <c r="J63" s="290"/>
      <c r="K63" s="290"/>
      <c r="L63" s="290"/>
      <c r="M63" s="290"/>
      <c r="N63" s="290"/>
      <c r="O63" s="290"/>
      <c r="P63" s="290"/>
      <c r="Q63" s="290"/>
      <c r="R63" s="290"/>
      <c r="S63" s="290"/>
      <c r="T63" s="290"/>
      <c r="U63" s="290"/>
      <c r="V63" s="290"/>
      <c r="W63" s="290"/>
      <c r="X63" s="290"/>
      <c r="Y63" s="290"/>
      <c r="Z63" s="290"/>
      <c r="AA63" s="290"/>
      <c r="AB63" s="290"/>
      <c r="AC63" s="290"/>
      <c r="AD63" s="290"/>
      <c r="AE63" s="290"/>
      <c r="AF63" s="290"/>
      <c r="AG63" s="290"/>
      <c r="AH63" s="170"/>
      <c r="AI63" s="170"/>
      <c r="AJ63" s="170"/>
      <c r="AK63" s="170"/>
      <c r="AL63" s="170"/>
      <c r="AM63" s="170"/>
      <c r="AN63" s="170"/>
      <c r="AO63" s="170"/>
      <c r="AP63" s="170"/>
      <c r="AQ63" s="170"/>
      <c r="AR63" s="170"/>
      <c r="AS63" s="170"/>
      <c r="AT63" s="170"/>
      <c r="AU63" s="170"/>
      <c r="AV63" s="170"/>
      <c r="AW63" s="170"/>
      <c r="AX63" s="170"/>
      <c r="AY63" s="170"/>
      <c r="AZ63" s="170"/>
      <c r="BA63" s="170"/>
      <c r="BB63" s="170"/>
      <c r="BC63" s="170"/>
      <c r="BD63" s="170"/>
      <c r="BE63" s="170"/>
      <c r="BF63" s="170"/>
      <c r="BG63" s="170"/>
      <c r="BH63" s="170"/>
      <c r="BI63" s="170"/>
      <c r="BJ63" s="170"/>
      <c r="BK63" s="170"/>
      <c r="BL63" s="170"/>
      <c r="BM63" s="170"/>
      <c r="BN63" s="170"/>
      <c r="BO63" s="170"/>
      <c r="BP63" s="170"/>
      <c r="BQ63" s="170"/>
      <c r="BR63" s="170"/>
      <c r="BS63" s="170"/>
      <c r="BT63" s="170"/>
      <c r="BU63" s="170"/>
      <c r="BV63" s="170"/>
      <c r="BW63" s="170"/>
      <c r="BX63" s="170"/>
      <c r="BY63" s="170"/>
      <c r="BZ63" s="170"/>
      <c r="CA63" s="170"/>
      <c r="CB63" s="170"/>
      <c r="CC63" s="170"/>
      <c r="CD63" s="170"/>
      <c r="CE63" s="170"/>
      <c r="CF63" s="170"/>
      <c r="CG63" s="170"/>
      <c r="CH63" s="170"/>
      <c r="CI63" s="170"/>
      <c r="CJ63" s="170"/>
      <c r="CK63" s="170"/>
      <c r="CL63" s="170"/>
      <c r="CM63" s="170"/>
      <c r="CN63" s="170"/>
      <c r="CO63" s="170"/>
      <c r="CP63" s="170"/>
      <c r="CQ63" s="170"/>
      <c r="CR63" s="170"/>
      <c r="CS63" s="170"/>
      <c r="CT63" s="170"/>
      <c r="CU63" s="170"/>
      <c r="CV63" s="170"/>
      <c r="CW63" s="170"/>
      <c r="CX63" s="170"/>
      <c r="CY63" s="170"/>
      <c r="CZ63" s="170"/>
      <c r="DA63" s="170"/>
      <c r="DB63" s="170"/>
      <c r="DC63" s="170"/>
      <c r="DD63" s="170"/>
      <c r="DE63" s="170"/>
      <c r="DF63" s="170"/>
      <c r="DG63" s="170"/>
      <c r="DH63" s="170"/>
      <c r="DI63" s="170"/>
      <c r="DJ63" s="170"/>
      <c r="DK63" s="170"/>
      <c r="DL63" s="170"/>
      <c r="DM63" s="170"/>
      <c r="DN63" s="170"/>
      <c r="DO63" s="170"/>
      <c r="DP63" s="170"/>
      <c r="DQ63" s="170"/>
      <c r="DR63" s="170"/>
      <c r="DS63" s="170"/>
      <c r="DT63" s="170"/>
      <c r="DU63" s="170"/>
      <c r="DV63" s="170"/>
      <c r="DW63" s="170"/>
      <c r="DX63" s="170"/>
      <c r="DY63" s="170"/>
      <c r="DZ63" s="170"/>
      <c r="EA63" s="170"/>
      <c r="EB63" s="170"/>
      <c r="EC63" s="170"/>
      <c r="ED63" s="170"/>
      <c r="EE63" s="170"/>
      <c r="EF63" s="170"/>
      <c r="EG63" s="170"/>
      <c r="EH63" s="170"/>
      <c r="EI63" s="170"/>
      <c r="EJ63" s="170"/>
      <c r="EK63" s="170"/>
      <c r="EL63" s="170"/>
      <c r="EM63" s="170"/>
      <c r="EN63" s="170"/>
      <c r="EO63" s="170"/>
      <c r="EP63" s="170"/>
      <c r="EQ63" s="170"/>
      <c r="ER63" s="170"/>
      <c r="ES63" s="170"/>
      <c r="ET63" s="170"/>
      <c r="EU63" s="170"/>
      <c r="EV63" s="170"/>
      <c r="EW63" s="170"/>
      <c r="EX63" s="170"/>
      <c r="EY63" s="170"/>
      <c r="EZ63" s="170"/>
      <c r="FA63" s="170"/>
      <c r="FB63" s="170"/>
      <c r="FC63" s="170"/>
      <c r="FD63" s="170"/>
      <c r="FE63" s="170"/>
      <c r="FF63" s="170"/>
      <c r="FG63" s="170"/>
      <c r="FH63" s="170"/>
      <c r="FI63" s="170"/>
      <c r="FJ63" s="170"/>
      <c r="FK63" s="170"/>
      <c r="FL63" s="170"/>
      <c r="FM63" s="170"/>
      <c r="FN63" s="170"/>
      <c r="FO63" s="170"/>
      <c r="FP63" s="170"/>
      <c r="FQ63" s="170"/>
      <c r="FR63" s="170"/>
      <c r="FS63" s="170"/>
      <c r="FT63" s="170"/>
      <c r="FU63" s="170"/>
      <c r="FV63" s="170"/>
      <c r="FW63" s="170"/>
      <c r="FX63" s="170"/>
      <c r="FY63" s="170"/>
      <c r="FZ63" s="170"/>
      <c r="GA63" s="170"/>
      <c r="GB63" s="170"/>
      <c r="GC63" s="170"/>
    </row>
    <row r="64" spans="1:185" s="180" customFormat="1" ht="12.75" customHeight="1">
      <c r="A64" s="683" t="s">
        <v>2278</v>
      </c>
      <c r="B64" s="567" t="s">
        <v>2195</v>
      </c>
      <c r="C64" s="398">
        <f t="shared" ref="C64:C69" si="14">SUM(E64:AG64)</f>
        <v>0</v>
      </c>
      <c r="D64" s="399">
        <v>430401098</v>
      </c>
      <c r="E64" s="400"/>
      <c r="F64" s="400"/>
      <c r="G64" s="400"/>
      <c r="H64" s="400"/>
      <c r="I64" s="400"/>
      <c r="J64" s="400"/>
      <c r="K64" s="401"/>
      <c r="L64" s="401"/>
      <c r="M64" s="401"/>
      <c r="N64" s="401"/>
      <c r="O64" s="401"/>
      <c r="P64" s="401"/>
      <c r="Q64" s="401"/>
      <c r="R64" s="401"/>
      <c r="S64" s="401"/>
      <c r="T64" s="401"/>
      <c r="U64" s="401"/>
      <c r="V64" s="401"/>
      <c r="W64" s="401"/>
      <c r="X64" s="401"/>
      <c r="Y64" s="401"/>
      <c r="Z64" s="401"/>
      <c r="AA64" s="401"/>
      <c r="AB64" s="401"/>
      <c r="AC64" s="401"/>
      <c r="AD64" s="401"/>
      <c r="AE64" s="401"/>
      <c r="AF64" s="401"/>
      <c r="AG64" s="401"/>
      <c r="AH64" s="170"/>
      <c r="AI64" s="170"/>
      <c r="AJ64" s="170"/>
      <c r="AK64" s="170"/>
      <c r="AL64" s="170"/>
      <c r="AM64" s="170"/>
      <c r="AN64" s="170"/>
      <c r="AO64" s="170"/>
      <c r="AP64" s="170"/>
      <c r="AQ64" s="170"/>
      <c r="AR64" s="170"/>
      <c r="AS64" s="170"/>
      <c r="AT64" s="170"/>
      <c r="AU64" s="170"/>
      <c r="AV64" s="170"/>
      <c r="AW64" s="170"/>
      <c r="AX64" s="170"/>
      <c r="AY64" s="170"/>
      <c r="AZ64" s="170"/>
      <c r="BA64" s="170"/>
      <c r="BB64" s="170"/>
      <c r="BC64" s="170"/>
      <c r="BD64" s="170"/>
      <c r="BE64" s="170"/>
      <c r="BF64" s="170"/>
      <c r="BG64" s="170"/>
      <c r="BH64" s="170"/>
      <c r="BI64" s="170"/>
      <c r="BJ64" s="170"/>
      <c r="BK64" s="170"/>
      <c r="BL64" s="170"/>
      <c r="BM64" s="170"/>
      <c r="BN64" s="170"/>
      <c r="BO64" s="170"/>
      <c r="BP64" s="170"/>
      <c r="BQ64" s="170"/>
      <c r="BR64" s="170"/>
      <c r="BS64" s="170"/>
      <c r="BT64" s="170"/>
      <c r="BU64" s="170"/>
      <c r="BV64" s="170"/>
      <c r="BW64" s="170"/>
      <c r="BX64" s="170"/>
      <c r="BY64" s="170"/>
      <c r="BZ64" s="170"/>
      <c r="CA64" s="170"/>
      <c r="CB64" s="170"/>
      <c r="CC64" s="170"/>
      <c r="CD64" s="170"/>
      <c r="CE64" s="170"/>
      <c r="CF64" s="170"/>
      <c r="CG64" s="170"/>
      <c r="CH64" s="170"/>
      <c r="CI64" s="170"/>
      <c r="CJ64" s="170"/>
      <c r="CK64" s="170"/>
      <c r="CL64" s="170"/>
      <c r="CM64" s="170"/>
      <c r="CN64" s="170"/>
      <c r="CO64" s="170"/>
      <c r="CP64" s="170"/>
      <c r="CQ64" s="170"/>
      <c r="CR64" s="170"/>
      <c r="CS64" s="170"/>
      <c r="CT64" s="170"/>
      <c r="CU64" s="170"/>
      <c r="CV64" s="170"/>
      <c r="CW64" s="170"/>
      <c r="CX64" s="170"/>
      <c r="CY64" s="170"/>
      <c r="CZ64" s="170"/>
      <c r="DA64" s="170"/>
      <c r="DB64" s="170"/>
      <c r="DC64" s="170"/>
      <c r="DD64" s="170"/>
      <c r="DE64" s="170"/>
      <c r="DF64" s="170"/>
      <c r="DG64" s="170"/>
      <c r="DH64" s="170"/>
      <c r="DI64" s="170"/>
      <c r="DJ64" s="170"/>
      <c r="DK64" s="170"/>
      <c r="DL64" s="170"/>
      <c r="DM64" s="170"/>
      <c r="DN64" s="170"/>
      <c r="DO64" s="170"/>
      <c r="DP64" s="170"/>
      <c r="DQ64" s="170"/>
      <c r="DR64" s="170"/>
      <c r="DS64" s="170"/>
      <c r="DT64" s="170"/>
      <c r="DU64" s="170"/>
      <c r="DV64" s="170"/>
      <c r="DW64" s="170"/>
      <c r="DX64" s="170"/>
      <c r="DY64" s="170"/>
      <c r="DZ64" s="170"/>
      <c r="EA64" s="170"/>
      <c r="EB64" s="170"/>
      <c r="EC64" s="170"/>
      <c r="ED64" s="170"/>
      <c r="EE64" s="170"/>
      <c r="EF64" s="170"/>
      <c r="EG64" s="170"/>
      <c r="EH64" s="170"/>
      <c r="EI64" s="170"/>
      <c r="EJ64" s="170"/>
      <c r="EK64" s="170"/>
      <c r="EL64" s="170"/>
      <c r="EM64" s="170"/>
      <c r="EN64" s="170"/>
      <c r="EO64" s="170"/>
      <c r="EP64" s="170"/>
      <c r="EQ64" s="170"/>
      <c r="ER64" s="170"/>
      <c r="ES64" s="170"/>
      <c r="ET64" s="170"/>
      <c r="EU64" s="170"/>
      <c r="EV64" s="170"/>
      <c r="EW64" s="170"/>
      <c r="EX64" s="170"/>
      <c r="EY64" s="170"/>
      <c r="EZ64" s="170"/>
      <c r="FA64" s="170"/>
      <c r="FB64" s="170"/>
      <c r="FC64" s="170"/>
      <c r="FD64" s="170"/>
      <c r="FE64" s="170"/>
      <c r="FF64" s="170"/>
      <c r="FG64" s="170"/>
      <c r="FH64" s="170"/>
      <c r="FI64" s="170"/>
      <c r="FJ64" s="170"/>
      <c r="FK64" s="170"/>
      <c r="FL64" s="170"/>
      <c r="FM64" s="170"/>
      <c r="FN64" s="170"/>
      <c r="FO64" s="170"/>
      <c r="FP64" s="170"/>
      <c r="FQ64" s="170"/>
      <c r="FR64" s="170"/>
      <c r="FS64" s="170"/>
      <c r="FT64" s="170"/>
      <c r="FU64" s="170"/>
      <c r="FV64" s="170"/>
      <c r="FW64" s="170"/>
      <c r="FX64" s="170"/>
      <c r="FY64" s="170"/>
      <c r="FZ64" s="170"/>
      <c r="GA64" s="170"/>
      <c r="GB64" s="170"/>
      <c r="GC64" s="170"/>
    </row>
    <row r="65" spans="1:185" s="180" customFormat="1" ht="13">
      <c r="A65" s="683"/>
      <c r="B65" s="605" t="s">
        <v>270</v>
      </c>
      <c r="C65" s="194">
        <f t="shared" si="14"/>
        <v>0</v>
      </c>
      <c r="D65" s="258">
        <v>99733259</v>
      </c>
      <c r="E65" s="195"/>
      <c r="F65" s="195"/>
      <c r="G65" s="195"/>
      <c r="H65" s="195"/>
      <c r="I65" s="195"/>
      <c r="J65" s="195"/>
      <c r="K65" s="196"/>
      <c r="L65" s="196"/>
      <c r="M65" s="196"/>
      <c r="N65" s="196"/>
      <c r="O65" s="196"/>
      <c r="P65" s="196"/>
      <c r="Q65" s="196"/>
      <c r="R65" s="196"/>
      <c r="S65" s="196"/>
      <c r="T65" s="196"/>
      <c r="U65" s="196"/>
      <c r="V65" s="196"/>
      <c r="W65" s="196"/>
      <c r="X65" s="196"/>
      <c r="Y65" s="196"/>
      <c r="Z65" s="196"/>
      <c r="AA65" s="196"/>
      <c r="AB65" s="196"/>
      <c r="AC65" s="196"/>
      <c r="AD65" s="196"/>
      <c r="AE65" s="196"/>
      <c r="AF65" s="196"/>
      <c r="AG65" s="196"/>
      <c r="AH65" s="170"/>
      <c r="AI65" s="170"/>
      <c r="AJ65" s="170"/>
      <c r="AK65" s="170"/>
      <c r="AL65" s="170"/>
      <c r="AM65" s="170"/>
      <c r="AN65" s="170"/>
      <c r="AO65" s="170"/>
      <c r="AP65" s="170"/>
      <c r="AQ65" s="170"/>
      <c r="AR65" s="170"/>
      <c r="AS65" s="170"/>
      <c r="AT65" s="170"/>
      <c r="AU65" s="170"/>
      <c r="AV65" s="170"/>
      <c r="AW65" s="170"/>
      <c r="AX65" s="170"/>
      <c r="AY65" s="170"/>
      <c r="AZ65" s="170"/>
      <c r="BA65" s="170"/>
      <c r="BB65" s="170"/>
      <c r="BC65" s="170"/>
      <c r="BD65" s="170"/>
      <c r="BE65" s="170"/>
      <c r="BF65" s="170"/>
      <c r="BG65" s="170"/>
      <c r="BH65" s="170"/>
      <c r="BI65" s="170"/>
      <c r="BJ65" s="170"/>
      <c r="BK65" s="170"/>
      <c r="BL65" s="170"/>
      <c r="BM65" s="170"/>
      <c r="BN65" s="170"/>
      <c r="BO65" s="170"/>
      <c r="BP65" s="170"/>
      <c r="BQ65" s="170"/>
      <c r="BR65" s="170"/>
      <c r="BS65" s="170"/>
      <c r="BT65" s="170"/>
      <c r="BU65" s="170"/>
      <c r="BV65" s="170"/>
      <c r="BW65" s="170"/>
      <c r="BX65" s="170"/>
      <c r="BY65" s="170"/>
      <c r="BZ65" s="170"/>
      <c r="CA65" s="170"/>
      <c r="CB65" s="170"/>
      <c r="CC65" s="170"/>
      <c r="CD65" s="170"/>
      <c r="CE65" s="170"/>
      <c r="CF65" s="170"/>
      <c r="CG65" s="170"/>
      <c r="CH65" s="170"/>
      <c r="CI65" s="170"/>
      <c r="CJ65" s="170"/>
      <c r="CK65" s="170"/>
      <c r="CL65" s="170"/>
      <c r="CM65" s="170"/>
      <c r="CN65" s="170"/>
      <c r="CO65" s="170"/>
      <c r="CP65" s="170"/>
      <c r="CQ65" s="170"/>
      <c r="CR65" s="170"/>
      <c r="CS65" s="170"/>
      <c r="CT65" s="170"/>
      <c r="CU65" s="170"/>
      <c r="CV65" s="170"/>
      <c r="CW65" s="170"/>
      <c r="CX65" s="170"/>
      <c r="CY65" s="170"/>
      <c r="CZ65" s="170"/>
      <c r="DA65" s="170"/>
      <c r="DB65" s="170"/>
      <c r="DC65" s="170"/>
      <c r="DD65" s="170"/>
      <c r="DE65" s="170"/>
      <c r="DF65" s="170"/>
      <c r="DG65" s="170"/>
      <c r="DH65" s="170"/>
      <c r="DI65" s="170"/>
      <c r="DJ65" s="170"/>
      <c r="DK65" s="170"/>
      <c r="DL65" s="170"/>
      <c r="DM65" s="170"/>
      <c r="DN65" s="170"/>
      <c r="DO65" s="170"/>
      <c r="DP65" s="170"/>
      <c r="DQ65" s="170"/>
      <c r="DR65" s="170"/>
      <c r="DS65" s="170"/>
      <c r="DT65" s="170"/>
      <c r="DU65" s="170"/>
      <c r="DV65" s="170"/>
      <c r="DW65" s="170"/>
      <c r="DX65" s="170"/>
      <c r="DY65" s="170"/>
      <c r="DZ65" s="170"/>
      <c r="EA65" s="170"/>
      <c r="EB65" s="170"/>
      <c r="EC65" s="170"/>
      <c r="ED65" s="170"/>
      <c r="EE65" s="170"/>
      <c r="EF65" s="170"/>
      <c r="EG65" s="170"/>
      <c r="EH65" s="170"/>
      <c r="EI65" s="170"/>
      <c r="EJ65" s="170"/>
      <c r="EK65" s="170"/>
      <c r="EL65" s="170"/>
      <c r="EM65" s="170"/>
      <c r="EN65" s="170"/>
      <c r="EO65" s="170"/>
      <c r="EP65" s="170"/>
      <c r="EQ65" s="170"/>
      <c r="ER65" s="170"/>
      <c r="ES65" s="170"/>
      <c r="ET65" s="170"/>
      <c r="EU65" s="170"/>
      <c r="EV65" s="170"/>
      <c r="EW65" s="170"/>
      <c r="EX65" s="170"/>
      <c r="EY65" s="170"/>
      <c r="EZ65" s="170"/>
      <c r="FA65" s="170"/>
      <c r="FB65" s="170"/>
      <c r="FC65" s="170"/>
      <c r="FD65" s="170"/>
      <c r="FE65" s="170"/>
      <c r="FF65" s="170"/>
      <c r="FG65" s="170"/>
      <c r="FH65" s="170"/>
      <c r="FI65" s="170"/>
      <c r="FJ65" s="170"/>
      <c r="FK65" s="170"/>
      <c r="FL65" s="170"/>
      <c r="FM65" s="170"/>
      <c r="FN65" s="170"/>
      <c r="FO65" s="170"/>
      <c r="FP65" s="170"/>
      <c r="FQ65" s="170"/>
      <c r="FR65" s="170"/>
      <c r="FS65" s="170"/>
      <c r="FT65" s="170"/>
      <c r="FU65" s="170"/>
      <c r="FV65" s="170"/>
      <c r="FW65" s="170"/>
      <c r="FX65" s="170"/>
      <c r="FY65" s="170"/>
      <c r="FZ65" s="170"/>
      <c r="GA65" s="170"/>
      <c r="GB65" s="170"/>
      <c r="GC65" s="170"/>
    </row>
    <row r="66" spans="1:185" s="180" customFormat="1" ht="13">
      <c r="A66" s="683"/>
      <c r="B66" s="605" t="s">
        <v>2187</v>
      </c>
      <c r="C66" s="194">
        <f t="shared" si="14"/>
        <v>0</v>
      </c>
      <c r="D66" s="258">
        <v>42261</v>
      </c>
      <c r="E66" s="195"/>
      <c r="F66" s="195"/>
      <c r="G66" s="195"/>
      <c r="H66" s="195"/>
      <c r="I66" s="195"/>
      <c r="J66" s="195"/>
      <c r="K66" s="196"/>
      <c r="L66" s="196"/>
      <c r="M66" s="196"/>
      <c r="N66" s="196"/>
      <c r="O66" s="196"/>
      <c r="P66" s="196"/>
      <c r="Q66" s="196"/>
      <c r="R66" s="196"/>
      <c r="S66" s="196"/>
      <c r="T66" s="196"/>
      <c r="U66" s="196"/>
      <c r="V66" s="196"/>
      <c r="W66" s="196"/>
      <c r="X66" s="196"/>
      <c r="Y66" s="196"/>
      <c r="Z66" s="196"/>
      <c r="AA66" s="196"/>
      <c r="AB66" s="196"/>
      <c r="AC66" s="196"/>
      <c r="AD66" s="196"/>
      <c r="AE66" s="196"/>
      <c r="AF66" s="196"/>
      <c r="AG66" s="196"/>
      <c r="AH66" s="170"/>
      <c r="AI66" s="170"/>
      <c r="AJ66" s="170"/>
      <c r="AK66" s="170"/>
      <c r="AL66" s="170"/>
      <c r="AM66" s="170"/>
      <c r="AN66" s="170"/>
      <c r="AO66" s="170"/>
      <c r="AP66" s="170"/>
      <c r="AQ66" s="170"/>
      <c r="AR66" s="170"/>
      <c r="AS66" s="170"/>
      <c r="AT66" s="170"/>
      <c r="AU66" s="170"/>
      <c r="AV66" s="170"/>
      <c r="AW66" s="170"/>
      <c r="AX66" s="170"/>
      <c r="AY66" s="170"/>
      <c r="AZ66" s="170"/>
      <c r="BA66" s="170"/>
      <c r="BB66" s="170"/>
      <c r="BC66" s="170"/>
      <c r="BD66" s="170"/>
      <c r="BE66" s="170"/>
      <c r="BF66" s="170"/>
      <c r="BG66" s="170"/>
      <c r="BH66" s="170"/>
      <c r="BI66" s="170"/>
      <c r="BJ66" s="170"/>
      <c r="BK66" s="170"/>
      <c r="BL66" s="170"/>
      <c r="BM66" s="170"/>
      <c r="BN66" s="170"/>
      <c r="BO66" s="170"/>
      <c r="BP66" s="170"/>
      <c r="BQ66" s="170"/>
      <c r="BR66" s="170"/>
      <c r="BS66" s="170"/>
      <c r="BT66" s="170"/>
      <c r="BU66" s="170"/>
      <c r="BV66" s="170"/>
      <c r="BW66" s="170"/>
      <c r="BX66" s="170"/>
      <c r="BY66" s="170"/>
      <c r="BZ66" s="170"/>
      <c r="CA66" s="170"/>
      <c r="CB66" s="170"/>
      <c r="CC66" s="170"/>
      <c r="CD66" s="170"/>
      <c r="CE66" s="170"/>
      <c r="CF66" s="170"/>
      <c r="CG66" s="170"/>
      <c r="CH66" s="170"/>
      <c r="CI66" s="170"/>
      <c r="CJ66" s="170"/>
      <c r="CK66" s="170"/>
      <c r="CL66" s="170"/>
      <c r="CM66" s="170"/>
      <c r="CN66" s="170"/>
      <c r="CO66" s="170"/>
      <c r="CP66" s="170"/>
      <c r="CQ66" s="170"/>
      <c r="CR66" s="170"/>
      <c r="CS66" s="170"/>
      <c r="CT66" s="170"/>
      <c r="CU66" s="170"/>
      <c r="CV66" s="170"/>
      <c r="CW66" s="170"/>
      <c r="CX66" s="170"/>
      <c r="CY66" s="170"/>
      <c r="CZ66" s="170"/>
      <c r="DA66" s="170"/>
      <c r="DB66" s="170"/>
      <c r="DC66" s="170"/>
      <c r="DD66" s="170"/>
      <c r="DE66" s="170"/>
      <c r="DF66" s="170"/>
      <c r="DG66" s="170"/>
      <c r="DH66" s="170"/>
      <c r="DI66" s="170"/>
      <c r="DJ66" s="170"/>
      <c r="DK66" s="170"/>
      <c r="DL66" s="170"/>
      <c r="DM66" s="170"/>
      <c r="DN66" s="170"/>
      <c r="DO66" s="170"/>
      <c r="DP66" s="170"/>
      <c r="DQ66" s="170"/>
      <c r="DR66" s="170"/>
      <c r="DS66" s="170"/>
      <c r="DT66" s="170"/>
      <c r="DU66" s="170"/>
      <c r="DV66" s="170"/>
      <c r="DW66" s="170"/>
      <c r="DX66" s="170"/>
      <c r="DY66" s="170"/>
      <c r="DZ66" s="170"/>
      <c r="EA66" s="170"/>
      <c r="EB66" s="170"/>
      <c r="EC66" s="170"/>
      <c r="ED66" s="170"/>
      <c r="EE66" s="170"/>
      <c r="EF66" s="170"/>
      <c r="EG66" s="170"/>
      <c r="EH66" s="170"/>
      <c r="EI66" s="170"/>
      <c r="EJ66" s="170"/>
      <c r="EK66" s="170"/>
      <c r="EL66" s="170"/>
      <c r="EM66" s="170"/>
      <c r="EN66" s="170"/>
      <c r="EO66" s="170"/>
      <c r="EP66" s="170"/>
      <c r="EQ66" s="170"/>
      <c r="ER66" s="170"/>
      <c r="ES66" s="170"/>
      <c r="ET66" s="170"/>
      <c r="EU66" s="170"/>
      <c r="EV66" s="170"/>
      <c r="EW66" s="170"/>
      <c r="EX66" s="170"/>
      <c r="EY66" s="170"/>
      <c r="EZ66" s="170"/>
      <c r="FA66" s="170"/>
      <c r="FB66" s="170"/>
      <c r="FC66" s="170"/>
      <c r="FD66" s="170"/>
      <c r="FE66" s="170"/>
      <c r="FF66" s="170"/>
      <c r="FG66" s="170"/>
      <c r="FH66" s="170"/>
      <c r="FI66" s="170"/>
      <c r="FJ66" s="170"/>
      <c r="FK66" s="170"/>
      <c r="FL66" s="170"/>
      <c r="FM66" s="170"/>
      <c r="FN66" s="170"/>
      <c r="FO66" s="170"/>
      <c r="FP66" s="170"/>
      <c r="FQ66" s="170"/>
      <c r="FR66" s="170"/>
      <c r="FS66" s="170"/>
      <c r="FT66" s="170"/>
      <c r="FU66" s="170"/>
      <c r="FV66" s="170"/>
      <c r="FW66" s="170"/>
      <c r="FX66" s="170"/>
      <c r="FY66" s="170"/>
      <c r="FZ66" s="170"/>
      <c r="GA66" s="170"/>
      <c r="GB66" s="170"/>
      <c r="GC66" s="170"/>
    </row>
    <row r="67" spans="1:185" s="180" customFormat="1" ht="13">
      <c r="A67" s="683"/>
      <c r="B67" s="605" t="s">
        <v>2188</v>
      </c>
      <c r="C67" s="194">
        <f t="shared" si="14"/>
        <v>0</v>
      </c>
      <c r="D67" s="258">
        <v>148598</v>
      </c>
      <c r="E67" s="195"/>
      <c r="F67" s="195"/>
      <c r="G67" s="195"/>
      <c r="H67" s="195"/>
      <c r="I67" s="195"/>
      <c r="J67" s="195"/>
      <c r="K67" s="196"/>
      <c r="L67" s="196"/>
      <c r="M67" s="196"/>
      <c r="N67" s="196"/>
      <c r="O67" s="196"/>
      <c r="P67" s="196"/>
      <c r="Q67" s="196"/>
      <c r="R67" s="196"/>
      <c r="S67" s="196"/>
      <c r="T67" s="196"/>
      <c r="U67" s="196"/>
      <c r="V67" s="196"/>
      <c r="W67" s="196"/>
      <c r="X67" s="196"/>
      <c r="Y67" s="196"/>
      <c r="Z67" s="196"/>
      <c r="AA67" s="196"/>
      <c r="AB67" s="196"/>
      <c r="AC67" s="196"/>
      <c r="AD67" s="196"/>
      <c r="AE67" s="196"/>
      <c r="AF67" s="196"/>
      <c r="AG67" s="196"/>
      <c r="AH67" s="170"/>
      <c r="AI67" s="170"/>
      <c r="AJ67" s="170"/>
      <c r="AK67" s="170"/>
      <c r="AL67" s="170"/>
      <c r="AM67" s="170"/>
      <c r="AN67" s="170"/>
      <c r="AO67" s="170"/>
      <c r="AP67" s="170"/>
      <c r="AQ67" s="170"/>
      <c r="AR67" s="170"/>
      <c r="AS67" s="170"/>
      <c r="AT67" s="170"/>
      <c r="AU67" s="170"/>
      <c r="AV67" s="170"/>
      <c r="AW67" s="170"/>
      <c r="AX67" s="170"/>
      <c r="AY67" s="170"/>
      <c r="AZ67" s="170"/>
      <c r="BA67" s="170"/>
      <c r="BB67" s="170"/>
      <c r="BC67" s="170"/>
      <c r="BD67" s="170"/>
      <c r="BE67" s="170"/>
      <c r="BF67" s="170"/>
      <c r="BG67" s="170"/>
      <c r="BH67" s="170"/>
      <c r="BI67" s="170"/>
      <c r="BJ67" s="170"/>
      <c r="BK67" s="170"/>
      <c r="BL67" s="170"/>
      <c r="BM67" s="170"/>
      <c r="BN67" s="170"/>
      <c r="BO67" s="170"/>
      <c r="BP67" s="170"/>
      <c r="BQ67" s="170"/>
      <c r="BR67" s="170"/>
      <c r="BS67" s="170"/>
      <c r="BT67" s="170"/>
      <c r="BU67" s="170"/>
      <c r="BV67" s="170"/>
      <c r="BW67" s="170"/>
      <c r="BX67" s="170"/>
      <c r="BY67" s="170"/>
      <c r="BZ67" s="170"/>
      <c r="CA67" s="170"/>
      <c r="CB67" s="170"/>
      <c r="CC67" s="170"/>
      <c r="CD67" s="170"/>
      <c r="CE67" s="170"/>
      <c r="CF67" s="170"/>
      <c r="CG67" s="170"/>
      <c r="CH67" s="170"/>
      <c r="CI67" s="170"/>
      <c r="CJ67" s="170"/>
      <c r="CK67" s="170"/>
      <c r="CL67" s="170"/>
      <c r="CM67" s="170"/>
      <c r="CN67" s="170"/>
      <c r="CO67" s="170"/>
      <c r="CP67" s="170"/>
      <c r="CQ67" s="170"/>
      <c r="CR67" s="170"/>
      <c r="CS67" s="170"/>
      <c r="CT67" s="170"/>
      <c r="CU67" s="170"/>
      <c r="CV67" s="170"/>
      <c r="CW67" s="170"/>
      <c r="CX67" s="170"/>
      <c r="CY67" s="170"/>
      <c r="CZ67" s="170"/>
      <c r="DA67" s="170"/>
      <c r="DB67" s="170"/>
      <c r="DC67" s="170"/>
      <c r="DD67" s="170"/>
      <c r="DE67" s="170"/>
      <c r="DF67" s="170"/>
      <c r="DG67" s="170"/>
      <c r="DH67" s="170"/>
      <c r="DI67" s="170"/>
      <c r="DJ67" s="170"/>
      <c r="DK67" s="170"/>
      <c r="DL67" s="170"/>
      <c r="DM67" s="170"/>
      <c r="DN67" s="170"/>
      <c r="DO67" s="170"/>
      <c r="DP67" s="170"/>
      <c r="DQ67" s="170"/>
      <c r="DR67" s="170"/>
      <c r="DS67" s="170"/>
      <c r="DT67" s="170"/>
      <c r="DU67" s="170"/>
      <c r="DV67" s="170"/>
      <c r="DW67" s="170"/>
      <c r="DX67" s="170"/>
      <c r="DY67" s="170"/>
      <c r="DZ67" s="170"/>
      <c r="EA67" s="170"/>
      <c r="EB67" s="170"/>
      <c r="EC67" s="170"/>
      <c r="ED67" s="170"/>
      <c r="EE67" s="170"/>
      <c r="EF67" s="170"/>
      <c r="EG67" s="170"/>
      <c r="EH67" s="170"/>
      <c r="EI67" s="170"/>
      <c r="EJ67" s="170"/>
      <c r="EK67" s="170"/>
      <c r="EL67" s="170"/>
      <c r="EM67" s="170"/>
      <c r="EN67" s="170"/>
      <c r="EO67" s="170"/>
      <c r="EP67" s="170"/>
      <c r="EQ67" s="170"/>
      <c r="ER67" s="170"/>
      <c r="ES67" s="170"/>
      <c r="ET67" s="170"/>
      <c r="EU67" s="170"/>
      <c r="EV67" s="170"/>
      <c r="EW67" s="170"/>
      <c r="EX67" s="170"/>
      <c r="EY67" s="170"/>
      <c r="EZ67" s="170"/>
      <c r="FA67" s="170"/>
      <c r="FB67" s="170"/>
      <c r="FC67" s="170"/>
      <c r="FD67" s="170"/>
      <c r="FE67" s="170"/>
      <c r="FF67" s="170"/>
      <c r="FG67" s="170"/>
      <c r="FH67" s="170"/>
      <c r="FI67" s="170"/>
      <c r="FJ67" s="170"/>
      <c r="FK67" s="170"/>
      <c r="FL67" s="170"/>
      <c r="FM67" s="170"/>
      <c r="FN67" s="170"/>
      <c r="FO67" s="170"/>
      <c r="FP67" s="170"/>
      <c r="FQ67" s="170"/>
      <c r="FR67" s="170"/>
      <c r="FS67" s="170"/>
      <c r="FT67" s="170"/>
      <c r="FU67" s="170"/>
      <c r="FV67" s="170"/>
      <c r="FW67" s="170"/>
      <c r="FX67" s="170"/>
      <c r="FY67" s="170"/>
      <c r="FZ67" s="170"/>
      <c r="GA67" s="170"/>
      <c r="GB67" s="170"/>
      <c r="GC67" s="170"/>
    </row>
    <row r="68" spans="1:185" s="180" customFormat="1" ht="13">
      <c r="A68" s="683"/>
      <c r="B68" s="605" t="s">
        <v>2189</v>
      </c>
      <c r="C68" s="194">
        <f t="shared" si="14"/>
        <v>0</v>
      </c>
      <c r="D68" s="258">
        <v>133839.20000000001</v>
      </c>
      <c r="E68" s="195"/>
      <c r="F68" s="195"/>
      <c r="G68" s="195"/>
      <c r="H68" s="195"/>
      <c r="I68" s="195"/>
      <c r="J68" s="195"/>
      <c r="K68" s="196"/>
      <c r="L68" s="196"/>
      <c r="M68" s="196"/>
      <c r="N68" s="196"/>
      <c r="O68" s="196"/>
      <c r="P68" s="196"/>
      <c r="Q68" s="196"/>
      <c r="R68" s="196"/>
      <c r="S68" s="196"/>
      <c r="T68" s="196"/>
      <c r="U68" s="196"/>
      <c r="V68" s="196"/>
      <c r="W68" s="196"/>
      <c r="X68" s="196"/>
      <c r="Y68" s="196"/>
      <c r="Z68" s="196"/>
      <c r="AA68" s="196"/>
      <c r="AB68" s="196"/>
      <c r="AC68" s="196"/>
      <c r="AD68" s="196"/>
      <c r="AE68" s="196"/>
      <c r="AF68" s="196"/>
      <c r="AG68" s="196"/>
      <c r="AH68" s="170"/>
      <c r="AI68" s="170"/>
      <c r="AJ68" s="170"/>
      <c r="AK68" s="170"/>
      <c r="AL68" s="170"/>
      <c r="AM68" s="170"/>
      <c r="AN68" s="170"/>
      <c r="AO68" s="170"/>
      <c r="AP68" s="170"/>
      <c r="AQ68" s="170"/>
      <c r="AR68" s="170"/>
      <c r="AS68" s="170"/>
      <c r="AT68" s="170"/>
      <c r="AU68" s="170"/>
      <c r="AV68" s="170"/>
      <c r="AW68" s="170"/>
      <c r="AX68" s="170"/>
      <c r="AY68" s="170"/>
      <c r="AZ68" s="170"/>
      <c r="BA68" s="170"/>
      <c r="BB68" s="170"/>
      <c r="BC68" s="170"/>
      <c r="BD68" s="170"/>
      <c r="BE68" s="170"/>
      <c r="BF68" s="170"/>
      <c r="BG68" s="170"/>
      <c r="BH68" s="170"/>
      <c r="BI68" s="170"/>
      <c r="BJ68" s="170"/>
      <c r="BK68" s="170"/>
      <c r="BL68" s="170"/>
      <c r="BM68" s="170"/>
      <c r="BN68" s="170"/>
      <c r="BO68" s="170"/>
      <c r="BP68" s="170"/>
      <c r="BQ68" s="170"/>
      <c r="BR68" s="170"/>
      <c r="BS68" s="170"/>
      <c r="BT68" s="170"/>
      <c r="BU68" s="170"/>
      <c r="BV68" s="170"/>
      <c r="BW68" s="170"/>
      <c r="BX68" s="170"/>
      <c r="BY68" s="170"/>
      <c r="BZ68" s="170"/>
      <c r="CA68" s="170"/>
      <c r="CB68" s="170"/>
      <c r="CC68" s="170"/>
      <c r="CD68" s="170"/>
      <c r="CE68" s="170"/>
      <c r="CF68" s="170"/>
      <c r="CG68" s="170"/>
      <c r="CH68" s="170"/>
      <c r="CI68" s="170"/>
      <c r="CJ68" s="170"/>
      <c r="CK68" s="170"/>
      <c r="CL68" s="170"/>
      <c r="CM68" s="170"/>
      <c r="CN68" s="170"/>
      <c r="CO68" s="170"/>
      <c r="CP68" s="170"/>
      <c r="CQ68" s="170"/>
      <c r="CR68" s="170"/>
      <c r="CS68" s="170"/>
      <c r="CT68" s="170"/>
      <c r="CU68" s="170"/>
      <c r="CV68" s="170"/>
      <c r="CW68" s="170"/>
      <c r="CX68" s="170"/>
      <c r="CY68" s="170"/>
      <c r="CZ68" s="170"/>
      <c r="DA68" s="170"/>
      <c r="DB68" s="170"/>
      <c r="DC68" s="170"/>
      <c r="DD68" s="170"/>
      <c r="DE68" s="170"/>
      <c r="DF68" s="170"/>
      <c r="DG68" s="170"/>
      <c r="DH68" s="170"/>
      <c r="DI68" s="170"/>
      <c r="DJ68" s="170"/>
      <c r="DK68" s="170"/>
      <c r="DL68" s="170"/>
      <c r="DM68" s="170"/>
      <c r="DN68" s="170"/>
      <c r="DO68" s="170"/>
      <c r="DP68" s="170"/>
      <c r="DQ68" s="170"/>
      <c r="DR68" s="170"/>
      <c r="DS68" s="170"/>
      <c r="DT68" s="170"/>
      <c r="DU68" s="170"/>
      <c r="DV68" s="170"/>
      <c r="DW68" s="170"/>
      <c r="DX68" s="170"/>
      <c r="DY68" s="170"/>
      <c r="DZ68" s="170"/>
      <c r="EA68" s="170"/>
      <c r="EB68" s="170"/>
      <c r="EC68" s="170"/>
      <c r="ED68" s="170"/>
      <c r="EE68" s="170"/>
      <c r="EF68" s="170"/>
      <c r="EG68" s="170"/>
      <c r="EH68" s="170"/>
      <c r="EI68" s="170"/>
      <c r="EJ68" s="170"/>
      <c r="EK68" s="170"/>
      <c r="EL68" s="170"/>
      <c r="EM68" s="170"/>
      <c r="EN68" s="170"/>
      <c r="EO68" s="170"/>
      <c r="EP68" s="170"/>
      <c r="EQ68" s="170"/>
      <c r="ER68" s="170"/>
      <c r="ES68" s="170"/>
      <c r="ET68" s="170"/>
      <c r="EU68" s="170"/>
      <c r="EV68" s="170"/>
      <c r="EW68" s="170"/>
      <c r="EX68" s="170"/>
      <c r="EY68" s="170"/>
      <c r="EZ68" s="170"/>
      <c r="FA68" s="170"/>
      <c r="FB68" s="170"/>
      <c r="FC68" s="170"/>
      <c r="FD68" s="170"/>
      <c r="FE68" s="170"/>
      <c r="FF68" s="170"/>
      <c r="FG68" s="170"/>
      <c r="FH68" s="170"/>
      <c r="FI68" s="170"/>
      <c r="FJ68" s="170"/>
      <c r="FK68" s="170"/>
      <c r="FL68" s="170"/>
      <c r="FM68" s="170"/>
      <c r="FN68" s="170"/>
      <c r="FO68" s="170"/>
      <c r="FP68" s="170"/>
      <c r="FQ68" s="170"/>
      <c r="FR68" s="170"/>
      <c r="FS68" s="170"/>
      <c r="FT68" s="170"/>
      <c r="FU68" s="170"/>
      <c r="FV68" s="170"/>
      <c r="FW68" s="170"/>
      <c r="FX68" s="170"/>
      <c r="FY68" s="170"/>
      <c r="FZ68" s="170"/>
      <c r="GA68" s="170"/>
      <c r="GB68" s="170"/>
      <c r="GC68" s="170"/>
    </row>
    <row r="69" spans="1:185" s="174" customFormat="1" ht="13">
      <c r="A69" s="683"/>
      <c r="B69" s="606" t="s">
        <v>249</v>
      </c>
      <c r="C69" s="194">
        <f t="shared" si="14"/>
        <v>0</v>
      </c>
      <c r="D69" s="258">
        <v>11267</v>
      </c>
      <c r="E69" s="195"/>
      <c r="F69" s="195"/>
      <c r="G69" s="195"/>
      <c r="H69" s="195"/>
      <c r="I69" s="195"/>
      <c r="J69" s="195"/>
      <c r="K69" s="195"/>
      <c r="L69" s="195"/>
      <c r="M69" s="195"/>
      <c r="N69" s="195"/>
      <c r="O69" s="195"/>
      <c r="P69" s="195"/>
      <c r="Q69" s="195"/>
      <c r="R69" s="195"/>
      <c r="S69" s="195"/>
      <c r="T69" s="195"/>
      <c r="U69" s="195"/>
      <c r="V69" s="195"/>
      <c r="W69" s="195"/>
      <c r="X69" s="195"/>
      <c r="Y69" s="195"/>
      <c r="Z69" s="195"/>
      <c r="AA69" s="195"/>
      <c r="AB69" s="195"/>
      <c r="AC69" s="195"/>
      <c r="AD69" s="195"/>
      <c r="AE69" s="195"/>
      <c r="AF69" s="195"/>
      <c r="AG69" s="195"/>
    </row>
    <row r="70" spans="1:185" s="174" customFormat="1" ht="13">
      <c r="A70" s="683"/>
      <c r="B70" s="607" t="s">
        <v>2398</v>
      </c>
      <c r="C70" s="485">
        <f t="array" ref="C70">IF(ISNUMBER(SUM((E68:AG68&gt;0)*(E69:AG69&gt;0)*(E68:AG68))/SUM((E68:AG68&gt;0)*(E69:AG69&gt;0)*(E69:AG69))),SUM((E68:AG68&gt;0)*(E69:AG69&gt;0)*(E68:AG68))/SUM((E68:AG68&gt;0)*(E69:AG69&gt;0)*(E69:AG69)),0)</f>
        <v>0</v>
      </c>
      <c r="D70" s="486">
        <f t="shared" ref="D70:AG70" si="15">IF(ISNUMBER(D68/D69),D68/D69,0)</f>
        <v>11.878867489127542</v>
      </c>
      <c r="E70" s="485">
        <f t="shared" si="15"/>
        <v>0</v>
      </c>
      <c r="F70" s="485">
        <f t="shared" si="15"/>
        <v>0</v>
      </c>
      <c r="G70" s="485">
        <f t="shared" si="15"/>
        <v>0</v>
      </c>
      <c r="H70" s="485">
        <f t="shared" si="15"/>
        <v>0</v>
      </c>
      <c r="I70" s="485">
        <f t="shared" si="15"/>
        <v>0</v>
      </c>
      <c r="J70" s="485">
        <f t="shared" si="15"/>
        <v>0</v>
      </c>
      <c r="K70" s="485">
        <f t="shared" si="15"/>
        <v>0</v>
      </c>
      <c r="L70" s="485">
        <f t="shared" si="15"/>
        <v>0</v>
      </c>
      <c r="M70" s="485">
        <f t="shared" si="15"/>
        <v>0</v>
      </c>
      <c r="N70" s="485">
        <f t="shared" si="15"/>
        <v>0</v>
      </c>
      <c r="O70" s="485">
        <f t="shared" si="15"/>
        <v>0</v>
      </c>
      <c r="P70" s="485">
        <f t="shared" si="15"/>
        <v>0</v>
      </c>
      <c r="Q70" s="485">
        <f t="shared" si="15"/>
        <v>0</v>
      </c>
      <c r="R70" s="485">
        <f t="shared" si="15"/>
        <v>0</v>
      </c>
      <c r="S70" s="485">
        <f t="shared" si="15"/>
        <v>0</v>
      </c>
      <c r="T70" s="485">
        <f t="shared" si="15"/>
        <v>0</v>
      </c>
      <c r="U70" s="485">
        <f t="shared" si="15"/>
        <v>0</v>
      </c>
      <c r="V70" s="485">
        <f t="shared" si="15"/>
        <v>0</v>
      </c>
      <c r="W70" s="485">
        <f t="shared" si="15"/>
        <v>0</v>
      </c>
      <c r="X70" s="485">
        <f t="shared" si="15"/>
        <v>0</v>
      </c>
      <c r="Y70" s="485">
        <f t="shared" si="15"/>
        <v>0</v>
      </c>
      <c r="Z70" s="485">
        <f t="shared" si="15"/>
        <v>0</v>
      </c>
      <c r="AA70" s="485">
        <f t="shared" si="15"/>
        <v>0</v>
      </c>
      <c r="AB70" s="485">
        <f t="shared" si="15"/>
        <v>0</v>
      </c>
      <c r="AC70" s="485">
        <f t="shared" si="15"/>
        <v>0</v>
      </c>
      <c r="AD70" s="485">
        <f t="shared" si="15"/>
        <v>0</v>
      </c>
      <c r="AE70" s="485">
        <f t="shared" si="15"/>
        <v>0</v>
      </c>
      <c r="AF70" s="485">
        <f t="shared" si="15"/>
        <v>0</v>
      </c>
      <c r="AG70" s="485">
        <f t="shared" si="15"/>
        <v>0</v>
      </c>
      <c r="AH70" s="170"/>
      <c r="AI70" s="170"/>
      <c r="AJ70" s="170"/>
      <c r="AK70" s="170"/>
      <c r="AL70" s="170"/>
      <c r="AM70" s="170"/>
      <c r="AN70" s="170"/>
      <c r="AO70" s="170"/>
      <c r="AP70" s="170"/>
      <c r="AQ70" s="170"/>
      <c r="AR70" s="170"/>
      <c r="AS70" s="170"/>
      <c r="AT70" s="170"/>
      <c r="AU70" s="170"/>
      <c r="AV70" s="170"/>
      <c r="AW70" s="170"/>
      <c r="AX70" s="170"/>
      <c r="AY70" s="170"/>
      <c r="AZ70" s="170"/>
      <c r="BA70" s="170"/>
      <c r="BB70" s="170"/>
      <c r="BC70" s="170"/>
      <c r="BD70" s="170"/>
      <c r="BE70" s="170"/>
      <c r="BF70" s="170"/>
      <c r="BG70" s="170"/>
      <c r="BH70" s="170"/>
      <c r="BI70" s="170"/>
      <c r="BJ70" s="170"/>
      <c r="BK70" s="170"/>
      <c r="BL70" s="170"/>
      <c r="BM70" s="170"/>
      <c r="BN70" s="170"/>
      <c r="BO70" s="170"/>
      <c r="BP70" s="170"/>
      <c r="BQ70" s="170"/>
      <c r="BR70" s="170"/>
      <c r="BS70" s="170"/>
      <c r="BT70" s="170"/>
      <c r="BU70" s="170"/>
      <c r="BV70" s="170"/>
      <c r="BW70" s="170"/>
      <c r="BX70" s="170"/>
      <c r="BY70" s="170"/>
      <c r="BZ70" s="170"/>
      <c r="CA70" s="170"/>
      <c r="CB70" s="170"/>
      <c r="CC70" s="170"/>
      <c r="CD70" s="170"/>
      <c r="CE70" s="170"/>
      <c r="CF70" s="170"/>
      <c r="CG70" s="170"/>
      <c r="CH70" s="170"/>
      <c r="CI70" s="170"/>
      <c r="CJ70" s="170"/>
      <c r="CK70" s="170"/>
      <c r="CL70" s="170"/>
      <c r="CM70" s="170"/>
      <c r="CN70" s="170"/>
      <c r="CO70" s="170"/>
      <c r="CP70" s="170"/>
      <c r="CQ70" s="170"/>
      <c r="CR70" s="170"/>
      <c r="CS70" s="170"/>
      <c r="CT70" s="170"/>
      <c r="CU70" s="170"/>
      <c r="CV70" s="170"/>
      <c r="CW70" s="170"/>
      <c r="CX70" s="170"/>
      <c r="CY70" s="170"/>
      <c r="CZ70" s="170"/>
      <c r="DA70" s="170"/>
      <c r="DB70" s="170"/>
      <c r="DC70" s="170"/>
      <c r="DD70" s="170"/>
      <c r="DE70" s="170"/>
      <c r="DF70" s="170"/>
      <c r="DG70" s="170"/>
      <c r="DH70" s="170"/>
      <c r="DI70" s="170"/>
      <c r="DJ70" s="170"/>
      <c r="DK70" s="170"/>
      <c r="DL70" s="170"/>
      <c r="DM70" s="170"/>
      <c r="DN70" s="170"/>
      <c r="DO70" s="170"/>
      <c r="DP70" s="170"/>
      <c r="DQ70" s="170"/>
      <c r="DR70" s="170"/>
      <c r="DS70" s="170"/>
      <c r="DT70" s="170"/>
      <c r="DU70" s="170"/>
      <c r="DV70" s="170"/>
      <c r="DW70" s="170"/>
      <c r="DX70" s="170"/>
      <c r="DY70" s="170"/>
      <c r="DZ70" s="170"/>
      <c r="EA70" s="170"/>
      <c r="EB70" s="170"/>
      <c r="EC70" s="170"/>
      <c r="ED70" s="170"/>
      <c r="EE70" s="170"/>
      <c r="EF70" s="170"/>
      <c r="EG70" s="170"/>
      <c r="EH70" s="170"/>
      <c r="EI70" s="170"/>
      <c r="EJ70" s="170"/>
      <c r="EK70" s="170"/>
      <c r="EL70" s="170"/>
      <c r="EM70" s="170"/>
      <c r="EN70" s="170"/>
      <c r="EO70" s="170"/>
      <c r="EP70" s="170"/>
      <c r="EQ70" s="170"/>
      <c r="ER70" s="170"/>
      <c r="ES70" s="170"/>
      <c r="ET70" s="170"/>
      <c r="EU70" s="170"/>
      <c r="EV70" s="170"/>
      <c r="EW70" s="170"/>
      <c r="EX70" s="170"/>
      <c r="EY70" s="170"/>
      <c r="EZ70" s="170"/>
      <c r="FA70" s="170"/>
      <c r="FB70" s="170"/>
      <c r="FC70" s="170"/>
      <c r="FD70" s="170"/>
      <c r="FE70" s="170"/>
      <c r="FF70" s="170"/>
      <c r="FG70" s="170"/>
      <c r="FH70" s="170"/>
      <c r="FI70" s="170"/>
      <c r="FJ70" s="170"/>
      <c r="FK70" s="170"/>
      <c r="FL70" s="170"/>
      <c r="FM70" s="170"/>
      <c r="FN70" s="170"/>
      <c r="FO70" s="170"/>
      <c r="FP70" s="170"/>
      <c r="FQ70" s="170"/>
      <c r="FR70" s="170"/>
      <c r="FS70" s="170"/>
      <c r="FT70" s="170"/>
      <c r="FU70" s="170"/>
      <c r="FV70" s="170"/>
      <c r="FW70" s="170"/>
      <c r="FX70" s="170"/>
      <c r="FY70" s="170"/>
      <c r="FZ70" s="170"/>
      <c r="GA70" s="170"/>
      <c r="GB70" s="170"/>
      <c r="GC70" s="170"/>
    </row>
    <row r="71" spans="1:185" s="180" customFormat="1" ht="13">
      <c r="A71" s="683"/>
      <c r="B71" s="569" t="s">
        <v>2350</v>
      </c>
      <c r="C71" s="201">
        <f>SUM(E71:AG71)</f>
        <v>0</v>
      </c>
      <c r="D71" s="293">
        <v>42</v>
      </c>
      <c r="E71" s="370"/>
      <c r="F71" s="202"/>
      <c r="G71" s="202"/>
      <c r="H71" s="202"/>
      <c r="I71" s="202"/>
      <c r="J71" s="202"/>
      <c r="K71" s="203"/>
      <c r="L71" s="203"/>
      <c r="M71" s="203"/>
      <c r="N71" s="203"/>
      <c r="O71" s="203"/>
      <c r="P71" s="203"/>
      <c r="Q71" s="203"/>
      <c r="R71" s="203"/>
      <c r="S71" s="203"/>
      <c r="T71" s="203"/>
      <c r="U71" s="203"/>
      <c r="V71" s="203"/>
      <c r="W71" s="203"/>
      <c r="X71" s="203"/>
      <c r="Y71" s="203"/>
      <c r="Z71" s="203"/>
      <c r="AA71" s="203"/>
      <c r="AB71" s="203"/>
      <c r="AC71" s="203"/>
      <c r="AD71" s="203"/>
      <c r="AE71" s="203"/>
      <c r="AF71" s="203"/>
      <c r="AG71" s="203"/>
      <c r="AH71" s="170"/>
      <c r="AI71" s="170"/>
      <c r="AJ71" s="170"/>
      <c r="AK71" s="170"/>
      <c r="AL71" s="170"/>
      <c r="AM71" s="170"/>
      <c r="AN71" s="170"/>
      <c r="AO71" s="170"/>
      <c r="AP71" s="170"/>
      <c r="AQ71" s="170"/>
      <c r="AR71" s="170"/>
      <c r="AS71" s="170"/>
      <c r="AT71" s="170"/>
      <c r="AU71" s="170"/>
      <c r="AV71" s="170"/>
      <c r="AW71" s="170"/>
      <c r="AX71" s="170"/>
      <c r="AY71" s="170"/>
      <c r="AZ71" s="170"/>
      <c r="BA71" s="170"/>
      <c r="BB71" s="170"/>
      <c r="BC71" s="170"/>
      <c r="BD71" s="170"/>
      <c r="BE71" s="170"/>
      <c r="BF71" s="170"/>
      <c r="BG71" s="170"/>
      <c r="BH71" s="170"/>
      <c r="BI71" s="170"/>
      <c r="BJ71" s="170"/>
      <c r="BK71" s="170"/>
      <c r="BL71" s="170"/>
      <c r="BM71" s="170"/>
      <c r="BN71" s="170"/>
      <c r="BO71" s="170"/>
      <c r="BP71" s="170"/>
      <c r="BQ71" s="170"/>
      <c r="BR71" s="170"/>
      <c r="BS71" s="170"/>
      <c r="BT71" s="170"/>
      <c r="BU71" s="170"/>
      <c r="BV71" s="170"/>
      <c r="BW71" s="170"/>
      <c r="BX71" s="170"/>
      <c r="BY71" s="170"/>
      <c r="BZ71" s="170"/>
      <c r="CA71" s="170"/>
      <c r="CB71" s="170"/>
      <c r="CC71" s="170"/>
      <c r="CD71" s="170"/>
      <c r="CE71" s="170"/>
      <c r="CF71" s="170"/>
      <c r="CG71" s="170"/>
      <c r="CH71" s="170"/>
      <c r="CI71" s="170"/>
      <c r="CJ71" s="170"/>
      <c r="CK71" s="170"/>
      <c r="CL71" s="170"/>
      <c r="CM71" s="170"/>
      <c r="CN71" s="170"/>
      <c r="CO71" s="170"/>
      <c r="CP71" s="170"/>
      <c r="CQ71" s="170"/>
      <c r="CR71" s="170"/>
      <c r="CS71" s="170"/>
      <c r="CT71" s="170"/>
      <c r="CU71" s="170"/>
      <c r="CV71" s="170"/>
      <c r="CW71" s="170"/>
      <c r="CX71" s="170"/>
      <c r="CY71" s="170"/>
      <c r="CZ71" s="170"/>
      <c r="DA71" s="170"/>
      <c r="DB71" s="170"/>
      <c r="DC71" s="170"/>
      <c r="DD71" s="170"/>
      <c r="DE71" s="170"/>
      <c r="DF71" s="170"/>
      <c r="DG71" s="170"/>
      <c r="DH71" s="170"/>
      <c r="DI71" s="170"/>
      <c r="DJ71" s="170"/>
      <c r="DK71" s="170"/>
      <c r="DL71" s="170"/>
      <c r="DM71" s="170"/>
      <c r="DN71" s="170"/>
      <c r="DO71" s="170"/>
      <c r="DP71" s="170"/>
      <c r="DQ71" s="170"/>
      <c r="DR71" s="170"/>
      <c r="DS71" s="170"/>
      <c r="DT71" s="170"/>
      <c r="DU71" s="170"/>
      <c r="DV71" s="170"/>
      <c r="DW71" s="170"/>
      <c r="DX71" s="170"/>
      <c r="DY71" s="170"/>
      <c r="DZ71" s="170"/>
      <c r="EA71" s="170"/>
      <c r="EB71" s="170"/>
      <c r="EC71" s="170"/>
      <c r="ED71" s="170"/>
      <c r="EE71" s="170"/>
      <c r="EF71" s="170"/>
      <c r="EG71" s="170"/>
      <c r="EH71" s="170"/>
      <c r="EI71" s="170"/>
      <c r="EJ71" s="170"/>
      <c r="EK71" s="170"/>
      <c r="EL71" s="170"/>
      <c r="EM71" s="170"/>
      <c r="EN71" s="170"/>
      <c r="EO71" s="170"/>
      <c r="EP71" s="170"/>
      <c r="EQ71" s="170"/>
      <c r="ER71" s="170"/>
      <c r="ES71" s="170"/>
      <c r="ET71" s="170"/>
      <c r="EU71" s="170"/>
      <c r="EV71" s="170"/>
      <c r="EW71" s="170"/>
      <c r="EX71" s="170"/>
      <c r="EY71" s="170"/>
      <c r="EZ71" s="170"/>
      <c r="FA71" s="170"/>
      <c r="FB71" s="170"/>
      <c r="FC71" s="170"/>
      <c r="FD71" s="170"/>
      <c r="FE71" s="170"/>
      <c r="FF71" s="170"/>
      <c r="FG71" s="170"/>
      <c r="FH71" s="170"/>
      <c r="FI71" s="170"/>
      <c r="FJ71" s="170"/>
      <c r="FK71" s="170"/>
      <c r="FL71" s="170"/>
      <c r="FM71" s="170"/>
      <c r="FN71" s="170"/>
      <c r="FO71" s="170"/>
      <c r="FP71" s="170"/>
      <c r="FQ71" s="170"/>
      <c r="FR71" s="170"/>
      <c r="FS71" s="170"/>
      <c r="FT71" s="170"/>
      <c r="FU71" s="170"/>
      <c r="FV71" s="170"/>
      <c r="FW71" s="170"/>
      <c r="FX71" s="170"/>
      <c r="FY71" s="170"/>
      <c r="FZ71" s="170"/>
      <c r="GA71" s="170"/>
      <c r="GB71" s="170"/>
      <c r="GC71" s="170"/>
    </row>
    <row r="72" spans="1:185" s="180" customFormat="1" ht="13">
      <c r="A72" s="683"/>
      <c r="B72" s="569" t="s">
        <v>2351</v>
      </c>
      <c r="C72" s="201">
        <f>SUM(E72:AG72)</f>
        <v>0</v>
      </c>
      <c r="D72" s="293">
        <v>1</v>
      </c>
      <c r="E72" s="202"/>
      <c r="F72" s="202"/>
      <c r="G72" s="202"/>
      <c r="H72" s="202"/>
      <c r="I72" s="202"/>
      <c r="J72" s="202"/>
      <c r="K72" s="203"/>
      <c r="L72" s="203"/>
      <c r="M72" s="203"/>
      <c r="N72" s="203"/>
      <c r="O72" s="203"/>
      <c r="P72" s="203"/>
      <c r="Q72" s="203"/>
      <c r="R72" s="203"/>
      <c r="S72" s="203"/>
      <c r="T72" s="203"/>
      <c r="U72" s="203"/>
      <c r="V72" s="203"/>
      <c r="W72" s="203"/>
      <c r="X72" s="203"/>
      <c r="Y72" s="203"/>
      <c r="Z72" s="203"/>
      <c r="AA72" s="203"/>
      <c r="AB72" s="203"/>
      <c r="AC72" s="203"/>
      <c r="AD72" s="203"/>
      <c r="AE72" s="203"/>
      <c r="AF72" s="203"/>
      <c r="AG72" s="203"/>
      <c r="AH72" s="170"/>
      <c r="AI72" s="170"/>
      <c r="AJ72" s="170"/>
      <c r="AK72" s="170"/>
      <c r="AL72" s="170"/>
      <c r="AM72" s="170"/>
      <c r="AN72" s="170"/>
      <c r="AO72" s="170"/>
      <c r="AP72" s="170"/>
      <c r="AQ72" s="170"/>
      <c r="AR72" s="170"/>
      <c r="AS72" s="170"/>
      <c r="AT72" s="170"/>
      <c r="AU72" s="170"/>
      <c r="AV72" s="170"/>
      <c r="AW72" s="170"/>
      <c r="AX72" s="170"/>
      <c r="AY72" s="170"/>
      <c r="AZ72" s="170"/>
      <c r="BA72" s="170"/>
      <c r="BB72" s="170"/>
      <c r="BC72" s="170"/>
      <c r="BD72" s="170"/>
      <c r="BE72" s="170"/>
      <c r="BF72" s="170"/>
      <c r="BG72" s="170"/>
      <c r="BH72" s="170"/>
      <c r="BI72" s="170"/>
      <c r="BJ72" s="170"/>
      <c r="BK72" s="170"/>
      <c r="BL72" s="170"/>
      <c r="BM72" s="170"/>
      <c r="BN72" s="170"/>
      <c r="BO72" s="170"/>
      <c r="BP72" s="170"/>
      <c r="BQ72" s="170"/>
      <c r="BR72" s="170"/>
      <c r="BS72" s="170"/>
      <c r="BT72" s="170"/>
      <c r="BU72" s="170"/>
      <c r="BV72" s="170"/>
      <c r="BW72" s="170"/>
      <c r="BX72" s="170"/>
      <c r="BY72" s="170"/>
      <c r="BZ72" s="170"/>
      <c r="CA72" s="170"/>
      <c r="CB72" s="170"/>
      <c r="CC72" s="170"/>
      <c r="CD72" s="170"/>
      <c r="CE72" s="170"/>
      <c r="CF72" s="170"/>
      <c r="CG72" s="170"/>
      <c r="CH72" s="170"/>
      <c r="CI72" s="170"/>
      <c r="CJ72" s="170"/>
      <c r="CK72" s="170"/>
      <c r="CL72" s="170"/>
      <c r="CM72" s="170"/>
      <c r="CN72" s="170"/>
      <c r="CO72" s="170"/>
      <c r="CP72" s="170"/>
      <c r="CQ72" s="170"/>
      <c r="CR72" s="170"/>
      <c r="CS72" s="170"/>
      <c r="CT72" s="170"/>
      <c r="CU72" s="170"/>
      <c r="CV72" s="170"/>
      <c r="CW72" s="170"/>
      <c r="CX72" s="170"/>
      <c r="CY72" s="170"/>
      <c r="CZ72" s="170"/>
      <c r="DA72" s="170"/>
      <c r="DB72" s="170"/>
      <c r="DC72" s="170"/>
      <c r="DD72" s="170"/>
      <c r="DE72" s="170"/>
      <c r="DF72" s="170"/>
      <c r="DG72" s="170"/>
      <c r="DH72" s="170"/>
      <c r="DI72" s="170"/>
      <c r="DJ72" s="170"/>
      <c r="DK72" s="170"/>
      <c r="DL72" s="170"/>
      <c r="DM72" s="170"/>
      <c r="DN72" s="170"/>
      <c r="DO72" s="170"/>
      <c r="DP72" s="170"/>
      <c r="DQ72" s="170"/>
      <c r="DR72" s="170"/>
      <c r="DS72" s="170"/>
      <c r="DT72" s="170"/>
      <c r="DU72" s="170"/>
      <c r="DV72" s="170"/>
      <c r="DW72" s="170"/>
      <c r="DX72" s="170"/>
      <c r="DY72" s="170"/>
      <c r="DZ72" s="170"/>
      <c r="EA72" s="170"/>
      <c r="EB72" s="170"/>
      <c r="EC72" s="170"/>
      <c r="ED72" s="170"/>
      <c r="EE72" s="170"/>
      <c r="EF72" s="170"/>
      <c r="EG72" s="170"/>
      <c r="EH72" s="170"/>
      <c r="EI72" s="170"/>
      <c r="EJ72" s="170"/>
      <c r="EK72" s="170"/>
      <c r="EL72" s="170"/>
      <c r="EM72" s="170"/>
      <c r="EN72" s="170"/>
      <c r="EO72" s="170"/>
      <c r="EP72" s="170"/>
      <c r="EQ72" s="170"/>
      <c r="ER72" s="170"/>
      <c r="ES72" s="170"/>
      <c r="ET72" s="170"/>
      <c r="EU72" s="170"/>
      <c r="EV72" s="170"/>
      <c r="EW72" s="170"/>
      <c r="EX72" s="170"/>
      <c r="EY72" s="170"/>
      <c r="EZ72" s="170"/>
      <c r="FA72" s="170"/>
      <c r="FB72" s="170"/>
      <c r="FC72" s="170"/>
      <c r="FD72" s="170"/>
      <c r="FE72" s="170"/>
      <c r="FF72" s="170"/>
      <c r="FG72" s="170"/>
      <c r="FH72" s="170"/>
      <c r="FI72" s="170"/>
      <c r="FJ72" s="170"/>
      <c r="FK72" s="170"/>
      <c r="FL72" s="170"/>
      <c r="FM72" s="170"/>
      <c r="FN72" s="170"/>
      <c r="FO72" s="170"/>
      <c r="FP72" s="170"/>
      <c r="FQ72" s="170"/>
      <c r="FR72" s="170"/>
      <c r="FS72" s="170"/>
      <c r="FT72" s="170"/>
      <c r="FU72" s="170"/>
      <c r="FV72" s="170"/>
      <c r="FW72" s="170"/>
      <c r="FX72" s="170"/>
      <c r="FY72" s="170"/>
      <c r="FZ72" s="170"/>
      <c r="GA72" s="170"/>
      <c r="GB72" s="170"/>
      <c r="GC72" s="170"/>
    </row>
    <row r="73" spans="1:185" s="180" customFormat="1" ht="13">
      <c r="A73" s="683"/>
      <c r="B73" s="568" t="s">
        <v>1933</v>
      </c>
      <c r="C73" s="418">
        <f>SUM(E73:AG73)</f>
        <v>0</v>
      </c>
      <c r="D73" s="419">
        <f>D71+D72</f>
        <v>43</v>
      </c>
      <c r="E73" s="420">
        <f t="shared" ref="E73:AG73" si="16">E71+E72</f>
        <v>0</v>
      </c>
      <c r="F73" s="420">
        <f t="shared" si="16"/>
        <v>0</v>
      </c>
      <c r="G73" s="420">
        <f t="shared" si="16"/>
        <v>0</v>
      </c>
      <c r="H73" s="420">
        <f t="shared" si="16"/>
        <v>0</v>
      </c>
      <c r="I73" s="420">
        <f t="shared" si="16"/>
        <v>0</v>
      </c>
      <c r="J73" s="420">
        <f t="shared" si="16"/>
        <v>0</v>
      </c>
      <c r="K73" s="420">
        <f t="shared" si="16"/>
        <v>0</v>
      </c>
      <c r="L73" s="420">
        <f t="shared" si="16"/>
        <v>0</v>
      </c>
      <c r="M73" s="420">
        <f t="shared" si="16"/>
        <v>0</v>
      </c>
      <c r="N73" s="420">
        <f t="shared" si="16"/>
        <v>0</v>
      </c>
      <c r="O73" s="420">
        <f t="shared" si="16"/>
        <v>0</v>
      </c>
      <c r="P73" s="420">
        <f t="shared" si="16"/>
        <v>0</v>
      </c>
      <c r="Q73" s="420">
        <f t="shared" si="16"/>
        <v>0</v>
      </c>
      <c r="R73" s="420">
        <f t="shared" si="16"/>
        <v>0</v>
      </c>
      <c r="S73" s="420">
        <f t="shared" si="16"/>
        <v>0</v>
      </c>
      <c r="T73" s="420">
        <f t="shared" si="16"/>
        <v>0</v>
      </c>
      <c r="U73" s="420">
        <f t="shared" si="16"/>
        <v>0</v>
      </c>
      <c r="V73" s="420">
        <f t="shared" si="16"/>
        <v>0</v>
      </c>
      <c r="W73" s="420">
        <f t="shared" si="16"/>
        <v>0</v>
      </c>
      <c r="X73" s="420">
        <f t="shared" si="16"/>
        <v>0</v>
      </c>
      <c r="Y73" s="420">
        <f t="shared" si="16"/>
        <v>0</v>
      </c>
      <c r="Z73" s="420">
        <f t="shared" si="16"/>
        <v>0</v>
      </c>
      <c r="AA73" s="420">
        <f t="shared" si="16"/>
        <v>0</v>
      </c>
      <c r="AB73" s="420">
        <f t="shared" si="16"/>
        <v>0</v>
      </c>
      <c r="AC73" s="420">
        <f t="shared" si="16"/>
        <v>0</v>
      </c>
      <c r="AD73" s="420">
        <f t="shared" si="16"/>
        <v>0</v>
      </c>
      <c r="AE73" s="420">
        <f t="shared" si="16"/>
        <v>0</v>
      </c>
      <c r="AF73" s="420">
        <f t="shared" si="16"/>
        <v>0</v>
      </c>
      <c r="AG73" s="420">
        <f t="shared" si="16"/>
        <v>0</v>
      </c>
      <c r="AH73" s="170"/>
      <c r="AI73" s="170"/>
      <c r="AJ73" s="170"/>
      <c r="AK73" s="170"/>
      <c r="AL73" s="170"/>
      <c r="AM73" s="170"/>
      <c r="AN73" s="170"/>
      <c r="AO73" s="170"/>
      <c r="AP73" s="170"/>
      <c r="AQ73" s="170"/>
      <c r="AR73" s="170"/>
      <c r="AS73" s="170"/>
      <c r="AT73" s="170"/>
      <c r="AU73" s="170"/>
      <c r="AV73" s="170"/>
      <c r="AW73" s="170"/>
      <c r="AX73" s="170"/>
      <c r="AY73" s="170"/>
      <c r="AZ73" s="170"/>
      <c r="BA73" s="170"/>
      <c r="BB73" s="170"/>
      <c r="BC73" s="170"/>
      <c r="BD73" s="170"/>
      <c r="BE73" s="170"/>
      <c r="BF73" s="170"/>
      <c r="BG73" s="170"/>
      <c r="BH73" s="170"/>
      <c r="BI73" s="170"/>
      <c r="BJ73" s="170"/>
      <c r="BK73" s="170"/>
      <c r="BL73" s="170"/>
      <c r="BM73" s="170"/>
      <c r="BN73" s="170"/>
      <c r="BO73" s="170"/>
      <c r="BP73" s="170"/>
      <c r="BQ73" s="170"/>
      <c r="BR73" s="170"/>
      <c r="BS73" s="170"/>
      <c r="BT73" s="170"/>
      <c r="BU73" s="170"/>
      <c r="BV73" s="170"/>
      <c r="BW73" s="170"/>
      <c r="BX73" s="170"/>
      <c r="BY73" s="170"/>
      <c r="BZ73" s="170"/>
      <c r="CA73" s="170"/>
      <c r="CB73" s="170"/>
      <c r="CC73" s="170"/>
      <c r="CD73" s="170"/>
      <c r="CE73" s="170"/>
      <c r="CF73" s="170"/>
      <c r="CG73" s="170"/>
      <c r="CH73" s="170"/>
      <c r="CI73" s="170"/>
      <c r="CJ73" s="170"/>
      <c r="CK73" s="170"/>
      <c r="CL73" s="170"/>
      <c r="CM73" s="170"/>
      <c r="CN73" s="170"/>
      <c r="CO73" s="170"/>
      <c r="CP73" s="170"/>
      <c r="CQ73" s="170"/>
      <c r="CR73" s="170"/>
      <c r="CS73" s="170"/>
      <c r="CT73" s="170"/>
      <c r="CU73" s="170"/>
      <c r="CV73" s="170"/>
      <c r="CW73" s="170"/>
      <c r="CX73" s="170"/>
      <c r="CY73" s="170"/>
      <c r="CZ73" s="170"/>
      <c r="DA73" s="170"/>
      <c r="DB73" s="170"/>
      <c r="DC73" s="170"/>
      <c r="DD73" s="170"/>
      <c r="DE73" s="170"/>
      <c r="DF73" s="170"/>
      <c r="DG73" s="170"/>
      <c r="DH73" s="170"/>
      <c r="DI73" s="170"/>
      <c r="DJ73" s="170"/>
      <c r="DK73" s="170"/>
      <c r="DL73" s="170"/>
      <c r="DM73" s="170"/>
      <c r="DN73" s="170"/>
      <c r="DO73" s="170"/>
      <c r="DP73" s="170"/>
      <c r="DQ73" s="170"/>
      <c r="DR73" s="170"/>
      <c r="DS73" s="170"/>
      <c r="DT73" s="170"/>
      <c r="DU73" s="170"/>
      <c r="DV73" s="170"/>
      <c r="DW73" s="170"/>
      <c r="DX73" s="170"/>
      <c r="DY73" s="170"/>
      <c r="DZ73" s="170"/>
      <c r="EA73" s="170"/>
      <c r="EB73" s="170"/>
      <c r="EC73" s="170"/>
      <c r="ED73" s="170"/>
      <c r="EE73" s="170"/>
      <c r="EF73" s="170"/>
      <c r="EG73" s="170"/>
      <c r="EH73" s="170"/>
      <c r="EI73" s="170"/>
      <c r="EJ73" s="170"/>
      <c r="EK73" s="170"/>
      <c r="EL73" s="170"/>
      <c r="EM73" s="170"/>
      <c r="EN73" s="170"/>
      <c r="EO73" s="170"/>
      <c r="EP73" s="170"/>
      <c r="EQ73" s="170"/>
      <c r="ER73" s="170"/>
      <c r="ES73" s="170"/>
      <c r="ET73" s="170"/>
      <c r="EU73" s="170"/>
      <c r="EV73" s="170"/>
      <c r="EW73" s="170"/>
      <c r="EX73" s="170"/>
      <c r="EY73" s="170"/>
      <c r="EZ73" s="170"/>
      <c r="FA73" s="170"/>
      <c r="FB73" s="170"/>
      <c r="FC73" s="170"/>
      <c r="FD73" s="170"/>
      <c r="FE73" s="170"/>
      <c r="FF73" s="170"/>
      <c r="FG73" s="170"/>
      <c r="FH73" s="170"/>
      <c r="FI73" s="170"/>
      <c r="FJ73" s="170"/>
      <c r="FK73" s="170"/>
      <c r="FL73" s="170"/>
      <c r="FM73" s="170"/>
      <c r="FN73" s="170"/>
      <c r="FO73" s="170"/>
      <c r="FP73" s="170"/>
      <c r="FQ73" s="170"/>
      <c r="FR73" s="170"/>
      <c r="FS73" s="170"/>
      <c r="FT73" s="170"/>
      <c r="FU73" s="170"/>
      <c r="FV73" s="170"/>
      <c r="FW73" s="170"/>
      <c r="FX73" s="170"/>
      <c r="FY73" s="170"/>
      <c r="FZ73" s="170"/>
      <c r="GA73" s="170"/>
      <c r="GB73" s="170"/>
      <c r="GC73" s="170"/>
    </row>
    <row r="74" spans="1:185" s="291" customFormat="1" ht="13">
      <c r="A74" s="683"/>
      <c r="B74" s="570" t="s">
        <v>2191</v>
      </c>
      <c r="C74" s="462">
        <f t="array" ref="C74">IF(ISNUMBER(SUM((E74:AG74&gt;0)*(E71:AG71&gt;0)*(E74:AG74)*(E71:AG71))/SUM((E74:AG74&gt;0)*(E71:AG71&gt;0)*(E71:AG71))),SUM((E74:AG74&gt;0)*(E71:AG71&gt;0)*(E74:AG74)*(E71:AG71))/SUM((E74:AG74&gt;0)*(E71:AG71&gt;0)*(E71:AG71)),0)</f>
        <v>0</v>
      </c>
      <c r="D74" s="463">
        <v>3.6</v>
      </c>
      <c r="E74" s="464"/>
      <c r="F74" s="464"/>
      <c r="G74" s="464"/>
      <c r="H74" s="464"/>
      <c r="I74" s="464"/>
      <c r="J74" s="464"/>
      <c r="K74" s="464"/>
      <c r="L74" s="464"/>
      <c r="M74" s="464"/>
      <c r="N74" s="464"/>
      <c r="O74" s="464"/>
      <c r="P74" s="464"/>
      <c r="Q74" s="464"/>
      <c r="R74" s="464"/>
      <c r="S74" s="464"/>
      <c r="T74" s="464"/>
      <c r="U74" s="464"/>
      <c r="V74" s="464"/>
      <c r="W74" s="464"/>
      <c r="X74" s="464"/>
      <c r="Y74" s="464"/>
      <c r="Z74" s="464"/>
      <c r="AA74" s="464"/>
      <c r="AB74" s="464"/>
      <c r="AC74" s="464"/>
      <c r="AD74" s="464"/>
      <c r="AE74" s="464"/>
      <c r="AF74" s="464"/>
      <c r="AG74" s="464"/>
      <c r="AH74" s="170"/>
      <c r="AI74" s="170"/>
      <c r="AJ74" s="170"/>
      <c r="AK74" s="170"/>
      <c r="AL74" s="170"/>
      <c r="AM74" s="170"/>
      <c r="AN74" s="170"/>
      <c r="AO74" s="170"/>
      <c r="AP74" s="170"/>
      <c r="AQ74" s="170"/>
      <c r="AR74" s="170"/>
      <c r="AS74" s="170"/>
      <c r="AT74" s="170"/>
      <c r="AU74" s="170"/>
      <c r="AV74" s="170"/>
      <c r="AW74" s="170"/>
      <c r="AX74" s="170"/>
      <c r="AY74" s="170"/>
      <c r="AZ74" s="170"/>
      <c r="BA74" s="170"/>
      <c r="BB74" s="170"/>
      <c r="BC74" s="170"/>
      <c r="BD74" s="170"/>
      <c r="BE74" s="170"/>
      <c r="BF74" s="170"/>
      <c r="BG74" s="170"/>
      <c r="BH74" s="170"/>
      <c r="BI74" s="170"/>
      <c r="BJ74" s="170"/>
      <c r="BK74" s="170"/>
      <c r="BL74" s="170"/>
      <c r="BM74" s="170"/>
      <c r="BN74" s="170"/>
      <c r="BO74" s="170"/>
      <c r="BP74" s="170"/>
      <c r="BQ74" s="170"/>
      <c r="BR74" s="170"/>
      <c r="BS74" s="170"/>
      <c r="BT74" s="170"/>
      <c r="BU74" s="170"/>
      <c r="BV74" s="170"/>
      <c r="BW74" s="170"/>
      <c r="BX74" s="170"/>
      <c r="BY74" s="170"/>
      <c r="BZ74" s="170"/>
      <c r="CA74" s="170"/>
      <c r="CB74" s="170"/>
      <c r="CC74" s="170"/>
      <c r="CD74" s="170"/>
      <c r="CE74" s="170"/>
      <c r="CF74" s="170"/>
      <c r="CG74" s="170"/>
      <c r="CH74" s="170"/>
      <c r="CI74" s="170"/>
      <c r="CJ74" s="170"/>
      <c r="CK74" s="170"/>
      <c r="CL74" s="170"/>
      <c r="CM74" s="170"/>
      <c r="CN74" s="170"/>
      <c r="CO74" s="170"/>
      <c r="CP74" s="170"/>
      <c r="CQ74" s="170"/>
      <c r="CR74" s="170"/>
      <c r="CS74" s="170"/>
      <c r="CT74" s="170"/>
      <c r="CU74" s="170"/>
      <c r="CV74" s="170"/>
      <c r="CW74" s="170"/>
      <c r="CX74" s="170"/>
      <c r="CY74" s="170"/>
      <c r="CZ74" s="170"/>
      <c r="DA74" s="170"/>
      <c r="DB74" s="170"/>
      <c r="DC74" s="170"/>
      <c r="DD74" s="170"/>
      <c r="DE74" s="170"/>
      <c r="DF74" s="170"/>
      <c r="DG74" s="170"/>
      <c r="DH74" s="170"/>
      <c r="DI74" s="170"/>
      <c r="DJ74" s="170"/>
      <c r="DK74" s="170"/>
      <c r="DL74" s="170"/>
      <c r="DM74" s="170"/>
      <c r="DN74" s="170"/>
      <c r="DO74" s="170"/>
      <c r="DP74" s="170"/>
      <c r="DQ74" s="170"/>
      <c r="DR74" s="170"/>
      <c r="DS74" s="170"/>
      <c r="DT74" s="170"/>
      <c r="DU74" s="170"/>
      <c r="DV74" s="170"/>
      <c r="DW74" s="170"/>
      <c r="DX74" s="170"/>
      <c r="DY74" s="170"/>
      <c r="DZ74" s="170"/>
      <c r="EA74" s="170"/>
      <c r="EB74" s="170"/>
      <c r="EC74" s="170"/>
      <c r="ED74" s="170"/>
      <c r="EE74" s="170"/>
      <c r="EF74" s="170"/>
      <c r="EG74" s="170"/>
      <c r="EH74" s="170"/>
      <c r="EI74" s="170"/>
      <c r="EJ74" s="170"/>
      <c r="EK74" s="170"/>
      <c r="EL74" s="170"/>
      <c r="EM74" s="170"/>
      <c r="EN74" s="170"/>
      <c r="EO74" s="170"/>
      <c r="EP74" s="170"/>
      <c r="EQ74" s="170"/>
      <c r="ER74" s="170"/>
      <c r="ES74" s="170"/>
      <c r="ET74" s="170"/>
      <c r="EU74" s="170"/>
      <c r="EV74" s="170"/>
      <c r="EW74" s="170"/>
      <c r="EX74" s="170"/>
      <c r="EY74" s="170"/>
      <c r="EZ74" s="170"/>
      <c r="FA74" s="170"/>
      <c r="FB74" s="170"/>
      <c r="FC74" s="170"/>
      <c r="FD74" s="170"/>
      <c r="FE74" s="170"/>
      <c r="FF74" s="170"/>
      <c r="FG74" s="170"/>
      <c r="FH74" s="170"/>
      <c r="FI74" s="170"/>
      <c r="FJ74" s="170"/>
      <c r="FK74" s="170"/>
      <c r="FL74" s="170"/>
      <c r="FM74" s="170"/>
      <c r="FN74" s="170"/>
      <c r="FO74" s="170"/>
      <c r="FP74" s="170"/>
      <c r="FQ74" s="170"/>
      <c r="FR74" s="170"/>
      <c r="FS74" s="170"/>
      <c r="FT74" s="170"/>
      <c r="FU74" s="170"/>
      <c r="FV74" s="170"/>
      <c r="FW74" s="170"/>
      <c r="FX74" s="170"/>
      <c r="FY74" s="170"/>
      <c r="FZ74" s="170"/>
      <c r="GA74" s="170"/>
      <c r="GB74" s="170"/>
      <c r="GC74" s="170"/>
    </row>
    <row r="75" spans="1:185" s="291" customFormat="1" ht="13">
      <c r="A75" s="683"/>
      <c r="B75" s="563" t="s">
        <v>2450</v>
      </c>
      <c r="C75" s="471" t="str">
        <f t="shared" ref="C75:AG75" si="17">IF(ISNUMBER(C65/C66),C65/C66,"")</f>
        <v/>
      </c>
      <c r="D75" s="467">
        <f t="shared" si="17"/>
        <v>2359.93608764582</v>
      </c>
      <c r="E75" s="479" t="str">
        <f t="shared" si="17"/>
        <v/>
      </c>
      <c r="F75" s="480" t="str">
        <f t="shared" si="17"/>
        <v/>
      </c>
      <c r="G75" s="479" t="str">
        <f>IF(ISNUMBER(G65/G66),G65/G66,"")</f>
        <v/>
      </c>
      <c r="H75" s="479" t="str">
        <f t="shared" si="17"/>
        <v/>
      </c>
      <c r="I75" s="479" t="str">
        <f t="shared" si="17"/>
        <v/>
      </c>
      <c r="J75" s="479" t="str">
        <f t="shared" si="17"/>
        <v/>
      </c>
      <c r="K75" s="479" t="str">
        <f t="shared" si="17"/>
        <v/>
      </c>
      <c r="L75" s="479" t="str">
        <f t="shared" si="17"/>
        <v/>
      </c>
      <c r="M75" s="479" t="str">
        <f t="shared" si="17"/>
        <v/>
      </c>
      <c r="N75" s="479" t="str">
        <f t="shared" si="17"/>
        <v/>
      </c>
      <c r="O75" s="479" t="str">
        <f t="shared" si="17"/>
        <v/>
      </c>
      <c r="P75" s="479" t="str">
        <f t="shared" si="17"/>
        <v/>
      </c>
      <c r="Q75" s="479" t="str">
        <f t="shared" si="17"/>
        <v/>
      </c>
      <c r="R75" s="479" t="str">
        <f t="shared" si="17"/>
        <v/>
      </c>
      <c r="S75" s="479" t="str">
        <f t="shared" si="17"/>
        <v/>
      </c>
      <c r="T75" s="479" t="str">
        <f t="shared" si="17"/>
        <v/>
      </c>
      <c r="U75" s="479" t="str">
        <f t="shared" si="17"/>
        <v/>
      </c>
      <c r="V75" s="479" t="str">
        <f t="shared" si="17"/>
        <v/>
      </c>
      <c r="W75" s="479" t="str">
        <f t="shared" si="17"/>
        <v/>
      </c>
      <c r="X75" s="479" t="str">
        <f t="shared" si="17"/>
        <v/>
      </c>
      <c r="Y75" s="479" t="str">
        <f t="shared" si="17"/>
        <v/>
      </c>
      <c r="Z75" s="479" t="str">
        <f t="shared" si="17"/>
        <v/>
      </c>
      <c r="AA75" s="479" t="str">
        <f t="shared" si="17"/>
        <v/>
      </c>
      <c r="AB75" s="479" t="str">
        <f t="shared" si="17"/>
        <v/>
      </c>
      <c r="AC75" s="479" t="str">
        <f t="shared" si="17"/>
        <v/>
      </c>
      <c r="AD75" s="479" t="str">
        <f t="shared" si="17"/>
        <v/>
      </c>
      <c r="AE75" s="479" t="str">
        <f t="shared" si="17"/>
        <v/>
      </c>
      <c r="AF75" s="479" t="str">
        <f t="shared" si="17"/>
        <v/>
      </c>
      <c r="AG75" s="479" t="str">
        <f t="shared" si="17"/>
        <v/>
      </c>
      <c r="AH75" s="170"/>
      <c r="AI75" s="170"/>
      <c r="AJ75" s="170"/>
      <c r="AK75" s="170"/>
      <c r="AL75" s="170"/>
      <c r="AM75" s="170"/>
      <c r="AN75" s="170"/>
      <c r="AO75" s="170"/>
      <c r="AP75" s="170"/>
      <c r="AQ75" s="170"/>
      <c r="AR75" s="170"/>
      <c r="AS75" s="170"/>
      <c r="AT75" s="170"/>
      <c r="AU75" s="170"/>
      <c r="AV75" s="170"/>
      <c r="AW75" s="170"/>
      <c r="AX75" s="170"/>
      <c r="AY75" s="170"/>
      <c r="AZ75" s="170"/>
      <c r="BA75" s="170"/>
      <c r="BB75" s="170"/>
      <c r="BC75" s="170"/>
      <c r="BD75" s="170"/>
      <c r="BE75" s="170"/>
      <c r="BF75" s="170"/>
      <c r="BG75" s="170"/>
      <c r="BH75" s="170"/>
      <c r="BI75" s="170"/>
      <c r="BJ75" s="170"/>
      <c r="BK75" s="170"/>
      <c r="BL75" s="170"/>
      <c r="BM75" s="170"/>
      <c r="BN75" s="170"/>
      <c r="BO75" s="170"/>
      <c r="BP75" s="170"/>
      <c r="BQ75" s="170"/>
      <c r="BR75" s="170"/>
      <c r="BS75" s="170"/>
      <c r="BT75" s="170"/>
      <c r="BU75" s="170"/>
      <c r="BV75" s="170"/>
      <c r="BW75" s="170"/>
      <c r="BX75" s="170"/>
      <c r="BY75" s="170"/>
      <c r="BZ75" s="170"/>
      <c r="CA75" s="170"/>
      <c r="CB75" s="170"/>
      <c r="CC75" s="170"/>
      <c r="CD75" s="170"/>
      <c r="CE75" s="170"/>
      <c r="CF75" s="170"/>
      <c r="CG75" s="170"/>
      <c r="CH75" s="170"/>
      <c r="CI75" s="170"/>
      <c r="CJ75" s="170"/>
      <c r="CK75" s="170"/>
      <c r="CL75" s="170"/>
      <c r="CM75" s="170"/>
      <c r="CN75" s="170"/>
      <c r="CO75" s="170"/>
      <c r="CP75" s="170"/>
      <c r="CQ75" s="170"/>
      <c r="CR75" s="170"/>
      <c r="CS75" s="170"/>
      <c r="CT75" s="170"/>
      <c r="CU75" s="170"/>
      <c r="CV75" s="170"/>
      <c r="CW75" s="170"/>
      <c r="CX75" s="170"/>
      <c r="CY75" s="170"/>
      <c r="CZ75" s="170"/>
      <c r="DA75" s="170"/>
      <c r="DB75" s="170"/>
      <c r="DC75" s="170"/>
      <c r="DD75" s="170"/>
      <c r="DE75" s="170"/>
      <c r="DF75" s="170"/>
      <c r="DG75" s="170"/>
      <c r="DH75" s="170"/>
      <c r="DI75" s="170"/>
      <c r="DJ75" s="170"/>
      <c r="DK75" s="170"/>
      <c r="DL75" s="170"/>
      <c r="DM75" s="170"/>
      <c r="DN75" s="170"/>
      <c r="DO75" s="170"/>
      <c r="DP75" s="170"/>
      <c r="DQ75" s="170"/>
      <c r="DR75" s="170"/>
      <c r="DS75" s="170"/>
      <c r="DT75" s="170"/>
      <c r="DU75" s="170"/>
      <c r="DV75" s="170"/>
      <c r="DW75" s="170"/>
      <c r="DX75" s="170"/>
      <c r="DY75" s="170"/>
      <c r="DZ75" s="170"/>
      <c r="EA75" s="170"/>
      <c r="EB75" s="170"/>
      <c r="EC75" s="170"/>
      <c r="ED75" s="170"/>
      <c r="EE75" s="170"/>
      <c r="EF75" s="170"/>
      <c r="EG75" s="170"/>
      <c r="EH75" s="170"/>
      <c r="EI75" s="170"/>
      <c r="EJ75" s="170"/>
      <c r="EK75" s="170"/>
      <c r="EL75" s="170"/>
      <c r="EM75" s="170"/>
      <c r="EN75" s="170"/>
      <c r="EO75" s="170"/>
      <c r="EP75" s="170"/>
      <c r="EQ75" s="170"/>
      <c r="ER75" s="170"/>
      <c r="ES75" s="170"/>
      <c r="ET75" s="170"/>
      <c r="EU75" s="170"/>
      <c r="EV75" s="170"/>
      <c r="EW75" s="170"/>
      <c r="EX75" s="170"/>
      <c r="EY75" s="170"/>
      <c r="EZ75" s="170"/>
      <c r="FA75" s="170"/>
      <c r="FB75" s="170"/>
      <c r="FC75" s="170"/>
      <c r="FD75" s="170"/>
      <c r="FE75" s="170"/>
      <c r="FF75" s="170"/>
      <c r="FG75" s="170"/>
      <c r="FH75" s="170"/>
      <c r="FI75" s="170"/>
      <c r="FJ75" s="170"/>
      <c r="FK75" s="170"/>
      <c r="FL75" s="170"/>
      <c r="FM75" s="170"/>
      <c r="FN75" s="170"/>
      <c r="FO75" s="170"/>
      <c r="FP75" s="170"/>
      <c r="FQ75" s="170"/>
      <c r="FR75" s="170"/>
      <c r="FS75" s="170"/>
      <c r="FT75" s="170"/>
      <c r="FU75" s="170"/>
      <c r="FV75" s="170"/>
      <c r="FW75" s="170"/>
      <c r="FX75" s="170"/>
      <c r="FY75" s="170"/>
      <c r="FZ75" s="170"/>
      <c r="GA75" s="170"/>
      <c r="GB75" s="170"/>
      <c r="GC75" s="170"/>
    </row>
    <row r="76" spans="1:185" s="291" customFormat="1" ht="13">
      <c r="A76" s="683"/>
      <c r="B76" s="565" t="s">
        <v>2444</v>
      </c>
      <c r="C76" s="481" t="str">
        <f t="shared" ref="C76:AG76" si="18">IF(ISNUMBER(C9/C64*100),C9/C64*100,"")</f>
        <v/>
      </c>
      <c r="D76" s="468">
        <f t="shared" si="18"/>
        <v>49.887412717520533</v>
      </c>
      <c r="E76" s="462" t="str">
        <f t="shared" si="18"/>
        <v/>
      </c>
      <c r="F76" s="462" t="str">
        <f t="shared" si="18"/>
        <v/>
      </c>
      <c r="G76" s="462" t="str">
        <f t="shared" si="18"/>
        <v/>
      </c>
      <c r="H76" s="462" t="str">
        <f t="shared" si="18"/>
        <v/>
      </c>
      <c r="I76" s="462" t="str">
        <f t="shared" si="18"/>
        <v/>
      </c>
      <c r="J76" s="462" t="str">
        <f t="shared" si="18"/>
        <v/>
      </c>
      <c r="K76" s="462" t="str">
        <f t="shared" si="18"/>
        <v/>
      </c>
      <c r="L76" s="462" t="str">
        <f t="shared" si="18"/>
        <v/>
      </c>
      <c r="M76" s="462" t="str">
        <f t="shared" si="18"/>
        <v/>
      </c>
      <c r="N76" s="462" t="str">
        <f t="shared" si="18"/>
        <v/>
      </c>
      <c r="O76" s="462" t="str">
        <f t="shared" si="18"/>
        <v/>
      </c>
      <c r="P76" s="462" t="str">
        <f t="shared" si="18"/>
        <v/>
      </c>
      <c r="Q76" s="462" t="str">
        <f t="shared" si="18"/>
        <v/>
      </c>
      <c r="R76" s="462" t="str">
        <f t="shared" si="18"/>
        <v/>
      </c>
      <c r="S76" s="462" t="str">
        <f t="shared" si="18"/>
        <v/>
      </c>
      <c r="T76" s="462" t="str">
        <f t="shared" si="18"/>
        <v/>
      </c>
      <c r="U76" s="462" t="str">
        <f t="shared" si="18"/>
        <v/>
      </c>
      <c r="V76" s="462" t="str">
        <f t="shared" si="18"/>
        <v/>
      </c>
      <c r="W76" s="462" t="str">
        <f t="shared" si="18"/>
        <v/>
      </c>
      <c r="X76" s="462" t="str">
        <f t="shared" si="18"/>
        <v/>
      </c>
      <c r="Y76" s="462" t="str">
        <f t="shared" si="18"/>
        <v/>
      </c>
      <c r="Z76" s="462" t="str">
        <f t="shared" si="18"/>
        <v/>
      </c>
      <c r="AA76" s="462" t="str">
        <f t="shared" si="18"/>
        <v/>
      </c>
      <c r="AB76" s="462" t="str">
        <f t="shared" si="18"/>
        <v/>
      </c>
      <c r="AC76" s="462" t="str">
        <f t="shared" si="18"/>
        <v/>
      </c>
      <c r="AD76" s="462" t="str">
        <f t="shared" si="18"/>
        <v/>
      </c>
      <c r="AE76" s="462" t="str">
        <f t="shared" si="18"/>
        <v/>
      </c>
      <c r="AF76" s="462" t="str">
        <f t="shared" si="18"/>
        <v/>
      </c>
      <c r="AG76" s="462" t="str">
        <f t="shared" si="18"/>
        <v/>
      </c>
      <c r="AH76" s="170"/>
      <c r="AI76" s="170"/>
      <c r="AJ76" s="170"/>
      <c r="AK76" s="170"/>
      <c r="AL76" s="170"/>
      <c r="AM76" s="170"/>
      <c r="AN76" s="170"/>
      <c r="AO76" s="170"/>
      <c r="AP76" s="170"/>
      <c r="AQ76" s="170"/>
      <c r="AR76" s="170"/>
      <c r="AS76" s="170"/>
      <c r="AT76" s="170"/>
      <c r="AU76" s="170"/>
      <c r="AV76" s="170"/>
      <c r="AW76" s="170"/>
      <c r="AX76" s="170"/>
      <c r="AY76" s="170"/>
      <c r="AZ76" s="170"/>
      <c r="BA76" s="170"/>
      <c r="BB76" s="170"/>
      <c r="BC76" s="170"/>
      <c r="BD76" s="170"/>
      <c r="BE76" s="170"/>
      <c r="BF76" s="170"/>
      <c r="BG76" s="170"/>
      <c r="BH76" s="170"/>
      <c r="BI76" s="170"/>
      <c r="BJ76" s="170"/>
      <c r="BK76" s="170"/>
      <c r="BL76" s="170"/>
      <c r="BM76" s="170"/>
      <c r="BN76" s="170"/>
      <c r="BO76" s="170"/>
      <c r="BP76" s="170"/>
      <c r="BQ76" s="170"/>
      <c r="BR76" s="170"/>
      <c r="BS76" s="170"/>
      <c r="BT76" s="170"/>
      <c r="BU76" s="170"/>
      <c r="BV76" s="170"/>
      <c r="BW76" s="170"/>
      <c r="BX76" s="170"/>
      <c r="BY76" s="170"/>
      <c r="BZ76" s="170"/>
      <c r="CA76" s="170"/>
      <c r="CB76" s="170"/>
      <c r="CC76" s="170"/>
      <c r="CD76" s="170"/>
      <c r="CE76" s="170"/>
      <c r="CF76" s="170"/>
      <c r="CG76" s="170"/>
      <c r="CH76" s="170"/>
      <c r="CI76" s="170"/>
      <c r="CJ76" s="170"/>
      <c r="CK76" s="170"/>
      <c r="CL76" s="170"/>
      <c r="CM76" s="170"/>
      <c r="CN76" s="170"/>
      <c r="CO76" s="170"/>
      <c r="CP76" s="170"/>
      <c r="CQ76" s="170"/>
      <c r="CR76" s="170"/>
      <c r="CS76" s="170"/>
      <c r="CT76" s="170"/>
      <c r="CU76" s="170"/>
      <c r="CV76" s="170"/>
      <c r="CW76" s="170"/>
      <c r="CX76" s="170"/>
      <c r="CY76" s="170"/>
      <c r="CZ76" s="170"/>
      <c r="DA76" s="170"/>
      <c r="DB76" s="170"/>
      <c r="DC76" s="170"/>
      <c r="DD76" s="170"/>
      <c r="DE76" s="170"/>
      <c r="DF76" s="170"/>
      <c r="DG76" s="170"/>
      <c r="DH76" s="170"/>
      <c r="DI76" s="170"/>
      <c r="DJ76" s="170"/>
      <c r="DK76" s="170"/>
      <c r="DL76" s="170"/>
      <c r="DM76" s="170"/>
      <c r="DN76" s="170"/>
      <c r="DO76" s="170"/>
      <c r="DP76" s="170"/>
      <c r="DQ76" s="170"/>
      <c r="DR76" s="170"/>
      <c r="DS76" s="170"/>
      <c r="DT76" s="170"/>
      <c r="DU76" s="170"/>
      <c r="DV76" s="170"/>
      <c r="DW76" s="170"/>
      <c r="DX76" s="170"/>
      <c r="DY76" s="170"/>
      <c r="DZ76" s="170"/>
      <c r="EA76" s="170"/>
      <c r="EB76" s="170"/>
      <c r="EC76" s="170"/>
      <c r="ED76" s="170"/>
      <c r="EE76" s="170"/>
      <c r="EF76" s="170"/>
      <c r="EG76" s="170"/>
      <c r="EH76" s="170"/>
      <c r="EI76" s="170"/>
      <c r="EJ76" s="170"/>
      <c r="EK76" s="170"/>
      <c r="EL76" s="170"/>
      <c r="EM76" s="170"/>
      <c r="EN76" s="170"/>
      <c r="EO76" s="170"/>
      <c r="EP76" s="170"/>
      <c r="EQ76" s="170"/>
      <c r="ER76" s="170"/>
      <c r="ES76" s="170"/>
      <c r="ET76" s="170"/>
      <c r="EU76" s="170"/>
      <c r="EV76" s="170"/>
      <c r="EW76" s="170"/>
      <c r="EX76" s="170"/>
      <c r="EY76" s="170"/>
      <c r="EZ76" s="170"/>
      <c r="FA76" s="170"/>
      <c r="FB76" s="170"/>
      <c r="FC76" s="170"/>
      <c r="FD76" s="170"/>
      <c r="FE76" s="170"/>
      <c r="FF76" s="170"/>
      <c r="FG76" s="170"/>
      <c r="FH76" s="170"/>
      <c r="FI76" s="170"/>
      <c r="FJ76" s="170"/>
      <c r="FK76" s="170"/>
      <c r="FL76" s="170"/>
      <c r="FM76" s="170"/>
      <c r="FN76" s="170"/>
      <c r="FO76" s="170"/>
      <c r="FP76" s="170"/>
      <c r="FQ76" s="170"/>
      <c r="FR76" s="170"/>
      <c r="FS76" s="170"/>
      <c r="FT76" s="170"/>
      <c r="FU76" s="170"/>
      <c r="FV76" s="170"/>
      <c r="FW76" s="170"/>
      <c r="FX76" s="170"/>
      <c r="FY76" s="170"/>
      <c r="FZ76" s="170"/>
      <c r="GA76" s="170"/>
      <c r="GB76" s="170"/>
      <c r="GC76" s="170"/>
    </row>
    <row r="77" spans="1:185" ht="12.75" customHeight="1">
      <c r="A77" s="290"/>
      <c r="B77" s="290"/>
      <c r="C77" s="290"/>
      <c r="D77" s="321"/>
      <c r="E77" s="321"/>
      <c r="F77" s="321"/>
      <c r="G77" s="321"/>
      <c r="H77" s="321"/>
      <c r="I77" s="321"/>
      <c r="J77" s="321"/>
      <c r="K77" s="321"/>
      <c r="L77" s="321"/>
      <c r="M77" s="321"/>
      <c r="N77" s="321"/>
      <c r="O77" s="321"/>
      <c r="P77" s="321"/>
      <c r="Q77" s="321"/>
      <c r="R77" s="321"/>
      <c r="S77" s="321"/>
      <c r="T77" s="321"/>
      <c r="U77" s="321"/>
      <c r="V77" s="321"/>
      <c r="W77" s="321"/>
      <c r="X77" s="321"/>
      <c r="Y77" s="321"/>
      <c r="Z77" s="321"/>
      <c r="AA77" s="321"/>
      <c r="AB77" s="321"/>
      <c r="AC77" s="321"/>
      <c r="AD77" s="321"/>
      <c r="AE77" s="321"/>
      <c r="AF77" s="321"/>
      <c r="AG77" s="409"/>
    </row>
    <row r="78" spans="1:185" ht="12.75" customHeight="1">
      <c r="A78" s="290"/>
      <c r="B78" s="695" t="s">
        <v>2334</v>
      </c>
      <c r="C78" s="696"/>
      <c r="D78" s="321"/>
      <c r="E78" s="321"/>
      <c r="F78" s="321"/>
      <c r="G78" s="321"/>
      <c r="H78" s="321"/>
      <c r="I78" s="321"/>
      <c r="J78" s="321"/>
      <c r="K78" s="321"/>
      <c r="L78" s="321"/>
      <c r="M78" s="321"/>
      <c r="N78" s="321"/>
      <c r="O78" s="321"/>
      <c r="P78" s="321"/>
      <c r="Q78" s="321"/>
      <c r="R78" s="321"/>
      <c r="S78" s="321"/>
      <c r="T78" s="321"/>
      <c r="U78" s="321"/>
      <c r="V78" s="321"/>
      <c r="W78" s="321"/>
      <c r="X78" s="321"/>
      <c r="Y78" s="321"/>
      <c r="Z78" s="321"/>
      <c r="AA78" s="321"/>
      <c r="AB78" s="321"/>
      <c r="AC78" s="321"/>
      <c r="AD78" s="321"/>
      <c r="AE78" s="321"/>
      <c r="AF78" s="321"/>
      <c r="AG78" s="421"/>
    </row>
    <row r="79" spans="1:185" ht="12.75" customHeight="1">
      <c r="A79" s="683" t="s">
        <v>2279</v>
      </c>
      <c r="B79" s="571" t="s">
        <v>2219</v>
      </c>
      <c r="C79" s="394"/>
      <c r="D79" s="321"/>
      <c r="E79" s="321"/>
      <c r="F79" s="321"/>
      <c r="G79" s="321"/>
      <c r="H79" s="321"/>
      <c r="I79" s="321"/>
      <c r="J79" s="321"/>
      <c r="K79" s="322"/>
      <c r="L79" s="322"/>
      <c r="M79" s="322"/>
      <c r="N79" s="322"/>
      <c r="O79" s="322"/>
      <c r="P79" s="322"/>
      <c r="Q79" s="322"/>
      <c r="R79" s="322"/>
      <c r="S79" s="322"/>
      <c r="T79" s="322"/>
      <c r="U79" s="322"/>
      <c r="V79" s="322"/>
      <c r="W79" s="322"/>
      <c r="X79" s="322"/>
      <c r="Y79" s="322"/>
      <c r="Z79" s="322"/>
      <c r="AA79" s="322"/>
      <c r="AB79" s="322"/>
      <c r="AC79" s="322"/>
      <c r="AD79" s="322"/>
      <c r="AE79" s="322"/>
      <c r="AF79" s="322"/>
      <c r="AG79" s="325"/>
    </row>
    <row r="80" spans="1:185" ht="12.75" customHeight="1">
      <c r="A80" s="683"/>
      <c r="B80" s="572" t="s">
        <v>2352</v>
      </c>
      <c r="C80" s="400"/>
      <c r="D80" s="321"/>
      <c r="E80" s="321"/>
      <c r="F80" s="321"/>
      <c r="G80" s="321"/>
      <c r="H80" s="321"/>
      <c r="I80" s="321"/>
      <c r="J80" s="321"/>
      <c r="K80" s="322"/>
      <c r="L80" s="322"/>
      <c r="M80" s="322"/>
      <c r="N80" s="322"/>
      <c r="O80" s="322"/>
      <c r="P80" s="322"/>
      <c r="Q80" s="322"/>
      <c r="R80" s="322"/>
      <c r="S80" s="322"/>
      <c r="T80" s="322"/>
      <c r="U80" s="322"/>
      <c r="V80" s="322"/>
      <c r="W80" s="322"/>
      <c r="X80" s="322"/>
      <c r="Y80" s="322"/>
      <c r="Z80" s="322"/>
      <c r="AA80" s="322"/>
      <c r="AB80" s="322"/>
      <c r="AC80" s="322"/>
      <c r="AD80" s="322"/>
      <c r="AE80" s="322"/>
      <c r="AF80" s="322"/>
      <c r="AG80" s="325"/>
    </row>
    <row r="81" spans="1:33" ht="12.75" customHeight="1">
      <c r="A81" s="683"/>
      <c r="B81" s="573" t="s">
        <v>2353</v>
      </c>
      <c r="C81" s="195"/>
      <c r="D81" s="321"/>
      <c r="E81" s="321"/>
      <c r="F81" s="321"/>
      <c r="G81" s="321"/>
      <c r="H81" s="321"/>
      <c r="I81" s="321"/>
      <c r="J81" s="321"/>
      <c r="K81" s="322"/>
      <c r="L81" s="322"/>
      <c r="M81" s="322"/>
      <c r="N81" s="322"/>
      <c r="O81" s="322"/>
      <c r="P81" s="322"/>
      <c r="Q81" s="322"/>
      <c r="R81" s="322"/>
      <c r="S81" s="322"/>
      <c r="T81" s="322"/>
      <c r="U81" s="322"/>
      <c r="V81" s="322"/>
      <c r="W81" s="322"/>
      <c r="X81" s="322"/>
      <c r="Y81" s="322"/>
      <c r="Z81" s="322"/>
      <c r="AA81" s="322"/>
      <c r="AB81" s="322"/>
      <c r="AC81" s="322"/>
      <c r="AD81" s="322"/>
      <c r="AE81" s="322"/>
      <c r="AF81" s="322"/>
      <c r="AG81" s="325"/>
    </row>
    <row r="82" spans="1:33" ht="12.75" customHeight="1">
      <c r="A82" s="683"/>
      <c r="B82" s="574" t="s">
        <v>2284</v>
      </c>
      <c r="C82" s="412">
        <f>IF(ISNUMBER(C80/C81),C80/C81,0)</f>
        <v>0</v>
      </c>
      <c r="D82" s="321"/>
      <c r="E82" s="321"/>
      <c r="F82" s="321"/>
      <c r="G82" s="321"/>
      <c r="H82" s="321"/>
      <c r="I82" s="321"/>
      <c r="J82" s="321"/>
      <c r="K82" s="322"/>
      <c r="L82" s="322"/>
      <c r="M82" s="322"/>
      <c r="N82" s="322"/>
      <c r="O82" s="322"/>
      <c r="P82" s="322"/>
      <c r="Q82" s="322"/>
      <c r="R82" s="322"/>
      <c r="S82" s="322"/>
      <c r="T82" s="322"/>
      <c r="U82" s="322"/>
      <c r="V82" s="322"/>
      <c r="W82" s="322"/>
      <c r="X82" s="322"/>
      <c r="Y82" s="322"/>
      <c r="Z82" s="322"/>
      <c r="AA82" s="322"/>
      <c r="AB82" s="322"/>
      <c r="AC82" s="322"/>
      <c r="AD82" s="322"/>
      <c r="AE82" s="322"/>
      <c r="AF82" s="322"/>
      <c r="AG82" s="325"/>
    </row>
    <row r="83" spans="1:33" ht="12.75" customHeight="1">
      <c r="A83" s="683"/>
      <c r="B83" s="572" t="s">
        <v>2354</v>
      </c>
      <c r="C83" s="400"/>
      <c r="D83" s="321"/>
      <c r="E83" s="321"/>
      <c r="F83" s="321"/>
      <c r="G83" s="321"/>
      <c r="H83" s="321"/>
      <c r="I83" s="321"/>
      <c r="J83" s="321"/>
      <c r="K83" s="322"/>
      <c r="L83" s="322"/>
      <c r="M83" s="322"/>
      <c r="N83" s="322"/>
      <c r="O83" s="322"/>
      <c r="P83" s="322"/>
      <c r="Q83" s="322"/>
      <c r="R83" s="322"/>
      <c r="S83" s="322"/>
      <c r="T83" s="322"/>
      <c r="U83" s="322"/>
      <c r="V83" s="322"/>
      <c r="W83" s="322"/>
      <c r="X83" s="322"/>
      <c r="Y83" s="322"/>
      <c r="Z83" s="322"/>
      <c r="AA83" s="322"/>
      <c r="AB83" s="322"/>
      <c r="AC83" s="322"/>
      <c r="AD83" s="322"/>
      <c r="AE83" s="322"/>
      <c r="AF83" s="322"/>
      <c r="AG83" s="325"/>
    </row>
    <row r="84" spans="1:33" ht="12.75" customHeight="1">
      <c r="A84" s="683"/>
      <c r="B84" s="573" t="s">
        <v>2355</v>
      </c>
      <c r="C84" s="195"/>
      <c r="D84" s="321"/>
      <c r="E84" s="321"/>
      <c r="F84" s="321"/>
      <c r="G84" s="321"/>
      <c r="H84" s="321"/>
      <c r="I84" s="321"/>
      <c r="J84" s="321"/>
      <c r="K84" s="322"/>
      <c r="L84" s="322"/>
      <c r="M84" s="322"/>
      <c r="N84" s="322"/>
      <c r="O84" s="322"/>
      <c r="P84" s="322"/>
      <c r="Q84" s="322"/>
      <c r="R84" s="322"/>
      <c r="S84" s="322"/>
      <c r="T84" s="322"/>
      <c r="U84" s="322"/>
      <c r="V84" s="322"/>
      <c r="W84" s="322"/>
      <c r="X84" s="322"/>
      <c r="Y84" s="322"/>
      <c r="Z84" s="322"/>
      <c r="AA84" s="322"/>
      <c r="AB84" s="322"/>
      <c r="AC84" s="322"/>
      <c r="AD84" s="322"/>
      <c r="AE84" s="322"/>
      <c r="AF84" s="322"/>
      <c r="AG84" s="325"/>
    </row>
    <row r="85" spans="1:33" ht="12.75" customHeight="1">
      <c r="A85" s="683"/>
      <c r="B85" s="574" t="s">
        <v>2315</v>
      </c>
      <c r="C85" s="412">
        <f>IF(ISNUMBER(C83/C84),C83/C84,0)</f>
        <v>0</v>
      </c>
      <c r="D85" s="321"/>
      <c r="E85" s="321"/>
      <c r="F85" s="321"/>
      <c r="G85" s="321"/>
      <c r="H85" s="321"/>
      <c r="I85" s="321"/>
      <c r="J85" s="321"/>
      <c r="K85" s="322"/>
      <c r="L85" s="322"/>
      <c r="M85" s="322"/>
      <c r="N85" s="322"/>
      <c r="O85" s="322"/>
      <c r="P85" s="322"/>
      <c r="Q85" s="322"/>
      <c r="R85" s="322"/>
      <c r="S85" s="322"/>
      <c r="T85" s="322"/>
      <c r="U85" s="322"/>
      <c r="V85" s="322"/>
      <c r="W85" s="322"/>
      <c r="X85" s="322"/>
      <c r="Y85" s="322"/>
      <c r="Z85" s="322"/>
      <c r="AA85" s="322"/>
      <c r="AB85" s="322"/>
      <c r="AC85" s="322"/>
      <c r="AD85" s="322"/>
      <c r="AE85" s="322"/>
      <c r="AF85" s="322"/>
      <c r="AG85" s="325"/>
    </row>
    <row r="86" spans="1:33" ht="12.75" customHeight="1">
      <c r="A86" s="683"/>
      <c r="B86" s="573" t="s">
        <v>2356</v>
      </c>
      <c r="C86" s="394"/>
      <c r="D86" s="321"/>
      <c r="E86" s="321"/>
      <c r="F86" s="321"/>
      <c r="G86" s="321"/>
      <c r="H86" s="321"/>
      <c r="I86" s="321"/>
      <c r="J86" s="321"/>
      <c r="K86" s="322"/>
      <c r="L86" s="322"/>
      <c r="M86" s="322"/>
      <c r="N86" s="322"/>
      <c r="O86" s="322"/>
      <c r="P86" s="322"/>
      <c r="Q86" s="322"/>
      <c r="R86" s="322"/>
      <c r="S86" s="322"/>
      <c r="T86" s="322"/>
      <c r="U86" s="322"/>
      <c r="V86" s="322"/>
      <c r="W86" s="322"/>
      <c r="X86" s="322"/>
      <c r="Y86" s="322"/>
      <c r="Z86" s="322"/>
      <c r="AA86" s="322"/>
      <c r="AB86" s="322"/>
      <c r="AC86" s="322"/>
      <c r="AD86" s="322"/>
      <c r="AE86" s="322"/>
      <c r="AF86" s="322"/>
      <c r="AG86" s="325"/>
    </row>
    <row r="87" spans="1:33" ht="12.75" customHeight="1">
      <c r="A87" s="683"/>
      <c r="B87" s="573" t="s">
        <v>2357</v>
      </c>
      <c r="C87" s="394"/>
      <c r="D87" s="321"/>
      <c r="E87" s="321"/>
      <c r="F87" s="321"/>
      <c r="G87" s="321"/>
      <c r="H87" s="321"/>
      <c r="I87" s="321"/>
      <c r="J87" s="321"/>
      <c r="K87" s="322"/>
      <c r="L87" s="322"/>
      <c r="M87" s="322"/>
      <c r="N87" s="322"/>
      <c r="O87" s="322"/>
      <c r="P87" s="322"/>
      <c r="Q87" s="322"/>
      <c r="R87" s="322"/>
      <c r="S87" s="322"/>
      <c r="T87" s="322"/>
      <c r="U87" s="322"/>
      <c r="V87" s="322"/>
      <c r="W87" s="322"/>
      <c r="X87" s="322"/>
      <c r="Y87" s="322"/>
      <c r="Z87" s="322"/>
      <c r="AA87" s="322"/>
      <c r="AB87" s="322"/>
      <c r="AC87" s="322"/>
      <c r="AD87" s="322"/>
      <c r="AE87" s="322"/>
      <c r="AF87" s="322"/>
      <c r="AG87" s="325"/>
    </row>
    <row r="88" spans="1:33" ht="12.75" customHeight="1">
      <c r="A88" s="683"/>
      <c r="B88" s="575" t="s">
        <v>2321</v>
      </c>
      <c r="C88" s="390">
        <f>SUM(C86:C87)</f>
        <v>0</v>
      </c>
      <c r="D88" s="321"/>
      <c r="E88" s="321"/>
      <c r="F88" s="321"/>
      <c r="G88" s="321"/>
      <c r="H88" s="321"/>
      <c r="I88" s="321"/>
      <c r="J88" s="321"/>
      <c r="K88" s="322"/>
      <c r="L88" s="322"/>
      <c r="M88" s="322"/>
      <c r="N88" s="322"/>
      <c r="O88" s="322"/>
      <c r="P88" s="322"/>
      <c r="Q88" s="322"/>
      <c r="R88" s="322"/>
      <c r="S88" s="322"/>
      <c r="T88" s="322"/>
      <c r="U88" s="322"/>
      <c r="V88" s="322"/>
      <c r="W88" s="322"/>
      <c r="X88" s="322"/>
      <c r="Y88" s="322"/>
      <c r="Z88" s="322"/>
      <c r="AA88" s="322"/>
      <c r="AB88" s="322"/>
      <c r="AC88" s="322"/>
      <c r="AD88" s="322"/>
      <c r="AE88" s="322"/>
      <c r="AF88" s="322"/>
      <c r="AG88" s="325"/>
    </row>
    <row r="89" spans="1:33" ht="12.75" customHeight="1">
      <c r="A89" s="683"/>
      <c r="B89" s="576" t="s">
        <v>2322</v>
      </c>
      <c r="C89" s="409"/>
      <c r="D89" s="321"/>
      <c r="E89" s="321"/>
      <c r="F89" s="321"/>
      <c r="G89" s="321"/>
      <c r="H89" s="321"/>
      <c r="I89" s="321"/>
      <c r="J89" s="321"/>
      <c r="K89" s="322"/>
      <c r="L89" s="322"/>
      <c r="M89" s="322"/>
      <c r="N89" s="322"/>
      <c r="O89" s="322"/>
      <c r="P89" s="322"/>
      <c r="Q89" s="322"/>
      <c r="R89" s="322"/>
      <c r="S89" s="322"/>
      <c r="T89" s="322"/>
      <c r="U89" s="322"/>
      <c r="V89" s="322"/>
      <c r="W89" s="322"/>
      <c r="X89" s="322"/>
      <c r="Y89" s="322"/>
      <c r="Z89" s="322"/>
      <c r="AA89" s="322"/>
      <c r="AB89" s="322"/>
      <c r="AC89" s="322"/>
      <c r="AD89" s="322"/>
      <c r="AE89" s="322"/>
      <c r="AF89" s="322"/>
      <c r="AG89" s="325"/>
    </row>
    <row r="90" spans="1:33" ht="12.75" customHeight="1">
      <c r="A90" s="683"/>
      <c r="B90" s="577" t="s">
        <v>2358</v>
      </c>
      <c r="C90" s="410"/>
      <c r="D90" s="321"/>
      <c r="E90" s="321"/>
      <c r="F90" s="321"/>
      <c r="G90" s="321"/>
      <c r="H90" s="321"/>
      <c r="I90" s="321"/>
      <c r="J90" s="321"/>
      <c r="K90" s="322"/>
      <c r="L90" s="322"/>
      <c r="M90" s="322"/>
      <c r="N90" s="322"/>
      <c r="O90" s="322"/>
      <c r="P90" s="322"/>
      <c r="Q90" s="322"/>
      <c r="R90" s="322"/>
      <c r="S90" s="322"/>
      <c r="T90" s="322"/>
      <c r="U90" s="322"/>
      <c r="V90" s="322"/>
      <c r="W90" s="322"/>
      <c r="X90" s="322"/>
      <c r="Y90" s="322"/>
      <c r="Z90" s="322"/>
      <c r="AA90" s="322"/>
      <c r="AB90" s="322"/>
      <c r="AC90" s="322"/>
      <c r="AD90" s="322"/>
      <c r="AE90" s="322"/>
      <c r="AF90" s="322"/>
      <c r="AG90" s="325"/>
    </row>
    <row r="91" spans="1:33" ht="12.75" customHeight="1">
      <c r="A91" s="683"/>
      <c r="B91" s="577" t="s">
        <v>2359</v>
      </c>
      <c r="C91" s="410"/>
      <c r="D91" s="321"/>
      <c r="E91" s="321"/>
      <c r="F91" s="321"/>
      <c r="G91" s="321"/>
      <c r="H91" s="321"/>
      <c r="I91" s="321"/>
      <c r="J91" s="321"/>
      <c r="K91" s="322"/>
      <c r="L91" s="322"/>
      <c r="M91" s="322"/>
      <c r="N91" s="322"/>
      <c r="O91" s="322"/>
      <c r="P91" s="322"/>
      <c r="Q91" s="322"/>
      <c r="R91" s="322"/>
      <c r="S91" s="322"/>
      <c r="T91" s="322"/>
      <c r="U91" s="322"/>
      <c r="V91" s="322"/>
      <c r="W91" s="322"/>
      <c r="X91" s="322"/>
      <c r="Y91" s="322"/>
      <c r="Z91" s="322"/>
      <c r="AA91" s="322"/>
      <c r="AB91" s="322"/>
      <c r="AC91" s="322"/>
      <c r="AD91" s="322"/>
      <c r="AE91" s="322"/>
      <c r="AF91" s="322"/>
      <c r="AG91" s="325"/>
    </row>
    <row r="92" spans="1:33" ht="12.75" customHeight="1">
      <c r="A92" s="683"/>
      <c r="B92" s="578" t="s">
        <v>2360</v>
      </c>
      <c r="C92" s="411"/>
      <c r="D92" s="321"/>
      <c r="E92" s="321"/>
      <c r="F92" s="321"/>
      <c r="G92" s="321"/>
      <c r="H92" s="321"/>
      <c r="I92" s="321"/>
      <c r="J92" s="321"/>
      <c r="K92" s="322"/>
      <c r="L92" s="322"/>
      <c r="M92" s="322"/>
      <c r="N92" s="322"/>
      <c r="O92" s="322"/>
      <c r="P92" s="322"/>
      <c r="Q92" s="322"/>
      <c r="R92" s="322"/>
      <c r="S92" s="322"/>
      <c r="T92" s="322"/>
      <c r="U92" s="322"/>
      <c r="V92" s="322"/>
      <c r="W92" s="322"/>
      <c r="X92" s="322"/>
      <c r="Y92" s="322"/>
      <c r="Z92" s="322"/>
      <c r="AA92" s="322"/>
      <c r="AB92" s="322"/>
      <c r="AC92" s="322"/>
      <c r="AD92" s="322"/>
      <c r="AE92" s="322"/>
      <c r="AF92" s="322"/>
      <c r="AG92" s="325"/>
    </row>
    <row r="93" spans="1:33" ht="12.75" customHeight="1">
      <c r="A93" s="683"/>
      <c r="B93" s="566" t="s">
        <v>2385</v>
      </c>
      <c r="C93" s="466" t="str">
        <f>IF(AND(C92&gt;C91, C91&gt;C90),"OK","Check again")</f>
        <v>Check again</v>
      </c>
      <c r="D93" s="321"/>
      <c r="E93" s="321"/>
      <c r="F93" s="321"/>
      <c r="G93" s="321"/>
      <c r="H93" s="321"/>
      <c r="I93" s="321"/>
      <c r="J93" s="321"/>
      <c r="K93" s="322"/>
      <c r="L93" s="322"/>
      <c r="M93" s="322"/>
      <c r="N93" s="322"/>
      <c r="O93" s="322"/>
      <c r="P93" s="322"/>
      <c r="Q93" s="322"/>
      <c r="R93" s="322"/>
      <c r="S93" s="322"/>
      <c r="T93" s="322"/>
      <c r="U93" s="322"/>
      <c r="V93" s="322"/>
      <c r="W93" s="322"/>
      <c r="X93" s="322"/>
      <c r="Y93" s="322"/>
      <c r="Z93" s="322"/>
      <c r="AA93" s="322"/>
      <c r="AB93" s="322"/>
      <c r="AC93" s="322"/>
      <c r="AD93" s="322"/>
      <c r="AE93" s="322"/>
      <c r="AF93" s="322"/>
      <c r="AG93" s="325"/>
    </row>
    <row r="94" spans="1:33" ht="12.75" customHeight="1">
      <c r="A94" s="683"/>
      <c r="B94" s="576" t="s">
        <v>2323</v>
      </c>
      <c r="C94" s="409"/>
      <c r="D94" s="321"/>
      <c r="E94" s="321"/>
      <c r="F94" s="321"/>
      <c r="G94" s="321"/>
      <c r="H94" s="321"/>
      <c r="I94" s="321"/>
      <c r="J94" s="321"/>
      <c r="K94" s="322"/>
      <c r="L94" s="322"/>
      <c r="M94" s="322"/>
      <c r="N94" s="322"/>
      <c r="O94" s="322"/>
      <c r="P94" s="322"/>
      <c r="Q94" s="322"/>
      <c r="R94" s="322"/>
      <c r="S94" s="322"/>
      <c r="T94" s="322"/>
      <c r="U94" s="322"/>
      <c r="V94" s="322"/>
      <c r="W94" s="322"/>
      <c r="X94" s="322"/>
      <c r="Y94" s="322"/>
      <c r="Z94" s="322"/>
      <c r="AA94" s="322"/>
      <c r="AB94" s="322"/>
      <c r="AC94" s="322"/>
      <c r="AD94" s="322"/>
      <c r="AE94" s="322"/>
      <c r="AF94" s="322"/>
      <c r="AG94" s="325"/>
    </row>
    <row r="95" spans="1:33" ht="12.75" customHeight="1">
      <c r="A95" s="683"/>
      <c r="B95" s="577" t="s">
        <v>2361</v>
      </c>
      <c r="C95" s="410"/>
      <c r="D95" s="321"/>
      <c r="E95" s="321"/>
      <c r="F95" s="321"/>
      <c r="G95" s="321"/>
      <c r="H95" s="321"/>
      <c r="I95" s="321"/>
      <c r="J95" s="321"/>
      <c r="K95" s="322"/>
      <c r="L95" s="322"/>
      <c r="M95" s="322"/>
      <c r="N95" s="322"/>
      <c r="O95" s="322"/>
      <c r="P95" s="322"/>
      <c r="Q95" s="322"/>
      <c r="R95" s="322"/>
      <c r="S95" s="322"/>
      <c r="T95" s="322"/>
      <c r="U95" s="322"/>
      <c r="V95" s="322"/>
      <c r="W95" s="322"/>
      <c r="X95" s="322"/>
      <c r="Y95" s="322"/>
      <c r="Z95" s="322"/>
      <c r="AA95" s="322"/>
      <c r="AB95" s="322"/>
      <c r="AC95" s="322"/>
      <c r="AD95" s="322"/>
      <c r="AE95" s="322"/>
      <c r="AF95" s="322"/>
      <c r="AG95" s="325"/>
    </row>
    <row r="96" spans="1:33" ht="12.75" customHeight="1">
      <c r="A96" s="683"/>
      <c r="B96" s="577" t="s">
        <v>2362</v>
      </c>
      <c r="C96" s="410"/>
      <c r="D96" s="321"/>
      <c r="E96" s="321"/>
      <c r="F96" s="321"/>
      <c r="G96" s="321"/>
      <c r="H96" s="321"/>
      <c r="I96" s="321"/>
      <c r="J96" s="321"/>
      <c r="K96" s="322"/>
      <c r="L96" s="322"/>
      <c r="M96" s="322"/>
      <c r="N96" s="322"/>
      <c r="O96" s="322"/>
      <c r="P96" s="322"/>
      <c r="Q96" s="322"/>
      <c r="R96" s="322"/>
      <c r="S96" s="322"/>
      <c r="T96" s="322"/>
      <c r="U96" s="322"/>
      <c r="V96" s="322"/>
      <c r="W96" s="322"/>
      <c r="X96" s="322"/>
      <c r="Y96" s="322"/>
      <c r="Z96" s="322"/>
      <c r="AA96" s="322"/>
      <c r="AB96" s="322"/>
      <c r="AC96" s="322"/>
      <c r="AD96" s="322"/>
      <c r="AE96" s="322"/>
      <c r="AF96" s="322"/>
      <c r="AG96" s="325"/>
    </row>
    <row r="97" spans="1:33" ht="12.75" customHeight="1">
      <c r="A97" s="683"/>
      <c r="B97" s="578" t="s">
        <v>2363</v>
      </c>
      <c r="C97" s="411"/>
      <c r="D97" s="470"/>
      <c r="E97" s="321"/>
      <c r="F97" s="321"/>
      <c r="G97" s="321"/>
      <c r="H97" s="321"/>
      <c r="I97" s="321"/>
      <c r="J97" s="321"/>
      <c r="K97" s="322"/>
      <c r="L97" s="322"/>
      <c r="M97" s="322"/>
      <c r="N97" s="322"/>
      <c r="O97" s="322"/>
      <c r="P97" s="322"/>
      <c r="Q97" s="322"/>
      <c r="R97" s="322"/>
      <c r="S97" s="322"/>
      <c r="T97" s="322"/>
      <c r="U97" s="322"/>
      <c r="V97" s="322"/>
      <c r="W97" s="322"/>
      <c r="X97" s="322"/>
      <c r="Y97" s="322"/>
      <c r="Z97" s="322"/>
      <c r="AA97" s="322"/>
      <c r="AB97" s="322"/>
      <c r="AC97" s="322"/>
      <c r="AD97" s="322"/>
      <c r="AE97" s="322"/>
      <c r="AF97" s="322"/>
      <c r="AG97" s="325"/>
    </row>
    <row r="98" spans="1:33" s="465" customFormat="1" ht="12.75" customHeight="1">
      <c r="A98" s="683"/>
      <c r="B98" s="566" t="s">
        <v>2386</v>
      </c>
      <c r="C98" s="466" t="str">
        <f>IF(AND(C97&gt;C96, C96&gt;C95),"OK","Check again")</f>
        <v>Check again</v>
      </c>
      <c r="D98" s="469"/>
      <c r="E98" s="323"/>
      <c r="F98" s="323"/>
      <c r="G98" s="323"/>
      <c r="H98" s="323"/>
      <c r="I98" s="323"/>
      <c r="J98" s="323"/>
      <c r="K98" s="324"/>
      <c r="L98" s="324"/>
      <c r="M98" s="324"/>
      <c r="N98" s="324"/>
      <c r="O98" s="324"/>
      <c r="P98" s="324"/>
      <c r="Q98" s="324"/>
      <c r="R98" s="324"/>
      <c r="S98" s="324"/>
      <c r="T98" s="324"/>
      <c r="U98" s="324"/>
      <c r="V98" s="324"/>
      <c r="W98" s="324"/>
      <c r="X98" s="324"/>
      <c r="Y98" s="324"/>
      <c r="Z98" s="324"/>
      <c r="AA98" s="324"/>
      <c r="AB98" s="324"/>
      <c r="AC98" s="324"/>
      <c r="AD98" s="324"/>
      <c r="AE98" s="324"/>
      <c r="AF98" s="324"/>
      <c r="AG98" s="324"/>
    </row>
  </sheetData>
  <sheetProtection algorithmName="SHA-512" hashValue="bBk/ZnAPPiJc7e+NgDklxFhTYhpq2T19YhUU4xFpF9XrJYLXv8goJiNahlFw2SWhZGV+3rsUxmeP/coMjX8nYA==" saltValue="4a+u6j/iCXtlmYesfH6zHA==" spinCount="100000" sheet="1" objects="1" scenarios="1"/>
  <mergeCells count="10">
    <mergeCell ref="A54:A62"/>
    <mergeCell ref="A64:A76"/>
    <mergeCell ref="A79:A98"/>
    <mergeCell ref="B1:AG1"/>
    <mergeCell ref="A8:A14"/>
    <mergeCell ref="A16:A29"/>
    <mergeCell ref="A32:A47"/>
    <mergeCell ref="B31:C31"/>
    <mergeCell ref="B78:C78"/>
    <mergeCell ref="A49:A50"/>
  </mergeCells>
  <conditionalFormatting sqref="C52">
    <cfRule type="cellIs" dxfId="97" priority="31" stopIfTrue="1" operator="equal">
      <formula>"Yes"</formula>
    </cfRule>
    <cfRule type="cellIs" dxfId="96" priority="32" stopIfTrue="1" operator="equal">
      <formula>"No"</formula>
    </cfRule>
  </conditionalFormatting>
  <conditionalFormatting sqref="C98 C93">
    <cfRule type="cellIs" dxfId="95" priority="30" stopIfTrue="1" operator="equal">
      <formula>"Check again"</formula>
    </cfRule>
  </conditionalFormatting>
  <conditionalFormatting sqref="C93 C98">
    <cfRule type="cellIs" dxfId="94" priority="29" stopIfTrue="1" operator="equal">
      <formula>"OK"</formula>
    </cfRule>
  </conditionalFormatting>
  <conditionalFormatting sqref="C75 E75:AG75">
    <cfRule type="cellIs" dxfId="93" priority="1" stopIfTrue="1" operator="lessThan">
      <formula>500</formula>
    </cfRule>
    <cfRule type="cellIs" dxfId="92" priority="5" stopIfTrue="1" operator="between">
      <formula>500</formula>
      <formula>10000</formula>
    </cfRule>
    <cfRule type="cellIs" dxfId="91" priority="28" stopIfTrue="1" operator="between">
      <formula>10000</formula>
      <formula>1E+99</formula>
    </cfRule>
  </conditionalFormatting>
  <conditionalFormatting sqref="C76 E76:AG76">
    <cfRule type="cellIs" dxfId="90" priority="4" stopIfTrue="1" operator="between">
      <formula>20</formula>
      <formula>80</formula>
    </cfRule>
    <cfRule type="cellIs" dxfId="89" priority="12" stopIfTrue="1" operator="lessThan">
      <formula>20</formula>
    </cfRule>
    <cfRule type="cellIs" dxfId="88" priority="14" stopIfTrue="1" operator="between">
      <formula>80</formula>
      <formula>1E+99</formula>
    </cfRule>
  </conditionalFormatting>
  <conditionalFormatting sqref="C61:C62 E61:AG62">
    <cfRule type="cellIs" dxfId="87" priority="7" stopIfTrue="1" operator="between">
      <formula>0</formula>
      <formula>1</formula>
    </cfRule>
    <cfRule type="cellIs" dxfId="86" priority="10" stopIfTrue="1" operator="between">
      <formula>1.0000000000001</formula>
      <formula>1E+99</formula>
    </cfRule>
  </conditionalFormatting>
  <conditionalFormatting sqref="C60 E60:AG60">
    <cfRule type="cellIs" dxfId="85" priority="6" stopIfTrue="1" operator="between">
      <formula>80</formula>
      <formula>110</formula>
    </cfRule>
    <cfRule type="cellIs" dxfId="84" priority="8" stopIfTrue="1" operator="between">
      <formula>110</formula>
      <formula>1E+99</formula>
    </cfRule>
    <cfRule type="cellIs" dxfId="83" priority="9" stopIfTrue="1" operator="lessThan">
      <formula>80</formula>
    </cfRule>
  </conditionalFormatting>
  <conditionalFormatting sqref="C70 E70:AG70">
    <cfRule type="cellIs" dxfId="82" priority="2" stopIfTrue="1" operator="between">
      <formula>0.000001</formula>
      <formula>24</formula>
    </cfRule>
    <cfRule type="cellIs" dxfId="81" priority="3" stopIfTrue="1" operator="greaterThan">
      <formula>24</formula>
    </cfRule>
  </conditionalFormatting>
  <dataValidations count="2">
    <dataValidation type="list" allowBlank="1" showInputMessage="1" sqref="D7:AG7" xr:uid="{00000000-0002-0000-0400-000000000000}">
      <formula1>ListAircraft</formula1>
    </dataValidation>
    <dataValidation type="list" allowBlank="1" showInputMessage="1" showErrorMessage="1" sqref="C21" xr:uid="{00000000-0002-0000-0400-000001000000}">
      <formula1>MtceCost</formula1>
    </dataValidation>
  </dataValidations>
  <printOptions gridLinesSet="0"/>
  <pageMargins left="0.75" right="0.75" top="0.5" bottom="0.5" header="0.5" footer="0.25"/>
  <pageSetup paperSize="9" scale="17" fitToHeight="2" orientation="portrait" horizontalDpi="4294967292" r:id="rId1"/>
  <headerFooter alignWithMargins="0">
    <oddFooter>&amp;L&amp;F&amp;C&amp;A&amp;R&amp;D</oddFooter>
  </headerFooter>
  <ignoredErrors>
    <ignoredError sqref="F58:AG58 E28:G28 AD28:AG28 H28:AC28" unlockedFormula="1"/>
    <ignoredError sqref="C54:C57 C23:C24 C8:C13 C65:C72 C64 C26:C27 C16:C20" formulaRange="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0">
    <pageSetUpPr fitToPage="1"/>
  </sheetPr>
  <dimension ref="A1:GC172"/>
  <sheetViews>
    <sheetView showGridLines="0" zoomScaleNormal="100" zoomScaleSheetLayoutView="75" workbookViewId="0">
      <pane xSplit="3" ySplit="7" topLeftCell="D8" activePane="bottomRight" state="frozen"/>
      <selection activeCell="C6" sqref="C6:D6"/>
      <selection pane="topRight" activeCell="C6" sqref="C6:D6"/>
      <selection pane="bottomLeft" activeCell="C6" sqref="C6:D6"/>
      <selection pane="bottomRight" activeCell="C6" sqref="C6:D6"/>
    </sheetView>
  </sheetViews>
  <sheetFormatPr baseColWidth="10" defaultColWidth="0" defaultRowHeight="13" zeroHeight="1"/>
  <cols>
    <col min="1" max="1" width="12.33203125" style="30" customWidth="1"/>
    <col min="2" max="2" width="60.6640625" style="31" customWidth="1"/>
    <col min="3" max="3" width="13.6640625" style="30" customWidth="1"/>
    <col min="4" max="33" width="24.6640625" style="30" customWidth="1"/>
    <col min="34" max="34" width="1.6640625" style="66" customWidth="1"/>
    <col min="35" max="35" width="0.83203125" style="118" customWidth="1"/>
    <col min="36" max="16384" width="9.1640625" style="66" hidden="1"/>
  </cols>
  <sheetData>
    <row r="1" spans="1:185" ht="42" customHeight="1" thickBot="1">
      <c r="A1" s="176"/>
      <c r="B1" s="176" t="s">
        <v>1925</v>
      </c>
      <c r="C1" s="134"/>
      <c r="D1" s="134"/>
      <c r="E1" s="131"/>
      <c r="F1" s="111"/>
      <c r="G1" s="111"/>
      <c r="H1" s="111"/>
      <c r="I1" s="111"/>
      <c r="J1" s="111"/>
      <c r="K1" s="111"/>
      <c r="L1" s="111"/>
      <c r="M1" s="177"/>
      <c r="N1" s="178"/>
      <c r="O1" s="133"/>
      <c r="P1" s="111"/>
      <c r="Q1" s="111"/>
      <c r="R1" s="111"/>
      <c r="S1" s="111"/>
      <c r="T1" s="111"/>
      <c r="U1" s="111"/>
      <c r="V1" s="111"/>
      <c r="W1" s="111"/>
      <c r="X1" s="111"/>
      <c r="Y1" s="111"/>
      <c r="Z1" s="111"/>
      <c r="AA1" s="111"/>
      <c r="AB1" s="111"/>
      <c r="AC1" s="111"/>
      <c r="AD1" s="111"/>
      <c r="AE1" s="111"/>
      <c r="AF1" s="111"/>
      <c r="AG1" s="111"/>
      <c r="AH1" s="119"/>
      <c r="AI1" s="126"/>
    </row>
    <row r="2" spans="1:185" ht="14" thickTop="1">
      <c r="A2" s="22"/>
      <c r="B2" s="23"/>
      <c r="C2" s="23"/>
      <c r="D2" s="23"/>
      <c r="E2" s="23"/>
      <c r="F2" s="10"/>
      <c r="G2" s="10"/>
      <c r="H2" s="10"/>
      <c r="I2" s="10"/>
      <c r="J2" s="10"/>
      <c r="K2" s="10"/>
      <c r="L2" s="10"/>
      <c r="M2" s="10"/>
      <c r="N2" s="28"/>
      <c r="O2" s="85"/>
      <c r="P2" s="10"/>
      <c r="Q2" s="10"/>
      <c r="R2" s="10"/>
      <c r="S2" s="10"/>
      <c r="T2" s="10"/>
      <c r="U2" s="10"/>
      <c r="V2" s="10"/>
      <c r="W2" s="10"/>
      <c r="X2" s="10"/>
      <c r="Y2" s="10"/>
      <c r="Z2" s="10"/>
      <c r="AA2" s="10"/>
      <c r="AB2" s="10"/>
      <c r="AC2" s="10"/>
      <c r="AD2" s="10"/>
      <c r="AE2" s="10"/>
      <c r="AF2" s="10"/>
      <c r="AG2" s="10"/>
      <c r="AH2" s="119"/>
      <c r="AI2" s="126"/>
    </row>
    <row r="3" spans="1:185">
      <c r="A3" s="53" t="s">
        <v>1337</v>
      </c>
      <c r="B3" s="56"/>
      <c r="C3" s="55">
        <v>3</v>
      </c>
      <c r="D3" s="23"/>
      <c r="E3" s="119"/>
      <c r="F3" s="225"/>
      <c r="G3" s="10"/>
      <c r="H3" s="10"/>
      <c r="I3" s="10"/>
      <c r="J3" s="10"/>
      <c r="K3" s="10"/>
      <c r="L3" s="10"/>
      <c r="M3" s="179"/>
      <c r="N3" s="28"/>
      <c r="O3" s="85"/>
      <c r="P3" s="10"/>
      <c r="Q3" s="10"/>
      <c r="R3" s="10"/>
      <c r="S3" s="10"/>
      <c r="T3" s="10"/>
      <c r="U3" s="10"/>
      <c r="V3" s="10"/>
      <c r="W3" s="10"/>
      <c r="X3" s="10"/>
      <c r="Y3" s="10"/>
      <c r="Z3" s="10"/>
      <c r="AA3" s="10"/>
      <c r="AB3" s="10"/>
      <c r="AC3" s="10"/>
      <c r="AD3" s="10"/>
      <c r="AE3" s="10"/>
      <c r="AF3" s="10"/>
      <c r="AG3" s="10"/>
      <c r="AH3" s="119"/>
      <c r="AI3" s="126"/>
    </row>
    <row r="4" spans="1:185">
      <c r="A4" s="12"/>
      <c r="B4" s="12"/>
      <c r="C4" s="12"/>
      <c r="D4" s="23"/>
      <c r="E4" s="23"/>
      <c r="F4" s="10"/>
      <c r="G4" s="10"/>
      <c r="H4" s="10"/>
      <c r="I4" s="10"/>
      <c r="J4" s="10"/>
      <c r="K4" s="10"/>
      <c r="L4" s="10"/>
      <c r="M4" s="10"/>
      <c r="N4" s="10"/>
      <c r="O4" s="26"/>
      <c r="P4" s="10"/>
      <c r="Q4" s="10"/>
      <c r="R4" s="10"/>
      <c r="S4" s="10"/>
      <c r="T4" s="10"/>
      <c r="U4" s="10"/>
      <c r="V4" s="10"/>
      <c r="W4" s="10"/>
      <c r="X4" s="10"/>
      <c r="Y4" s="10"/>
      <c r="Z4" s="10"/>
      <c r="AA4" s="10"/>
      <c r="AB4" s="10"/>
      <c r="AC4" s="10"/>
      <c r="AD4" s="10"/>
      <c r="AE4" s="10"/>
      <c r="AF4" s="10"/>
      <c r="AG4" s="10"/>
      <c r="AH4" s="119"/>
      <c r="AI4" s="126"/>
    </row>
    <row r="5" spans="1:185">
      <c r="A5" s="54" t="s">
        <v>1338</v>
      </c>
      <c r="B5" s="56"/>
      <c r="C5" s="55">
        <f>DataCollectionYear-3</f>
        <v>2015</v>
      </c>
      <c r="D5" s="229" t="s">
        <v>2197</v>
      </c>
      <c r="E5" s="10"/>
      <c r="F5" s="10"/>
      <c r="G5" s="10"/>
      <c r="H5" s="10"/>
      <c r="I5" s="10"/>
      <c r="J5" s="10"/>
      <c r="K5" s="10"/>
      <c r="L5" s="10"/>
      <c r="M5" s="10"/>
      <c r="N5" s="10"/>
      <c r="O5" s="85"/>
      <c r="P5" s="10"/>
      <c r="Q5" s="10"/>
      <c r="R5" s="10"/>
      <c r="S5" s="10"/>
      <c r="T5" s="10"/>
      <c r="U5" s="10"/>
      <c r="V5" s="10"/>
      <c r="W5" s="10"/>
      <c r="X5" s="10"/>
      <c r="Y5" s="10"/>
      <c r="Z5" s="10"/>
      <c r="AA5" s="10"/>
      <c r="AB5" s="10"/>
      <c r="AC5" s="10"/>
      <c r="AD5" s="10"/>
      <c r="AE5" s="10"/>
      <c r="AF5" s="10"/>
      <c r="AG5" s="10"/>
      <c r="AH5" s="119"/>
      <c r="AI5" s="126"/>
    </row>
    <row r="6" spans="1:185">
      <c r="A6" s="228"/>
      <c r="B6" s="11"/>
      <c r="C6" s="10"/>
      <c r="D6" s="168" t="str">
        <f t="shared" ref="D6:AG6" ca="1" si="0">IF(D7 = "","",VLOOKUP(D7,ListRouteNCode,2,FALSE))</f>
        <v>NA</v>
      </c>
      <c r="E6" s="168" t="str">
        <f t="shared" si="0"/>
        <v/>
      </c>
      <c r="F6" s="168" t="str">
        <f t="shared" si="0"/>
        <v/>
      </c>
      <c r="G6" s="168" t="str">
        <f t="shared" si="0"/>
        <v/>
      </c>
      <c r="H6" s="168" t="str">
        <f t="shared" si="0"/>
        <v/>
      </c>
      <c r="I6" s="168" t="str">
        <f t="shared" si="0"/>
        <v/>
      </c>
      <c r="J6" s="168" t="str">
        <f t="shared" si="0"/>
        <v/>
      </c>
      <c r="K6" s="168" t="str">
        <f t="shared" si="0"/>
        <v/>
      </c>
      <c r="L6" s="168" t="str">
        <f t="shared" si="0"/>
        <v/>
      </c>
      <c r="M6" s="168" t="str">
        <f t="shared" si="0"/>
        <v/>
      </c>
      <c r="N6" s="168" t="str">
        <f t="shared" si="0"/>
        <v/>
      </c>
      <c r="O6" s="168" t="str">
        <f t="shared" si="0"/>
        <v/>
      </c>
      <c r="P6" s="168" t="str">
        <f t="shared" si="0"/>
        <v/>
      </c>
      <c r="Q6" s="168" t="str">
        <f t="shared" si="0"/>
        <v/>
      </c>
      <c r="R6" s="168" t="str">
        <f t="shared" si="0"/>
        <v/>
      </c>
      <c r="S6" s="168" t="str">
        <f t="shared" si="0"/>
        <v/>
      </c>
      <c r="T6" s="168" t="str">
        <f t="shared" si="0"/>
        <v/>
      </c>
      <c r="U6" s="168" t="str">
        <f t="shared" si="0"/>
        <v/>
      </c>
      <c r="V6" s="168" t="str">
        <f t="shared" si="0"/>
        <v/>
      </c>
      <c r="W6" s="168" t="str">
        <f t="shared" si="0"/>
        <v/>
      </c>
      <c r="X6" s="168" t="str">
        <f t="shared" si="0"/>
        <v/>
      </c>
      <c r="Y6" s="168" t="str">
        <f t="shared" si="0"/>
        <v/>
      </c>
      <c r="Z6" s="168" t="str">
        <f t="shared" si="0"/>
        <v/>
      </c>
      <c r="AA6" s="168" t="str">
        <f t="shared" si="0"/>
        <v/>
      </c>
      <c r="AB6" s="168" t="str">
        <f t="shared" si="0"/>
        <v/>
      </c>
      <c r="AC6" s="168" t="str">
        <f t="shared" si="0"/>
        <v/>
      </c>
      <c r="AD6" s="168" t="str">
        <f t="shared" si="0"/>
        <v/>
      </c>
      <c r="AE6" s="168" t="str">
        <f t="shared" si="0"/>
        <v/>
      </c>
      <c r="AF6" s="168" t="str">
        <f t="shared" si="0"/>
        <v/>
      </c>
      <c r="AG6" s="168" t="str">
        <f t="shared" si="0"/>
        <v/>
      </c>
      <c r="AH6" s="119"/>
      <c r="AI6" s="126"/>
    </row>
    <row r="7" spans="1:185" s="251" customFormat="1" ht="14">
      <c r="A7" s="242" t="s">
        <v>2207</v>
      </c>
      <c r="B7" s="247"/>
      <c r="C7" s="248" t="s">
        <v>1849</v>
      </c>
      <c r="D7" s="260" t="s">
        <v>1279</v>
      </c>
      <c r="E7" s="230"/>
      <c r="F7" s="230"/>
      <c r="G7" s="230"/>
      <c r="H7" s="230"/>
      <c r="I7" s="230"/>
      <c r="J7" s="230"/>
      <c r="K7" s="230"/>
      <c r="L7" s="230"/>
      <c r="M7" s="230"/>
      <c r="N7" s="230"/>
      <c r="O7" s="230"/>
      <c r="P7" s="230"/>
      <c r="Q7" s="230"/>
      <c r="R7" s="230"/>
      <c r="S7" s="230"/>
      <c r="T7" s="230"/>
      <c r="U7" s="230"/>
      <c r="V7" s="231"/>
      <c r="W7" s="231"/>
      <c r="X7" s="231"/>
      <c r="Y7" s="231"/>
      <c r="Z7" s="231"/>
      <c r="AA7" s="231"/>
      <c r="AB7" s="231"/>
      <c r="AC7" s="231"/>
      <c r="AD7" s="231"/>
      <c r="AE7" s="231"/>
      <c r="AF7" s="231"/>
      <c r="AG7" s="231"/>
      <c r="AH7" s="249"/>
      <c r="AI7" s="250"/>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row>
    <row r="8" spans="1:185" s="123" customFormat="1">
      <c r="A8" s="14" t="s">
        <v>1798</v>
      </c>
      <c r="B8" s="15" t="s">
        <v>2085</v>
      </c>
      <c r="C8" s="206">
        <f>SUM(E8:AG8)</f>
        <v>0</v>
      </c>
      <c r="D8" s="261">
        <v>240901308</v>
      </c>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172"/>
      <c r="AI8" s="173"/>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2"/>
      <c r="BK8" s="122"/>
      <c r="BL8" s="122"/>
      <c r="BM8" s="122"/>
      <c r="BN8" s="122"/>
      <c r="BO8" s="122"/>
      <c r="BP8" s="122"/>
      <c r="BQ8" s="122"/>
      <c r="BR8" s="122"/>
      <c r="BS8" s="122"/>
      <c r="BT8" s="122"/>
      <c r="BU8" s="122"/>
      <c r="BV8" s="122"/>
      <c r="BW8" s="122"/>
      <c r="BX8" s="122"/>
      <c r="BY8" s="122"/>
      <c r="BZ8" s="122"/>
      <c r="CA8" s="122"/>
      <c r="CB8" s="122"/>
      <c r="CC8" s="122"/>
      <c r="CD8" s="122"/>
      <c r="CE8" s="122"/>
      <c r="CF8" s="122"/>
      <c r="CG8" s="122"/>
      <c r="CH8" s="122"/>
      <c r="CI8" s="122"/>
      <c r="CJ8" s="122"/>
      <c r="CK8" s="122"/>
      <c r="CL8" s="122"/>
      <c r="CM8" s="122"/>
      <c r="CN8" s="122"/>
      <c r="CO8" s="122"/>
      <c r="CP8" s="122"/>
      <c r="CQ8" s="122"/>
      <c r="CR8" s="122"/>
      <c r="CS8" s="122"/>
      <c r="CT8" s="122"/>
      <c r="CU8" s="122"/>
      <c r="CV8" s="122"/>
      <c r="CW8" s="122"/>
      <c r="CX8" s="122"/>
      <c r="CY8" s="122"/>
      <c r="CZ8" s="122"/>
      <c r="DA8" s="122"/>
      <c r="DB8" s="122"/>
      <c r="DC8" s="122"/>
      <c r="DD8" s="122"/>
      <c r="DE8" s="122"/>
      <c r="DF8" s="122"/>
      <c r="DG8" s="122"/>
      <c r="DH8" s="122"/>
      <c r="DI8" s="122"/>
      <c r="DJ8" s="122"/>
      <c r="DK8" s="122"/>
      <c r="DL8" s="122"/>
      <c r="DM8" s="122"/>
      <c r="DN8" s="122"/>
      <c r="DO8" s="122"/>
      <c r="DP8" s="122"/>
      <c r="DQ8" s="122"/>
      <c r="DR8" s="122"/>
      <c r="DS8" s="122"/>
      <c r="DT8" s="122"/>
      <c r="DU8" s="122"/>
      <c r="DV8" s="122"/>
      <c r="DW8" s="122"/>
      <c r="DX8" s="122"/>
      <c r="DY8" s="122"/>
      <c r="DZ8" s="122"/>
      <c r="EA8" s="122"/>
      <c r="EB8" s="122"/>
      <c r="EC8" s="122"/>
      <c r="ED8" s="122"/>
      <c r="EE8" s="122"/>
      <c r="EF8" s="122"/>
      <c r="EG8" s="122"/>
      <c r="EH8" s="122"/>
      <c r="EI8" s="122"/>
      <c r="EJ8" s="122"/>
      <c r="EK8" s="122"/>
      <c r="EL8" s="122"/>
      <c r="EM8" s="122"/>
      <c r="EN8" s="122"/>
      <c r="EO8" s="122"/>
      <c r="EP8" s="122"/>
      <c r="EQ8" s="122"/>
      <c r="ER8" s="122"/>
      <c r="ES8" s="122"/>
      <c r="ET8" s="122"/>
      <c r="EU8" s="122"/>
      <c r="EV8" s="122"/>
      <c r="EW8" s="122"/>
      <c r="EX8" s="122"/>
      <c r="EY8" s="122"/>
      <c r="EZ8" s="122"/>
      <c r="FA8" s="122"/>
      <c r="FB8" s="122"/>
      <c r="FC8" s="122"/>
      <c r="FD8" s="122"/>
      <c r="FE8" s="122"/>
      <c r="FF8" s="122"/>
      <c r="FG8" s="122"/>
      <c r="FH8" s="122"/>
      <c r="FI8" s="122"/>
      <c r="FJ8" s="122"/>
      <c r="FK8" s="122"/>
      <c r="FL8" s="122"/>
      <c r="FM8" s="122"/>
      <c r="FN8" s="122"/>
      <c r="FO8" s="122"/>
      <c r="FP8" s="122"/>
      <c r="FQ8" s="122"/>
      <c r="FR8" s="122"/>
      <c r="FS8" s="122"/>
      <c r="FT8" s="122"/>
      <c r="FU8" s="122"/>
      <c r="FV8" s="122"/>
      <c r="FW8" s="122"/>
      <c r="FX8" s="122"/>
      <c r="FY8" s="122"/>
      <c r="FZ8" s="122"/>
      <c r="GA8" s="122"/>
      <c r="GB8" s="122"/>
      <c r="GC8" s="122"/>
    </row>
    <row r="9" spans="1:185" s="121" customFormat="1">
      <c r="A9" s="14" t="s">
        <v>1799</v>
      </c>
      <c r="B9" s="15" t="s">
        <v>1800</v>
      </c>
      <c r="C9" s="206">
        <f>SUM(E9:AG9)</f>
        <v>0</v>
      </c>
      <c r="D9" s="258">
        <v>39677862</v>
      </c>
      <c r="E9" s="195"/>
      <c r="F9" s="195"/>
      <c r="G9" s="195"/>
      <c r="H9" s="195"/>
      <c r="I9" s="195"/>
      <c r="J9" s="195"/>
      <c r="K9" s="196"/>
      <c r="L9" s="196"/>
      <c r="M9" s="196"/>
      <c r="N9" s="196"/>
      <c r="O9" s="196"/>
      <c r="P9" s="196"/>
      <c r="Q9" s="196"/>
      <c r="R9" s="196"/>
      <c r="S9" s="196"/>
      <c r="T9" s="196"/>
      <c r="U9" s="196"/>
      <c r="V9" s="196"/>
      <c r="W9" s="196"/>
      <c r="X9" s="196"/>
      <c r="Y9" s="196"/>
      <c r="Z9" s="196"/>
      <c r="AA9" s="196"/>
      <c r="AB9" s="196"/>
      <c r="AC9" s="196"/>
      <c r="AD9" s="196"/>
      <c r="AE9" s="196"/>
      <c r="AF9" s="196"/>
      <c r="AG9" s="196"/>
      <c r="AH9" s="170"/>
      <c r="AI9" s="171"/>
      <c r="AJ9" s="120"/>
      <c r="AK9" s="120"/>
      <c r="AL9" s="120"/>
      <c r="AM9" s="120"/>
      <c r="AN9" s="120"/>
      <c r="AO9" s="120"/>
      <c r="AP9" s="120"/>
      <c r="AQ9" s="120"/>
      <c r="AR9" s="120"/>
      <c r="AS9" s="120"/>
      <c r="AT9" s="120"/>
      <c r="AU9" s="120"/>
      <c r="AV9" s="120"/>
      <c r="AW9" s="120"/>
      <c r="AX9" s="120"/>
      <c r="AY9" s="120"/>
      <c r="AZ9" s="120"/>
      <c r="BA9" s="120"/>
      <c r="BB9" s="120"/>
      <c r="BC9" s="120"/>
      <c r="BD9" s="120"/>
      <c r="BE9" s="120"/>
      <c r="BF9" s="120"/>
      <c r="BG9" s="120"/>
      <c r="BH9" s="120"/>
      <c r="BI9" s="120"/>
      <c r="BJ9" s="120"/>
      <c r="BK9" s="120"/>
      <c r="BL9" s="120"/>
      <c r="BM9" s="120"/>
      <c r="BN9" s="120"/>
      <c r="BO9" s="120"/>
      <c r="BP9" s="120"/>
      <c r="BQ9" s="120"/>
      <c r="BR9" s="120"/>
      <c r="BS9" s="120"/>
      <c r="BT9" s="120"/>
      <c r="BU9" s="120"/>
      <c r="BV9" s="120"/>
      <c r="BW9" s="120"/>
      <c r="BX9" s="120"/>
      <c r="BY9" s="120"/>
      <c r="BZ9" s="120"/>
      <c r="CA9" s="120"/>
      <c r="CB9" s="120"/>
      <c r="CC9" s="120"/>
      <c r="CD9" s="120"/>
      <c r="CE9" s="120"/>
      <c r="CF9" s="120"/>
      <c r="CG9" s="120"/>
      <c r="CH9" s="120"/>
      <c r="CI9" s="120"/>
      <c r="CJ9" s="120"/>
      <c r="CK9" s="120"/>
      <c r="CL9" s="120"/>
      <c r="CM9" s="120"/>
      <c r="CN9" s="120"/>
      <c r="CO9" s="120"/>
      <c r="CP9" s="120"/>
      <c r="CQ9" s="120"/>
      <c r="CR9" s="120"/>
      <c r="CS9" s="120"/>
      <c r="CT9" s="120"/>
      <c r="CU9" s="120"/>
      <c r="CV9" s="120"/>
      <c r="CW9" s="120"/>
      <c r="CX9" s="120"/>
      <c r="CY9" s="120"/>
      <c r="CZ9" s="120"/>
      <c r="DA9" s="120"/>
      <c r="DB9" s="120"/>
      <c r="DC9" s="120"/>
      <c r="DD9" s="120"/>
      <c r="DE9" s="120"/>
      <c r="DF9" s="120"/>
      <c r="DG9" s="120"/>
      <c r="DH9" s="120"/>
      <c r="DI9" s="120"/>
      <c r="DJ9" s="120"/>
      <c r="DK9" s="120"/>
      <c r="DL9" s="120"/>
      <c r="DM9" s="120"/>
      <c r="DN9" s="120"/>
      <c r="DO9" s="120"/>
      <c r="DP9" s="120"/>
      <c r="DQ9" s="120"/>
      <c r="DR9" s="120"/>
      <c r="DS9" s="120"/>
      <c r="DT9" s="120"/>
      <c r="DU9" s="120"/>
      <c r="DV9" s="120"/>
      <c r="DW9" s="120"/>
      <c r="DX9" s="120"/>
      <c r="DY9" s="120"/>
      <c r="DZ9" s="120"/>
      <c r="EA9" s="120"/>
      <c r="EB9" s="120"/>
      <c r="EC9" s="120"/>
      <c r="ED9" s="120"/>
      <c r="EE9" s="120"/>
      <c r="EF9" s="120"/>
      <c r="EG9" s="120"/>
      <c r="EH9" s="120"/>
      <c r="EI9" s="120"/>
      <c r="EJ9" s="120"/>
      <c r="EK9" s="120"/>
      <c r="EL9" s="120"/>
      <c r="EM9" s="120"/>
      <c r="EN9" s="120"/>
      <c r="EO9" s="120"/>
      <c r="EP9" s="120"/>
      <c r="EQ9" s="120"/>
      <c r="ER9" s="120"/>
      <c r="ES9" s="120"/>
      <c r="ET9" s="120"/>
      <c r="EU9" s="120"/>
      <c r="EV9" s="120"/>
      <c r="EW9" s="120"/>
      <c r="EX9" s="120"/>
      <c r="EY9" s="120"/>
      <c r="EZ9" s="120"/>
      <c r="FA9" s="120"/>
      <c r="FB9" s="120"/>
      <c r="FC9" s="120"/>
      <c r="FD9" s="120"/>
      <c r="FE9" s="120"/>
      <c r="FF9" s="120"/>
      <c r="FG9" s="120"/>
      <c r="FH9" s="120"/>
      <c r="FI9" s="120"/>
      <c r="FJ9" s="120"/>
      <c r="FK9" s="120"/>
      <c r="FL9" s="120"/>
      <c r="FM9" s="120"/>
      <c r="FN9" s="120"/>
      <c r="FO9" s="120"/>
      <c r="FP9" s="120"/>
      <c r="FQ9" s="120"/>
      <c r="FR9" s="120"/>
      <c r="FS9" s="120"/>
      <c r="FT9" s="120"/>
      <c r="FU9" s="120"/>
      <c r="FV9" s="120"/>
      <c r="FW9" s="120"/>
      <c r="FX9" s="120"/>
      <c r="FY9" s="120"/>
      <c r="FZ9" s="120"/>
      <c r="GA9" s="120"/>
      <c r="GB9" s="120"/>
      <c r="GC9" s="120"/>
    </row>
    <row r="10" spans="1:185" s="121" customFormat="1">
      <c r="A10" s="14" t="s">
        <v>1801</v>
      </c>
      <c r="B10" s="15" t="s">
        <v>1802</v>
      </c>
      <c r="C10" s="206">
        <f>SUM(E10:AG10)</f>
        <v>0</v>
      </c>
      <c r="D10" s="258">
        <v>2834133</v>
      </c>
      <c r="E10" s="195"/>
      <c r="F10" s="195"/>
      <c r="G10" s="195"/>
      <c r="H10" s="195"/>
      <c r="I10" s="195"/>
      <c r="J10" s="195"/>
      <c r="K10" s="196"/>
      <c r="L10" s="196"/>
      <c r="M10" s="196"/>
      <c r="N10" s="196"/>
      <c r="O10" s="196"/>
      <c r="P10" s="196"/>
      <c r="Q10" s="196"/>
      <c r="R10" s="196"/>
      <c r="S10" s="196"/>
      <c r="T10" s="196"/>
      <c r="U10" s="196"/>
      <c r="V10" s="196"/>
      <c r="W10" s="196"/>
      <c r="X10" s="196"/>
      <c r="Y10" s="196"/>
      <c r="Z10" s="196"/>
      <c r="AA10" s="196"/>
      <c r="AB10" s="196"/>
      <c r="AC10" s="196"/>
      <c r="AD10" s="196"/>
      <c r="AE10" s="196"/>
      <c r="AF10" s="196"/>
      <c r="AG10" s="196"/>
      <c r="AH10" s="170"/>
      <c r="AI10" s="171"/>
      <c r="AJ10" s="120"/>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BY10" s="120"/>
      <c r="BZ10" s="120"/>
      <c r="CA10" s="120"/>
      <c r="CB10" s="120"/>
      <c r="CC10" s="120"/>
      <c r="CD10" s="120"/>
      <c r="CE10" s="120"/>
      <c r="CF10" s="120"/>
      <c r="CG10" s="120"/>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c r="EU10" s="120"/>
      <c r="EV10" s="120"/>
      <c r="EW10" s="120"/>
      <c r="EX10" s="120"/>
      <c r="EY10" s="120"/>
      <c r="EZ10" s="120"/>
      <c r="FA10" s="120"/>
      <c r="FB10" s="120"/>
      <c r="FC10" s="120"/>
      <c r="FD10" s="120"/>
      <c r="FE10" s="120"/>
      <c r="FF10" s="120"/>
      <c r="FG10" s="120"/>
      <c r="FH10" s="120"/>
      <c r="FI10" s="120"/>
      <c r="FJ10" s="120"/>
      <c r="FK10" s="120"/>
      <c r="FL10" s="120"/>
      <c r="FM10" s="120"/>
      <c r="FN10" s="120"/>
      <c r="FO10" s="120"/>
      <c r="FP10" s="120"/>
      <c r="FQ10" s="120"/>
      <c r="FR10" s="120"/>
      <c r="FS10" s="120"/>
      <c r="FT10" s="120"/>
      <c r="FU10" s="120"/>
      <c r="FV10" s="120"/>
      <c r="FW10" s="120"/>
      <c r="FX10" s="120"/>
      <c r="FY10" s="120"/>
      <c r="FZ10" s="120"/>
      <c r="GA10" s="120"/>
      <c r="GB10" s="120"/>
      <c r="GC10" s="120"/>
    </row>
    <row r="11" spans="1:185" s="121" customFormat="1">
      <c r="A11" s="14" t="s">
        <v>1803</v>
      </c>
      <c r="B11" s="15" t="s">
        <v>1804</v>
      </c>
      <c r="C11" s="206">
        <f>SUM(E11:AG11)</f>
        <v>0</v>
      </c>
      <c r="D11" s="258">
        <v>0</v>
      </c>
      <c r="E11" s="195"/>
      <c r="F11" s="195"/>
      <c r="G11" s="195"/>
      <c r="H11" s="195"/>
      <c r="I11" s="195"/>
      <c r="J11" s="195"/>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70"/>
      <c r="AI11" s="171"/>
      <c r="AJ11" s="120"/>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BY11" s="120"/>
      <c r="BZ11" s="120"/>
      <c r="CA11" s="120"/>
      <c r="CB11" s="120"/>
      <c r="CC11" s="120"/>
      <c r="CD11" s="120"/>
      <c r="CE11" s="120"/>
      <c r="CF11" s="120"/>
      <c r="CG11" s="120"/>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0"/>
      <c r="FJ11" s="120"/>
      <c r="FK11" s="120"/>
      <c r="FL11" s="120"/>
      <c r="FM11" s="120"/>
      <c r="FN11" s="120"/>
      <c r="FO11" s="120"/>
      <c r="FP11" s="120"/>
      <c r="FQ11" s="120"/>
      <c r="FR11" s="120"/>
      <c r="FS11" s="120"/>
      <c r="FT11" s="120"/>
      <c r="FU11" s="120"/>
      <c r="FV11" s="120"/>
      <c r="FW11" s="120"/>
      <c r="FX11" s="120"/>
      <c r="FY11" s="120"/>
      <c r="FZ11" s="120"/>
      <c r="GA11" s="120"/>
      <c r="GB11" s="120"/>
      <c r="GC11" s="120"/>
    </row>
    <row r="12" spans="1:185" s="123" customFormat="1">
      <c r="A12" s="20" t="s">
        <v>1805</v>
      </c>
      <c r="B12" s="16" t="s">
        <v>1964</v>
      </c>
      <c r="C12" s="204">
        <f>SUM(E12:AG12)</f>
        <v>0</v>
      </c>
      <c r="D12" s="236">
        <f t="shared" ref="D12:AG12" si="1">D8+D9+D10+D11</f>
        <v>283413303</v>
      </c>
      <c r="E12" s="204">
        <f t="shared" si="1"/>
        <v>0</v>
      </c>
      <c r="F12" s="204">
        <f t="shared" si="1"/>
        <v>0</v>
      </c>
      <c r="G12" s="204">
        <f t="shared" si="1"/>
        <v>0</v>
      </c>
      <c r="H12" s="204">
        <f t="shared" si="1"/>
        <v>0</v>
      </c>
      <c r="I12" s="204">
        <f t="shared" si="1"/>
        <v>0</v>
      </c>
      <c r="J12" s="204">
        <f t="shared" si="1"/>
        <v>0</v>
      </c>
      <c r="K12" s="204">
        <f t="shared" si="1"/>
        <v>0</v>
      </c>
      <c r="L12" s="204">
        <f t="shared" si="1"/>
        <v>0</v>
      </c>
      <c r="M12" s="204">
        <f t="shared" si="1"/>
        <v>0</v>
      </c>
      <c r="N12" s="204">
        <f t="shared" si="1"/>
        <v>0</v>
      </c>
      <c r="O12" s="204">
        <f t="shared" si="1"/>
        <v>0</v>
      </c>
      <c r="P12" s="204">
        <f t="shared" si="1"/>
        <v>0</v>
      </c>
      <c r="Q12" s="204">
        <f t="shared" si="1"/>
        <v>0</v>
      </c>
      <c r="R12" s="204">
        <f t="shared" si="1"/>
        <v>0</v>
      </c>
      <c r="S12" s="204">
        <f t="shared" si="1"/>
        <v>0</v>
      </c>
      <c r="T12" s="204">
        <f t="shared" si="1"/>
        <v>0</v>
      </c>
      <c r="U12" s="204">
        <f t="shared" si="1"/>
        <v>0</v>
      </c>
      <c r="V12" s="204">
        <f t="shared" si="1"/>
        <v>0</v>
      </c>
      <c r="W12" s="204">
        <f t="shared" si="1"/>
        <v>0</v>
      </c>
      <c r="X12" s="204">
        <f t="shared" si="1"/>
        <v>0</v>
      </c>
      <c r="Y12" s="204">
        <f t="shared" si="1"/>
        <v>0</v>
      </c>
      <c r="Z12" s="204">
        <f t="shared" si="1"/>
        <v>0</v>
      </c>
      <c r="AA12" s="204">
        <f t="shared" si="1"/>
        <v>0</v>
      </c>
      <c r="AB12" s="204">
        <f t="shared" si="1"/>
        <v>0</v>
      </c>
      <c r="AC12" s="204">
        <f t="shared" si="1"/>
        <v>0</v>
      </c>
      <c r="AD12" s="204">
        <f t="shared" si="1"/>
        <v>0</v>
      </c>
      <c r="AE12" s="204">
        <f t="shared" si="1"/>
        <v>0</v>
      </c>
      <c r="AF12" s="204">
        <f t="shared" si="1"/>
        <v>0</v>
      </c>
      <c r="AG12" s="204">
        <f t="shared" si="1"/>
        <v>0</v>
      </c>
      <c r="AH12" s="172"/>
      <c r="AI12" s="173"/>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c r="DA12" s="122"/>
      <c r="DB12" s="122"/>
      <c r="DC12" s="122"/>
      <c r="DD12" s="122"/>
      <c r="DE12" s="122"/>
      <c r="DF12" s="122"/>
      <c r="DG12" s="122"/>
      <c r="DH12" s="122"/>
      <c r="DI12" s="122"/>
      <c r="DJ12" s="122"/>
      <c r="DK12" s="122"/>
      <c r="DL12" s="122"/>
      <c r="DM12" s="122"/>
      <c r="DN12" s="122"/>
      <c r="DO12" s="122"/>
      <c r="DP12" s="122"/>
      <c r="DQ12" s="122"/>
      <c r="DR12" s="122"/>
      <c r="DS12" s="122"/>
      <c r="DT12" s="122"/>
      <c r="DU12" s="122"/>
      <c r="DV12" s="122"/>
      <c r="DW12" s="122"/>
      <c r="DX12" s="122"/>
      <c r="DY12" s="122"/>
      <c r="DZ12" s="122"/>
      <c r="EA12" s="122"/>
      <c r="EB12" s="122"/>
      <c r="EC12" s="122"/>
      <c r="ED12" s="122"/>
      <c r="EE12" s="122"/>
      <c r="EF12" s="122"/>
      <c r="EG12" s="122"/>
      <c r="EH12" s="122"/>
      <c r="EI12" s="122"/>
      <c r="EJ12" s="122"/>
      <c r="EK12" s="122"/>
      <c r="EL12" s="122"/>
      <c r="EM12" s="122"/>
      <c r="EN12" s="122"/>
      <c r="EO12" s="122"/>
      <c r="EP12" s="122"/>
      <c r="EQ12" s="122"/>
      <c r="ER12" s="122"/>
      <c r="ES12" s="122"/>
      <c r="ET12" s="122"/>
      <c r="EU12" s="122"/>
      <c r="EV12" s="122"/>
      <c r="EW12" s="122"/>
      <c r="EX12" s="122"/>
      <c r="EY12" s="122"/>
      <c r="EZ12" s="122"/>
      <c r="FA12" s="122"/>
      <c r="FB12" s="122"/>
      <c r="FC12" s="122"/>
      <c r="FD12" s="122"/>
      <c r="FE12" s="122"/>
      <c r="FF12" s="122"/>
      <c r="FG12" s="122"/>
      <c r="FH12" s="122"/>
      <c r="FI12" s="122"/>
      <c r="FJ12" s="122"/>
      <c r="FK12" s="122"/>
      <c r="FL12" s="122"/>
      <c r="FM12" s="122"/>
      <c r="FN12" s="122"/>
      <c r="FO12" s="122"/>
      <c r="FP12" s="122"/>
      <c r="FQ12" s="122"/>
      <c r="FR12" s="122"/>
      <c r="FS12" s="122"/>
      <c r="FT12" s="122"/>
      <c r="FU12" s="122"/>
      <c r="FV12" s="122"/>
      <c r="FW12" s="122"/>
      <c r="FX12" s="122"/>
      <c r="FY12" s="122"/>
      <c r="FZ12" s="122"/>
      <c r="GA12" s="122"/>
      <c r="GB12" s="122"/>
      <c r="GC12" s="122"/>
    </row>
    <row r="13" spans="1:185" s="121" customFormat="1">
      <c r="A13" s="18"/>
      <c r="B13" s="29"/>
      <c r="C13" s="207"/>
      <c r="D13" s="262"/>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170"/>
      <c r="AI13" s="171"/>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c r="EU13" s="120"/>
      <c r="EV13" s="120"/>
      <c r="EW13" s="120"/>
      <c r="EX13" s="120"/>
      <c r="EY13" s="120"/>
      <c r="EZ13" s="120"/>
      <c r="FA13" s="120"/>
      <c r="FB13" s="120"/>
      <c r="FC13" s="120"/>
      <c r="FD13" s="120"/>
      <c r="FE13" s="120"/>
      <c r="FF13" s="120"/>
      <c r="FG13" s="120"/>
      <c r="FH13" s="120"/>
      <c r="FI13" s="120"/>
      <c r="FJ13" s="120"/>
      <c r="FK13" s="120"/>
      <c r="FL13" s="120"/>
      <c r="FM13" s="120"/>
      <c r="FN13" s="120"/>
      <c r="FO13" s="120"/>
      <c r="FP13" s="120"/>
      <c r="FQ13" s="120"/>
      <c r="FR13" s="120"/>
      <c r="FS13" s="120"/>
      <c r="FT13" s="120"/>
      <c r="FU13" s="120"/>
      <c r="FV13" s="120"/>
      <c r="FW13" s="120"/>
      <c r="FX13" s="120"/>
      <c r="FY13" s="120"/>
      <c r="FZ13" s="120"/>
      <c r="GA13" s="120"/>
      <c r="GB13" s="120"/>
      <c r="GC13" s="120"/>
    </row>
    <row r="14" spans="1:185" s="121" customFormat="1">
      <c r="A14" s="14" t="s">
        <v>1806</v>
      </c>
      <c r="B14" s="15" t="s">
        <v>1807</v>
      </c>
      <c r="C14" s="206">
        <f t="shared" ref="C14:C22" si="2">SUM(E14:AG14)</f>
        <v>0</v>
      </c>
      <c r="D14" s="258">
        <v>39873600</v>
      </c>
      <c r="E14" s="195"/>
      <c r="F14" s="195"/>
      <c r="G14" s="195"/>
      <c r="H14" s="195"/>
      <c r="I14" s="195"/>
      <c r="J14" s="195"/>
      <c r="K14" s="196"/>
      <c r="L14" s="196"/>
      <c r="M14" s="196"/>
      <c r="N14" s="196"/>
      <c r="O14" s="196"/>
      <c r="P14" s="196"/>
      <c r="Q14" s="196"/>
      <c r="R14" s="196"/>
      <c r="S14" s="196"/>
      <c r="T14" s="196"/>
      <c r="U14" s="196"/>
      <c r="V14" s="196"/>
      <c r="W14" s="196"/>
      <c r="X14" s="196"/>
      <c r="Y14" s="196"/>
      <c r="Z14" s="196"/>
      <c r="AA14" s="196"/>
      <c r="AB14" s="196"/>
      <c r="AC14" s="196"/>
      <c r="AD14" s="196"/>
      <c r="AE14" s="196"/>
      <c r="AF14" s="196"/>
      <c r="AG14" s="196"/>
      <c r="AH14" s="170"/>
      <c r="AI14" s="171"/>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20"/>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row>
    <row r="15" spans="1:185" s="121" customFormat="1">
      <c r="A15" s="96" t="s">
        <v>1808</v>
      </c>
      <c r="B15" s="91" t="s">
        <v>1809</v>
      </c>
      <c r="C15" s="206">
        <f t="shared" si="2"/>
        <v>0</v>
      </c>
      <c r="D15" s="258">
        <v>188496000</v>
      </c>
      <c r="E15" s="195"/>
      <c r="F15" s="195"/>
      <c r="G15" s="195"/>
      <c r="H15" s="195"/>
      <c r="I15" s="195"/>
      <c r="J15" s="195"/>
      <c r="K15" s="196"/>
      <c r="L15" s="196"/>
      <c r="M15" s="196"/>
      <c r="N15" s="196"/>
      <c r="O15" s="196"/>
      <c r="P15" s="196"/>
      <c r="Q15" s="196"/>
      <c r="R15" s="196"/>
      <c r="S15" s="196"/>
      <c r="T15" s="196"/>
      <c r="U15" s="196"/>
      <c r="V15" s="196"/>
      <c r="W15" s="196"/>
      <c r="X15" s="196"/>
      <c r="Y15" s="196"/>
      <c r="Z15" s="196"/>
      <c r="AA15" s="196"/>
      <c r="AB15" s="196"/>
      <c r="AC15" s="196"/>
      <c r="AD15" s="196"/>
      <c r="AE15" s="196"/>
      <c r="AF15" s="196"/>
      <c r="AG15" s="196"/>
      <c r="AH15" s="170"/>
      <c r="AI15" s="171"/>
      <c r="AJ15" s="120"/>
      <c r="AK15" s="120"/>
      <c r="AL15" s="120"/>
      <c r="AM15" s="120"/>
      <c r="AN15" s="120"/>
      <c r="AO15" s="120"/>
      <c r="AP15" s="120"/>
      <c r="AQ15" s="120"/>
      <c r="AR15" s="120"/>
      <c r="AS15" s="120"/>
      <c r="AT15" s="120"/>
      <c r="AU15" s="120"/>
      <c r="AV15" s="120"/>
      <c r="AW15" s="120"/>
      <c r="AX15" s="120"/>
      <c r="AY15" s="120"/>
      <c r="AZ15" s="120"/>
      <c r="BA15" s="120"/>
      <c r="BB15" s="120"/>
      <c r="BC15" s="120"/>
      <c r="BD15" s="120"/>
      <c r="BE15" s="120"/>
      <c r="BF15" s="120"/>
      <c r="BG15" s="120"/>
      <c r="BH15" s="120"/>
      <c r="BI15" s="120"/>
      <c r="BJ15" s="120"/>
      <c r="BK15" s="120"/>
      <c r="BL15" s="120"/>
      <c r="BM15" s="120"/>
      <c r="BN15" s="120"/>
      <c r="BO15" s="120"/>
      <c r="BP15" s="120"/>
      <c r="BQ15" s="120"/>
      <c r="BR15" s="120"/>
      <c r="BS15" s="120"/>
      <c r="BT15" s="120"/>
      <c r="BU15" s="120"/>
      <c r="BV15" s="120"/>
      <c r="BW15" s="120"/>
      <c r="BX15" s="120"/>
      <c r="BY15" s="120"/>
      <c r="BZ15" s="120"/>
      <c r="CA15" s="120"/>
      <c r="CB15" s="120"/>
      <c r="CC15" s="120"/>
      <c r="CD15" s="120"/>
      <c r="CE15" s="120"/>
      <c r="CF15" s="120"/>
      <c r="CG15" s="120"/>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c r="EU15" s="120"/>
      <c r="EV15" s="120"/>
      <c r="EW15" s="120"/>
      <c r="EX15" s="120"/>
      <c r="EY15" s="120"/>
      <c r="EZ15" s="120"/>
      <c r="FA15" s="120"/>
      <c r="FB15" s="120"/>
      <c r="FC15" s="120"/>
      <c r="FD15" s="120"/>
      <c r="FE15" s="120"/>
      <c r="FF15" s="120"/>
      <c r="FG15" s="120"/>
      <c r="FH15" s="120"/>
      <c r="FI15" s="120"/>
      <c r="FJ15" s="120"/>
      <c r="FK15" s="120"/>
      <c r="FL15" s="120"/>
      <c r="FM15" s="120"/>
      <c r="FN15" s="120"/>
      <c r="FO15" s="120"/>
      <c r="FP15" s="120"/>
      <c r="FQ15" s="120"/>
      <c r="FR15" s="120"/>
      <c r="FS15" s="120"/>
      <c r="FT15" s="120"/>
      <c r="FU15" s="120"/>
      <c r="FV15" s="120"/>
      <c r="FW15" s="120"/>
      <c r="FX15" s="120"/>
      <c r="FY15" s="120"/>
      <c r="FZ15" s="120"/>
      <c r="GA15" s="120"/>
      <c r="GB15" s="120"/>
      <c r="GC15" s="120"/>
    </row>
    <row r="16" spans="1:185" s="121" customFormat="1">
      <c r="A16" s="96" t="s">
        <v>1810</v>
      </c>
      <c r="B16" s="90" t="s">
        <v>1796</v>
      </c>
      <c r="C16" s="206">
        <f t="shared" si="2"/>
        <v>0</v>
      </c>
      <c r="D16" s="258">
        <v>2762622.5350809232</v>
      </c>
      <c r="E16" s="195"/>
      <c r="F16" s="195"/>
      <c r="G16" s="195"/>
      <c r="H16" s="195"/>
      <c r="I16" s="195"/>
      <c r="J16" s="195"/>
      <c r="K16" s="196"/>
      <c r="L16" s="196"/>
      <c r="M16" s="196"/>
      <c r="N16" s="196"/>
      <c r="O16" s="196"/>
      <c r="P16" s="196"/>
      <c r="Q16" s="196"/>
      <c r="R16" s="196"/>
      <c r="S16" s="196"/>
      <c r="T16" s="196"/>
      <c r="U16" s="196"/>
      <c r="V16" s="196"/>
      <c r="W16" s="196"/>
      <c r="X16" s="196"/>
      <c r="Y16" s="196"/>
      <c r="Z16" s="196"/>
      <c r="AA16" s="196"/>
      <c r="AB16" s="196"/>
      <c r="AC16" s="196"/>
      <c r="AD16" s="196"/>
      <c r="AE16" s="196"/>
      <c r="AF16" s="196"/>
      <c r="AG16" s="196"/>
      <c r="AH16" s="170"/>
      <c r="AI16" s="171"/>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c r="BR16" s="120"/>
      <c r="BS16" s="120"/>
      <c r="BT16" s="120"/>
      <c r="BU16" s="120"/>
      <c r="BV16" s="120"/>
      <c r="BW16" s="120"/>
      <c r="BX16" s="120"/>
      <c r="BY16" s="120"/>
      <c r="BZ16" s="120"/>
      <c r="CA16" s="120"/>
      <c r="CB16" s="120"/>
      <c r="CC16" s="120"/>
      <c r="CD16" s="120"/>
      <c r="CE16" s="120"/>
      <c r="CF16" s="120"/>
      <c r="CG16" s="120"/>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c r="EU16" s="120"/>
      <c r="EV16" s="120"/>
      <c r="EW16" s="120"/>
      <c r="EX16" s="120"/>
      <c r="EY16" s="120"/>
      <c r="EZ16" s="120"/>
      <c r="FA16" s="120"/>
      <c r="FB16" s="120"/>
      <c r="FC16" s="120"/>
      <c r="FD16" s="120"/>
      <c r="FE16" s="120"/>
      <c r="FF16" s="120"/>
      <c r="FG16" s="120"/>
      <c r="FH16" s="120"/>
      <c r="FI16" s="120"/>
      <c r="FJ16" s="120"/>
      <c r="FK16" s="120"/>
      <c r="FL16" s="120"/>
      <c r="FM16" s="120"/>
      <c r="FN16" s="120"/>
      <c r="FO16" s="120"/>
      <c r="FP16" s="120"/>
      <c r="FQ16" s="120"/>
      <c r="FR16" s="120"/>
      <c r="FS16" s="120"/>
      <c r="FT16" s="120"/>
      <c r="FU16" s="120"/>
      <c r="FV16" s="120"/>
      <c r="FW16" s="120"/>
      <c r="FX16" s="120"/>
      <c r="FY16" s="120"/>
      <c r="FZ16" s="120"/>
      <c r="GA16" s="120"/>
      <c r="GB16" s="120"/>
      <c r="GC16" s="120"/>
    </row>
    <row r="17" spans="1:185" s="121" customFormat="1">
      <c r="A17" s="96" t="s">
        <v>1812</v>
      </c>
      <c r="B17" s="90" t="s">
        <v>1797</v>
      </c>
      <c r="C17" s="206">
        <f t="shared" si="2"/>
        <v>0</v>
      </c>
      <c r="D17" s="258">
        <v>27578311.567226067</v>
      </c>
      <c r="E17" s="195"/>
      <c r="F17" s="195"/>
      <c r="G17" s="195"/>
      <c r="H17" s="195"/>
      <c r="I17" s="195"/>
      <c r="J17" s="195"/>
      <c r="K17" s="196"/>
      <c r="L17" s="196"/>
      <c r="M17" s="196"/>
      <c r="N17" s="196"/>
      <c r="O17" s="196"/>
      <c r="P17" s="196"/>
      <c r="Q17" s="196"/>
      <c r="R17" s="196"/>
      <c r="S17" s="196"/>
      <c r="T17" s="196"/>
      <c r="U17" s="196"/>
      <c r="V17" s="196"/>
      <c r="W17" s="196"/>
      <c r="X17" s="196"/>
      <c r="Y17" s="196"/>
      <c r="Z17" s="196"/>
      <c r="AA17" s="196"/>
      <c r="AB17" s="196"/>
      <c r="AC17" s="196"/>
      <c r="AD17" s="196"/>
      <c r="AE17" s="196"/>
      <c r="AF17" s="196"/>
      <c r="AG17" s="196"/>
      <c r="AH17" s="170"/>
      <c r="AI17" s="171"/>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c r="BR17" s="120"/>
      <c r="BS17" s="120"/>
      <c r="BT17" s="120"/>
      <c r="BU17" s="120"/>
      <c r="BV17" s="120"/>
      <c r="BW17" s="120"/>
      <c r="BX17" s="120"/>
      <c r="BY17" s="120"/>
      <c r="BZ17" s="120"/>
      <c r="CA17" s="120"/>
      <c r="CB17" s="120"/>
      <c r="CC17" s="120"/>
      <c r="CD17" s="120"/>
      <c r="CE17" s="120"/>
      <c r="CF17" s="120"/>
      <c r="CG17" s="120"/>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c r="EU17" s="120"/>
      <c r="EV17" s="120"/>
      <c r="EW17" s="120"/>
      <c r="EX17" s="120"/>
      <c r="EY17" s="120"/>
      <c r="EZ17" s="120"/>
      <c r="FA17" s="120"/>
      <c r="FB17" s="120"/>
      <c r="FC17" s="120"/>
      <c r="FD17" s="120"/>
      <c r="FE17" s="120"/>
      <c r="FF17" s="120"/>
      <c r="FG17" s="120"/>
      <c r="FH17" s="120"/>
      <c r="FI17" s="120"/>
      <c r="FJ17" s="120"/>
      <c r="FK17" s="120"/>
      <c r="FL17" s="120"/>
      <c r="FM17" s="120"/>
      <c r="FN17" s="120"/>
      <c r="FO17" s="120"/>
      <c r="FP17" s="120"/>
      <c r="FQ17" s="120"/>
      <c r="FR17" s="120"/>
      <c r="FS17" s="120"/>
      <c r="FT17" s="120"/>
      <c r="FU17" s="120"/>
      <c r="FV17" s="120"/>
      <c r="FW17" s="120"/>
      <c r="FX17" s="120"/>
      <c r="FY17" s="120"/>
      <c r="FZ17" s="120"/>
      <c r="GA17" s="120"/>
      <c r="GB17" s="120"/>
      <c r="GC17" s="120"/>
    </row>
    <row r="18" spans="1:185" s="121" customFormat="1">
      <c r="A18" s="96" t="s">
        <v>1813</v>
      </c>
      <c r="B18" s="90" t="s">
        <v>1877</v>
      </c>
      <c r="C18" s="206">
        <f t="shared" si="2"/>
        <v>0</v>
      </c>
      <c r="D18" s="258">
        <v>50924874.761570826</v>
      </c>
      <c r="E18" s="195"/>
      <c r="F18" s="195"/>
      <c r="G18" s="195"/>
      <c r="H18" s="195"/>
      <c r="I18" s="195"/>
      <c r="J18" s="195"/>
      <c r="K18" s="196"/>
      <c r="L18" s="196"/>
      <c r="M18" s="196"/>
      <c r="N18" s="196"/>
      <c r="O18" s="196"/>
      <c r="P18" s="196"/>
      <c r="Q18" s="196"/>
      <c r="R18" s="196"/>
      <c r="S18" s="196"/>
      <c r="T18" s="196"/>
      <c r="U18" s="196"/>
      <c r="V18" s="196"/>
      <c r="W18" s="196"/>
      <c r="X18" s="196"/>
      <c r="Y18" s="196"/>
      <c r="Z18" s="196"/>
      <c r="AA18" s="196"/>
      <c r="AB18" s="196"/>
      <c r="AC18" s="196"/>
      <c r="AD18" s="196"/>
      <c r="AE18" s="196"/>
      <c r="AF18" s="196"/>
      <c r="AG18" s="196"/>
      <c r="AH18" s="170"/>
      <c r="AI18" s="171"/>
      <c r="AJ18" s="120"/>
      <c r="AK18" s="120"/>
      <c r="AL18" s="120"/>
      <c r="AM18" s="120"/>
      <c r="AN18" s="120"/>
      <c r="AO18" s="120"/>
      <c r="AP18" s="120"/>
      <c r="AQ18" s="120"/>
      <c r="AR18" s="120"/>
      <c r="AS18" s="120"/>
      <c r="AT18" s="120"/>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c r="BR18" s="120"/>
      <c r="BS18" s="120"/>
      <c r="BT18" s="120"/>
      <c r="BU18" s="120"/>
      <c r="BV18" s="120"/>
      <c r="BW18" s="120"/>
      <c r="BX18" s="120"/>
      <c r="BY18" s="120"/>
      <c r="BZ18" s="120"/>
      <c r="CA18" s="120"/>
      <c r="CB18" s="120"/>
      <c r="CC18" s="120"/>
      <c r="CD18" s="120"/>
      <c r="CE18" s="120"/>
      <c r="CF18" s="120"/>
      <c r="CG18" s="120"/>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c r="EU18" s="120"/>
      <c r="EV18" s="120"/>
      <c r="EW18" s="120"/>
      <c r="EX18" s="120"/>
      <c r="EY18" s="120"/>
      <c r="EZ18" s="120"/>
      <c r="FA18" s="120"/>
      <c r="FB18" s="120"/>
      <c r="FC18" s="120"/>
      <c r="FD18" s="120"/>
      <c r="FE18" s="120"/>
      <c r="FF18" s="120"/>
      <c r="FG18" s="120"/>
      <c r="FH18" s="120"/>
      <c r="FI18" s="120"/>
      <c r="FJ18" s="120"/>
      <c r="FK18" s="120"/>
      <c r="FL18" s="120"/>
      <c r="FM18" s="120"/>
      <c r="FN18" s="120"/>
      <c r="FO18" s="120"/>
      <c r="FP18" s="120"/>
      <c r="FQ18" s="120"/>
      <c r="FR18" s="120"/>
      <c r="FS18" s="120"/>
      <c r="FT18" s="120"/>
      <c r="FU18" s="120"/>
      <c r="FV18" s="120"/>
      <c r="FW18" s="120"/>
      <c r="FX18" s="120"/>
      <c r="FY18" s="120"/>
      <c r="FZ18" s="120"/>
      <c r="GA18" s="120"/>
      <c r="GB18" s="120"/>
      <c r="GC18" s="120"/>
    </row>
    <row r="19" spans="1:185" s="121" customFormat="1">
      <c r="A19" s="99" t="s">
        <v>1818</v>
      </c>
      <c r="B19" s="92" t="s">
        <v>1881</v>
      </c>
      <c r="C19" s="206">
        <f t="shared" si="2"/>
        <v>0</v>
      </c>
      <c r="D19" s="258">
        <v>11708200.808341648</v>
      </c>
      <c r="E19" s="195"/>
      <c r="F19" s="195"/>
      <c r="G19" s="195"/>
      <c r="H19" s="195"/>
      <c r="I19" s="195"/>
      <c r="J19" s="195"/>
      <c r="K19" s="196"/>
      <c r="L19" s="196"/>
      <c r="M19" s="196"/>
      <c r="N19" s="196"/>
      <c r="O19" s="196"/>
      <c r="P19" s="196"/>
      <c r="Q19" s="196"/>
      <c r="R19" s="196"/>
      <c r="S19" s="196"/>
      <c r="T19" s="196"/>
      <c r="U19" s="196"/>
      <c r="V19" s="196"/>
      <c r="W19" s="196"/>
      <c r="X19" s="196"/>
      <c r="Y19" s="196"/>
      <c r="Z19" s="196"/>
      <c r="AA19" s="196"/>
      <c r="AB19" s="196"/>
      <c r="AC19" s="196"/>
      <c r="AD19" s="196"/>
      <c r="AE19" s="196"/>
      <c r="AF19" s="196"/>
      <c r="AG19" s="196"/>
      <c r="AH19" s="170"/>
      <c r="AI19" s="171"/>
      <c r="AJ19" s="120"/>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c r="BS19" s="120"/>
      <c r="BT19" s="120"/>
      <c r="BU19" s="120"/>
      <c r="BV19" s="120"/>
      <c r="BW19" s="120"/>
      <c r="BX19" s="120"/>
      <c r="BY19" s="120"/>
      <c r="BZ19" s="120"/>
      <c r="CA19" s="120"/>
      <c r="CB19" s="120"/>
      <c r="CC19" s="120"/>
      <c r="CD19" s="120"/>
      <c r="CE19" s="120"/>
      <c r="CF19" s="120"/>
      <c r="CG19" s="120"/>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c r="EU19" s="120"/>
      <c r="EV19" s="120"/>
      <c r="EW19" s="120"/>
      <c r="EX19" s="120"/>
      <c r="EY19" s="120"/>
      <c r="EZ19" s="120"/>
      <c r="FA19" s="120"/>
      <c r="FB19" s="120"/>
      <c r="FC19" s="120"/>
      <c r="FD19" s="120"/>
      <c r="FE19" s="120"/>
      <c r="FF19" s="120"/>
      <c r="FG19" s="120"/>
      <c r="FH19" s="120"/>
      <c r="FI19" s="120"/>
      <c r="FJ19" s="120"/>
      <c r="FK19" s="120"/>
      <c r="FL19" s="120"/>
      <c r="FM19" s="120"/>
      <c r="FN19" s="120"/>
      <c r="FO19" s="120"/>
      <c r="FP19" s="120"/>
      <c r="FQ19" s="120"/>
      <c r="FR19" s="120"/>
      <c r="FS19" s="120"/>
      <c r="FT19" s="120"/>
      <c r="FU19" s="120"/>
      <c r="FV19" s="120"/>
      <c r="FW19" s="120"/>
      <c r="FX19" s="120"/>
      <c r="FY19" s="120"/>
      <c r="FZ19" s="120"/>
      <c r="GA19" s="120"/>
      <c r="GB19" s="120"/>
      <c r="GC19" s="120"/>
    </row>
    <row r="20" spans="1:185" s="121" customFormat="1">
      <c r="A20" s="99" t="s">
        <v>1819</v>
      </c>
      <c r="B20" s="92" t="s">
        <v>1882</v>
      </c>
      <c r="C20" s="206">
        <f t="shared" si="2"/>
        <v>0</v>
      </c>
      <c r="D20" s="258">
        <v>7175994.0438223006</v>
      </c>
      <c r="E20" s="195"/>
      <c r="F20" s="195"/>
      <c r="G20" s="195"/>
      <c r="H20" s="195"/>
      <c r="I20" s="195"/>
      <c r="J20" s="195"/>
      <c r="K20" s="196"/>
      <c r="L20" s="196"/>
      <c r="M20" s="196"/>
      <c r="N20" s="196"/>
      <c r="O20" s="196"/>
      <c r="P20" s="196"/>
      <c r="Q20" s="196"/>
      <c r="R20" s="196"/>
      <c r="S20" s="196"/>
      <c r="T20" s="196"/>
      <c r="U20" s="196"/>
      <c r="V20" s="196"/>
      <c r="W20" s="196"/>
      <c r="X20" s="196"/>
      <c r="Y20" s="196"/>
      <c r="Z20" s="196"/>
      <c r="AA20" s="196"/>
      <c r="AB20" s="196"/>
      <c r="AC20" s="196"/>
      <c r="AD20" s="196"/>
      <c r="AE20" s="196"/>
      <c r="AF20" s="196"/>
      <c r="AG20" s="196"/>
      <c r="AH20" s="170"/>
      <c r="AI20" s="171"/>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c r="BY20" s="120"/>
      <c r="BZ20" s="120"/>
      <c r="CA20" s="120"/>
      <c r="CB20" s="120"/>
      <c r="CC20" s="120"/>
      <c r="CD20" s="120"/>
      <c r="CE20" s="120"/>
      <c r="CF20" s="120"/>
      <c r="CG20" s="120"/>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c r="EU20" s="120"/>
      <c r="EV20" s="120"/>
      <c r="EW20" s="120"/>
      <c r="EX20" s="120"/>
      <c r="EY20" s="120"/>
      <c r="EZ20" s="120"/>
      <c r="FA20" s="120"/>
      <c r="FB20" s="120"/>
      <c r="FC20" s="120"/>
      <c r="FD20" s="120"/>
      <c r="FE20" s="120"/>
      <c r="FF20" s="120"/>
      <c r="FG20" s="120"/>
      <c r="FH20" s="120"/>
      <c r="FI20" s="120"/>
      <c r="FJ20" s="120"/>
      <c r="FK20" s="120"/>
      <c r="FL20" s="120"/>
      <c r="FM20" s="120"/>
      <c r="FN20" s="120"/>
      <c r="FO20" s="120"/>
      <c r="FP20" s="120"/>
      <c r="FQ20" s="120"/>
      <c r="FR20" s="120"/>
      <c r="FS20" s="120"/>
      <c r="FT20" s="120"/>
      <c r="FU20" s="120"/>
      <c r="FV20" s="120"/>
      <c r="FW20" s="120"/>
      <c r="FX20" s="120"/>
      <c r="FY20" s="120"/>
      <c r="FZ20" s="120"/>
      <c r="GA20" s="120"/>
      <c r="GB20" s="120"/>
      <c r="GC20" s="120"/>
    </row>
    <row r="21" spans="1:185" s="121" customFormat="1">
      <c r="A21" s="96" t="s">
        <v>1817</v>
      </c>
      <c r="B21" s="90" t="s">
        <v>1930</v>
      </c>
      <c r="C21" s="206">
        <f t="shared" si="2"/>
        <v>0</v>
      </c>
      <c r="D21" s="237">
        <f t="shared" ref="D21:AG21" si="3">D19+D20</f>
        <v>18884194.852163948</v>
      </c>
      <c r="E21" s="206">
        <f t="shared" si="3"/>
        <v>0</v>
      </c>
      <c r="F21" s="206">
        <f t="shared" si="3"/>
        <v>0</v>
      </c>
      <c r="G21" s="206">
        <f t="shared" si="3"/>
        <v>0</v>
      </c>
      <c r="H21" s="206">
        <f t="shared" si="3"/>
        <v>0</v>
      </c>
      <c r="I21" s="206">
        <f t="shared" si="3"/>
        <v>0</v>
      </c>
      <c r="J21" s="206">
        <f t="shared" si="3"/>
        <v>0</v>
      </c>
      <c r="K21" s="206">
        <f t="shared" si="3"/>
        <v>0</v>
      </c>
      <c r="L21" s="206">
        <f t="shared" si="3"/>
        <v>0</v>
      </c>
      <c r="M21" s="206">
        <f t="shared" si="3"/>
        <v>0</v>
      </c>
      <c r="N21" s="206">
        <f t="shared" si="3"/>
        <v>0</v>
      </c>
      <c r="O21" s="206">
        <f t="shared" si="3"/>
        <v>0</v>
      </c>
      <c r="P21" s="206">
        <f t="shared" si="3"/>
        <v>0</v>
      </c>
      <c r="Q21" s="206">
        <f t="shared" si="3"/>
        <v>0</v>
      </c>
      <c r="R21" s="206">
        <f t="shared" si="3"/>
        <v>0</v>
      </c>
      <c r="S21" s="206">
        <f t="shared" si="3"/>
        <v>0</v>
      </c>
      <c r="T21" s="206">
        <f t="shared" si="3"/>
        <v>0</v>
      </c>
      <c r="U21" s="206">
        <f t="shared" si="3"/>
        <v>0</v>
      </c>
      <c r="V21" s="206">
        <f t="shared" si="3"/>
        <v>0</v>
      </c>
      <c r="W21" s="206">
        <f t="shared" si="3"/>
        <v>0</v>
      </c>
      <c r="X21" s="206">
        <f t="shared" si="3"/>
        <v>0</v>
      </c>
      <c r="Y21" s="206">
        <f t="shared" si="3"/>
        <v>0</v>
      </c>
      <c r="Z21" s="206">
        <f t="shared" si="3"/>
        <v>0</v>
      </c>
      <c r="AA21" s="206">
        <f t="shared" si="3"/>
        <v>0</v>
      </c>
      <c r="AB21" s="206">
        <f t="shared" si="3"/>
        <v>0</v>
      </c>
      <c r="AC21" s="206">
        <f t="shared" si="3"/>
        <v>0</v>
      </c>
      <c r="AD21" s="206">
        <f t="shared" si="3"/>
        <v>0</v>
      </c>
      <c r="AE21" s="206">
        <f t="shared" si="3"/>
        <v>0</v>
      </c>
      <c r="AF21" s="206">
        <f t="shared" si="3"/>
        <v>0</v>
      </c>
      <c r="AG21" s="206">
        <f t="shared" si="3"/>
        <v>0</v>
      </c>
      <c r="AH21" s="170"/>
      <c r="AI21" s="171"/>
      <c r="AJ21" s="120"/>
      <c r="AK21" s="120"/>
      <c r="AL21" s="120"/>
      <c r="AM21" s="120"/>
      <c r="AN21" s="120"/>
      <c r="AO21" s="120"/>
      <c r="AP21" s="120"/>
      <c r="AQ21" s="120"/>
      <c r="AR21" s="120"/>
      <c r="AS21" s="120"/>
      <c r="AT21" s="120"/>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c r="BY21" s="120"/>
      <c r="BZ21" s="120"/>
      <c r="CA21" s="120"/>
      <c r="CB21" s="120"/>
      <c r="CC21" s="120"/>
      <c r="CD21" s="120"/>
      <c r="CE21" s="120"/>
      <c r="CF21" s="120"/>
      <c r="CG21" s="120"/>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c r="EU21" s="120"/>
      <c r="EV21" s="120"/>
      <c r="EW21" s="120"/>
      <c r="EX21" s="120"/>
      <c r="EY21" s="120"/>
      <c r="EZ21" s="120"/>
      <c r="FA21" s="120"/>
      <c r="FB21" s="120"/>
      <c r="FC21" s="120"/>
      <c r="FD21" s="120"/>
      <c r="FE21" s="120"/>
      <c r="FF21" s="120"/>
      <c r="FG21" s="120"/>
      <c r="FH21" s="120"/>
      <c r="FI21" s="120"/>
      <c r="FJ21" s="120"/>
      <c r="FK21" s="120"/>
      <c r="FL21" s="120"/>
      <c r="FM21" s="120"/>
      <c r="FN21" s="120"/>
      <c r="FO21" s="120"/>
      <c r="FP21" s="120"/>
      <c r="FQ21" s="120"/>
      <c r="FR21" s="120"/>
      <c r="FS21" s="120"/>
      <c r="FT21" s="120"/>
      <c r="FU21" s="120"/>
      <c r="FV21" s="120"/>
      <c r="FW21" s="120"/>
      <c r="FX21" s="120"/>
      <c r="FY21" s="120"/>
      <c r="FZ21" s="120"/>
      <c r="GA21" s="120"/>
      <c r="GB21" s="120"/>
      <c r="GC21" s="120"/>
    </row>
    <row r="22" spans="1:185" s="123" customFormat="1">
      <c r="A22" s="97"/>
      <c r="B22" s="93" t="s">
        <v>1962</v>
      </c>
      <c r="C22" s="204">
        <f t="shared" si="2"/>
        <v>0</v>
      </c>
      <c r="D22" s="236">
        <f t="shared" ref="D22:AG22" si="4">D14+D15+D16+D17+D18+D21</f>
        <v>328519603.71604174</v>
      </c>
      <c r="E22" s="204">
        <f t="shared" si="4"/>
        <v>0</v>
      </c>
      <c r="F22" s="204">
        <f t="shared" si="4"/>
        <v>0</v>
      </c>
      <c r="G22" s="204">
        <f t="shared" si="4"/>
        <v>0</v>
      </c>
      <c r="H22" s="204">
        <f t="shared" si="4"/>
        <v>0</v>
      </c>
      <c r="I22" s="204">
        <f t="shared" si="4"/>
        <v>0</v>
      </c>
      <c r="J22" s="204">
        <f t="shared" si="4"/>
        <v>0</v>
      </c>
      <c r="K22" s="204">
        <f t="shared" si="4"/>
        <v>0</v>
      </c>
      <c r="L22" s="204">
        <f t="shared" si="4"/>
        <v>0</v>
      </c>
      <c r="M22" s="204">
        <f t="shared" si="4"/>
        <v>0</v>
      </c>
      <c r="N22" s="204">
        <f t="shared" si="4"/>
        <v>0</v>
      </c>
      <c r="O22" s="204">
        <f t="shared" si="4"/>
        <v>0</v>
      </c>
      <c r="P22" s="204">
        <f t="shared" si="4"/>
        <v>0</v>
      </c>
      <c r="Q22" s="204">
        <f t="shared" si="4"/>
        <v>0</v>
      </c>
      <c r="R22" s="204">
        <f t="shared" si="4"/>
        <v>0</v>
      </c>
      <c r="S22" s="204">
        <f t="shared" si="4"/>
        <v>0</v>
      </c>
      <c r="T22" s="204">
        <f t="shared" si="4"/>
        <v>0</v>
      </c>
      <c r="U22" s="204">
        <f t="shared" si="4"/>
        <v>0</v>
      </c>
      <c r="V22" s="204">
        <f t="shared" si="4"/>
        <v>0</v>
      </c>
      <c r="W22" s="204">
        <f t="shared" si="4"/>
        <v>0</v>
      </c>
      <c r="X22" s="204">
        <f t="shared" si="4"/>
        <v>0</v>
      </c>
      <c r="Y22" s="204">
        <f t="shared" si="4"/>
        <v>0</v>
      </c>
      <c r="Z22" s="204">
        <f t="shared" si="4"/>
        <v>0</v>
      </c>
      <c r="AA22" s="204">
        <f t="shared" si="4"/>
        <v>0</v>
      </c>
      <c r="AB22" s="204">
        <f t="shared" si="4"/>
        <v>0</v>
      </c>
      <c r="AC22" s="204">
        <f t="shared" si="4"/>
        <v>0</v>
      </c>
      <c r="AD22" s="204">
        <f t="shared" si="4"/>
        <v>0</v>
      </c>
      <c r="AE22" s="204">
        <f t="shared" si="4"/>
        <v>0</v>
      </c>
      <c r="AF22" s="204">
        <f t="shared" si="4"/>
        <v>0</v>
      </c>
      <c r="AG22" s="204">
        <f t="shared" si="4"/>
        <v>0</v>
      </c>
      <c r="AH22" s="172"/>
      <c r="AI22" s="173"/>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2"/>
      <c r="BK22" s="122"/>
      <c r="BL22" s="122"/>
      <c r="BM22" s="122"/>
      <c r="BN22" s="122"/>
      <c r="BO22" s="122"/>
      <c r="BP22" s="122"/>
      <c r="BQ22" s="122"/>
      <c r="BR22" s="122"/>
      <c r="BS22" s="122"/>
      <c r="BT22" s="122"/>
      <c r="BU22" s="122"/>
      <c r="BV22" s="122"/>
      <c r="BW22" s="122"/>
      <c r="BX22" s="122"/>
      <c r="BY22" s="122"/>
      <c r="BZ22" s="122"/>
      <c r="CA22" s="122"/>
      <c r="CB22" s="122"/>
      <c r="CC22" s="122"/>
      <c r="CD22" s="122"/>
      <c r="CE22" s="122"/>
      <c r="CF22" s="122"/>
      <c r="CG22" s="122"/>
      <c r="CH22" s="122"/>
      <c r="CI22" s="122"/>
      <c r="CJ22" s="122"/>
      <c r="CK22" s="122"/>
      <c r="CL22" s="122"/>
      <c r="CM22" s="122"/>
      <c r="CN22" s="122"/>
      <c r="CO22" s="122"/>
      <c r="CP22" s="122"/>
      <c r="CQ22" s="122"/>
      <c r="CR22" s="122"/>
      <c r="CS22" s="122"/>
      <c r="CT22" s="122"/>
      <c r="CU22" s="122"/>
      <c r="CV22" s="122"/>
      <c r="CW22" s="122"/>
      <c r="CX22" s="122"/>
      <c r="CY22" s="122"/>
      <c r="CZ22" s="122"/>
      <c r="DA22" s="122"/>
      <c r="DB22" s="122"/>
      <c r="DC22" s="122"/>
      <c r="DD22" s="122"/>
      <c r="DE22" s="122"/>
      <c r="DF22" s="122"/>
      <c r="DG22" s="122"/>
      <c r="DH22" s="122"/>
      <c r="DI22" s="122"/>
      <c r="DJ22" s="122"/>
      <c r="DK22" s="122"/>
      <c r="DL22" s="122"/>
      <c r="DM22" s="122"/>
      <c r="DN22" s="122"/>
      <c r="DO22" s="122"/>
      <c r="DP22" s="122"/>
      <c r="DQ22" s="122"/>
      <c r="DR22" s="122"/>
      <c r="DS22" s="122"/>
      <c r="DT22" s="122"/>
      <c r="DU22" s="122"/>
      <c r="DV22" s="122"/>
      <c r="DW22" s="122"/>
      <c r="DX22" s="122"/>
      <c r="DY22" s="122"/>
      <c r="DZ22" s="122"/>
      <c r="EA22" s="122"/>
      <c r="EB22" s="122"/>
      <c r="EC22" s="122"/>
      <c r="ED22" s="122"/>
      <c r="EE22" s="122"/>
      <c r="EF22" s="122"/>
      <c r="EG22" s="122"/>
      <c r="EH22" s="122"/>
      <c r="EI22" s="122"/>
      <c r="EJ22" s="122"/>
      <c r="EK22" s="122"/>
      <c r="EL22" s="122"/>
      <c r="EM22" s="122"/>
      <c r="EN22" s="122"/>
      <c r="EO22" s="122"/>
      <c r="EP22" s="122"/>
      <c r="EQ22" s="122"/>
      <c r="ER22" s="122"/>
      <c r="ES22" s="122"/>
      <c r="ET22" s="122"/>
      <c r="EU22" s="122"/>
      <c r="EV22" s="122"/>
      <c r="EW22" s="122"/>
      <c r="EX22" s="122"/>
      <c r="EY22" s="122"/>
      <c r="EZ22" s="122"/>
      <c r="FA22" s="122"/>
      <c r="FB22" s="122"/>
      <c r="FC22" s="122"/>
      <c r="FD22" s="122"/>
      <c r="FE22" s="122"/>
      <c r="FF22" s="122"/>
      <c r="FG22" s="122"/>
      <c r="FH22" s="122"/>
      <c r="FI22" s="122"/>
      <c r="FJ22" s="122"/>
      <c r="FK22" s="122"/>
      <c r="FL22" s="122"/>
      <c r="FM22" s="122"/>
      <c r="FN22" s="122"/>
      <c r="FO22" s="122"/>
      <c r="FP22" s="122"/>
      <c r="FQ22" s="122"/>
      <c r="FR22" s="122"/>
      <c r="FS22" s="122"/>
      <c r="FT22" s="122"/>
      <c r="FU22" s="122"/>
      <c r="FV22" s="122"/>
      <c r="FW22" s="122"/>
      <c r="FX22" s="122"/>
      <c r="FY22" s="122"/>
      <c r="FZ22" s="122"/>
      <c r="GA22" s="122"/>
      <c r="GB22" s="122"/>
      <c r="GC22" s="122"/>
    </row>
    <row r="23" spans="1:185" s="121" customFormat="1">
      <c r="A23" s="96"/>
      <c r="B23" s="94"/>
      <c r="C23" s="206"/>
      <c r="D23" s="261"/>
      <c r="E23" s="209"/>
      <c r="F23" s="209"/>
      <c r="G23" s="209"/>
      <c r="H23" s="209"/>
      <c r="I23" s="209"/>
      <c r="J23" s="209"/>
      <c r="K23" s="209"/>
      <c r="L23" s="209"/>
      <c r="M23" s="209"/>
      <c r="N23" s="209"/>
      <c r="O23" s="209"/>
      <c r="P23" s="209"/>
      <c r="Q23" s="209"/>
      <c r="R23" s="209"/>
      <c r="S23" s="209"/>
      <c r="T23" s="209"/>
      <c r="U23" s="209"/>
      <c r="V23" s="209"/>
      <c r="W23" s="209"/>
      <c r="X23" s="209"/>
      <c r="Y23" s="209"/>
      <c r="Z23" s="209"/>
      <c r="AA23" s="209"/>
      <c r="AB23" s="209"/>
      <c r="AC23" s="209"/>
      <c r="AD23" s="209"/>
      <c r="AE23" s="209"/>
      <c r="AF23" s="209"/>
      <c r="AG23" s="209"/>
      <c r="AH23" s="170"/>
      <c r="AI23" s="171"/>
      <c r="AJ23" s="120"/>
      <c r="AK23" s="120"/>
      <c r="AL23" s="120"/>
      <c r="AM23" s="120"/>
      <c r="AN23" s="120"/>
      <c r="AO23" s="120"/>
      <c r="AP23" s="120"/>
      <c r="AQ23" s="120"/>
      <c r="AR23" s="120"/>
      <c r="AS23" s="120"/>
      <c r="AT23" s="120"/>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c r="BY23" s="120"/>
      <c r="BZ23" s="120"/>
      <c r="CA23" s="120"/>
      <c r="CB23" s="120"/>
      <c r="CC23" s="120"/>
      <c r="CD23" s="120"/>
      <c r="CE23" s="120"/>
      <c r="CF23" s="120"/>
      <c r="CG23" s="120"/>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c r="EU23" s="120"/>
      <c r="EV23" s="120"/>
      <c r="EW23" s="120"/>
      <c r="EX23" s="120"/>
      <c r="EY23" s="120"/>
      <c r="EZ23" s="120"/>
      <c r="FA23" s="120"/>
      <c r="FB23" s="120"/>
      <c r="FC23" s="120"/>
      <c r="FD23" s="120"/>
      <c r="FE23" s="120"/>
      <c r="FF23" s="120"/>
      <c r="FG23" s="120"/>
      <c r="FH23" s="120"/>
      <c r="FI23" s="120"/>
      <c r="FJ23" s="120"/>
      <c r="FK23" s="120"/>
      <c r="FL23" s="120"/>
      <c r="FM23" s="120"/>
      <c r="FN23" s="120"/>
      <c r="FO23" s="120"/>
      <c r="FP23" s="120"/>
      <c r="FQ23" s="120"/>
      <c r="FR23" s="120"/>
      <c r="FS23" s="120"/>
      <c r="FT23" s="120"/>
      <c r="FU23" s="120"/>
      <c r="FV23" s="120"/>
      <c r="FW23" s="120"/>
      <c r="FX23" s="120"/>
      <c r="FY23" s="120"/>
      <c r="FZ23" s="120"/>
      <c r="GA23" s="120"/>
      <c r="GB23" s="120"/>
      <c r="GC23" s="120"/>
    </row>
    <row r="24" spans="1:185" s="121" customFormat="1">
      <c r="A24" s="98" t="s">
        <v>1863</v>
      </c>
      <c r="B24" s="92" t="s">
        <v>1886</v>
      </c>
      <c r="C24" s="206">
        <f t="shared" ref="C24:C38" si="5">SUM(E24:AG24)</f>
        <v>0</v>
      </c>
      <c r="D24" s="258">
        <v>7456000</v>
      </c>
      <c r="E24" s="195"/>
      <c r="F24" s="195"/>
      <c r="G24" s="195"/>
      <c r="H24" s="195"/>
      <c r="I24" s="195"/>
      <c r="J24" s="195"/>
      <c r="K24" s="196"/>
      <c r="L24" s="196"/>
      <c r="M24" s="196"/>
      <c r="N24" s="196"/>
      <c r="O24" s="196"/>
      <c r="P24" s="196"/>
      <c r="Q24" s="196"/>
      <c r="R24" s="196"/>
      <c r="S24" s="196"/>
      <c r="T24" s="196"/>
      <c r="U24" s="196"/>
      <c r="V24" s="196"/>
      <c r="W24" s="196"/>
      <c r="X24" s="196"/>
      <c r="Y24" s="196"/>
      <c r="Z24" s="196"/>
      <c r="AA24" s="196"/>
      <c r="AB24" s="196"/>
      <c r="AC24" s="196"/>
      <c r="AD24" s="196"/>
      <c r="AE24" s="196"/>
      <c r="AF24" s="196"/>
      <c r="AG24" s="196"/>
      <c r="AH24" s="170"/>
      <c r="AI24" s="171"/>
      <c r="AJ24" s="120"/>
      <c r="AK24" s="120"/>
      <c r="AL24" s="120"/>
      <c r="AM24" s="120"/>
      <c r="AN24" s="120"/>
      <c r="AO24" s="120"/>
      <c r="AP24" s="120"/>
      <c r="AQ24" s="120"/>
      <c r="AR24" s="120"/>
      <c r="AS24" s="120"/>
      <c r="AT24" s="120"/>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c r="BY24" s="120"/>
      <c r="BZ24" s="120"/>
      <c r="CA24" s="120"/>
      <c r="CB24" s="120"/>
      <c r="CC24" s="120"/>
      <c r="CD24" s="120"/>
      <c r="CE24" s="120"/>
      <c r="CF24" s="120"/>
      <c r="CG24" s="120"/>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c r="EU24" s="120"/>
      <c r="EV24" s="120"/>
      <c r="EW24" s="120"/>
      <c r="EX24" s="120"/>
      <c r="EY24" s="120"/>
      <c r="EZ24" s="120"/>
      <c r="FA24" s="120"/>
      <c r="FB24" s="120"/>
      <c r="FC24" s="120"/>
      <c r="FD24" s="120"/>
      <c r="FE24" s="120"/>
      <c r="FF24" s="120"/>
      <c r="FG24" s="120"/>
      <c r="FH24" s="120"/>
      <c r="FI24" s="120"/>
      <c r="FJ24" s="120"/>
      <c r="FK24" s="120"/>
      <c r="FL24" s="120"/>
      <c r="FM24" s="120"/>
      <c r="FN24" s="120"/>
      <c r="FO24" s="120"/>
      <c r="FP24" s="120"/>
      <c r="FQ24" s="120"/>
      <c r="FR24" s="120"/>
      <c r="FS24" s="120"/>
      <c r="FT24" s="120"/>
      <c r="FU24" s="120"/>
      <c r="FV24" s="120"/>
      <c r="FW24" s="120"/>
      <c r="FX24" s="120"/>
      <c r="FY24" s="120"/>
      <c r="FZ24" s="120"/>
      <c r="GA24" s="120"/>
      <c r="GB24" s="120"/>
      <c r="GC24" s="120"/>
    </row>
    <row r="25" spans="1:185" s="121" customFormat="1">
      <c r="A25" s="98" t="s">
        <v>1864</v>
      </c>
      <c r="B25" s="92" t="s">
        <v>1883</v>
      </c>
      <c r="C25" s="206">
        <f t="shared" si="5"/>
        <v>0</v>
      </c>
      <c r="D25" s="258">
        <v>8375000</v>
      </c>
      <c r="E25" s="195"/>
      <c r="F25" s="195"/>
      <c r="G25" s="195"/>
      <c r="H25" s="195"/>
      <c r="I25" s="195"/>
      <c r="J25" s="195"/>
      <c r="K25" s="196"/>
      <c r="L25" s="196"/>
      <c r="M25" s="196"/>
      <c r="N25" s="196"/>
      <c r="O25" s="196"/>
      <c r="P25" s="196"/>
      <c r="Q25" s="196"/>
      <c r="R25" s="196"/>
      <c r="S25" s="196"/>
      <c r="T25" s="196"/>
      <c r="U25" s="196"/>
      <c r="V25" s="196"/>
      <c r="W25" s="196"/>
      <c r="X25" s="196"/>
      <c r="Y25" s="196"/>
      <c r="Z25" s="196"/>
      <c r="AA25" s="196"/>
      <c r="AB25" s="196"/>
      <c r="AC25" s="196"/>
      <c r="AD25" s="196"/>
      <c r="AE25" s="196"/>
      <c r="AF25" s="196"/>
      <c r="AG25" s="196"/>
      <c r="AH25" s="170"/>
      <c r="AI25" s="171"/>
      <c r="AJ25" s="120"/>
      <c r="AK25" s="120"/>
      <c r="AL25" s="120"/>
      <c r="AM25" s="120"/>
      <c r="AN25" s="120"/>
      <c r="AO25" s="120"/>
      <c r="AP25" s="120"/>
      <c r="AQ25" s="120"/>
      <c r="AR25" s="120"/>
      <c r="AS25" s="120"/>
      <c r="AT25" s="120"/>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c r="BY25" s="120"/>
      <c r="BZ25" s="120"/>
      <c r="CA25" s="120"/>
      <c r="CB25" s="120"/>
      <c r="CC25" s="120"/>
      <c r="CD25" s="120"/>
      <c r="CE25" s="120"/>
      <c r="CF25" s="120"/>
      <c r="CG25" s="120"/>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c r="EU25" s="120"/>
      <c r="EV25" s="120"/>
      <c r="EW25" s="120"/>
      <c r="EX25" s="120"/>
      <c r="EY25" s="120"/>
      <c r="EZ25" s="120"/>
      <c r="FA25" s="120"/>
      <c r="FB25" s="120"/>
      <c r="FC25" s="120"/>
      <c r="FD25" s="120"/>
      <c r="FE25" s="120"/>
      <c r="FF25" s="120"/>
      <c r="FG25" s="120"/>
      <c r="FH25" s="120"/>
      <c r="FI25" s="120"/>
      <c r="FJ25" s="120"/>
      <c r="FK25" s="120"/>
      <c r="FL25" s="120"/>
      <c r="FM25" s="120"/>
      <c r="FN25" s="120"/>
      <c r="FO25" s="120"/>
      <c r="FP25" s="120"/>
      <c r="FQ25" s="120"/>
      <c r="FR25" s="120"/>
      <c r="FS25" s="120"/>
      <c r="FT25" s="120"/>
      <c r="FU25" s="120"/>
      <c r="FV25" s="120"/>
      <c r="FW25" s="120"/>
      <c r="FX25" s="120"/>
      <c r="FY25" s="120"/>
      <c r="FZ25" s="120"/>
      <c r="GA25" s="120"/>
      <c r="GB25" s="120"/>
      <c r="GC25" s="120"/>
    </row>
    <row r="26" spans="1:185" s="121" customFormat="1">
      <c r="A26" s="98" t="s">
        <v>1865</v>
      </c>
      <c r="B26" s="92" t="s">
        <v>1887</v>
      </c>
      <c r="C26" s="206">
        <f t="shared" si="5"/>
        <v>0</v>
      </c>
      <c r="D26" s="258">
        <v>28893840</v>
      </c>
      <c r="E26" s="195"/>
      <c r="F26" s="195"/>
      <c r="G26" s="195"/>
      <c r="H26" s="195"/>
      <c r="I26" s="195"/>
      <c r="J26" s="195"/>
      <c r="K26" s="196"/>
      <c r="L26" s="196"/>
      <c r="M26" s="196"/>
      <c r="N26" s="196"/>
      <c r="O26" s="196"/>
      <c r="P26" s="196"/>
      <c r="Q26" s="196"/>
      <c r="R26" s="196"/>
      <c r="S26" s="196"/>
      <c r="T26" s="196"/>
      <c r="U26" s="196"/>
      <c r="V26" s="196"/>
      <c r="W26" s="196"/>
      <c r="X26" s="196"/>
      <c r="Y26" s="196"/>
      <c r="Z26" s="196"/>
      <c r="AA26" s="196"/>
      <c r="AB26" s="196"/>
      <c r="AC26" s="196"/>
      <c r="AD26" s="196"/>
      <c r="AE26" s="196"/>
      <c r="AF26" s="196"/>
      <c r="AG26" s="196"/>
      <c r="AH26" s="170"/>
      <c r="AI26" s="171"/>
      <c r="AJ26" s="120"/>
      <c r="AK26" s="120"/>
      <c r="AL26" s="120"/>
      <c r="AM26" s="120"/>
      <c r="AN26" s="120"/>
      <c r="AO26" s="120"/>
      <c r="AP26" s="120"/>
      <c r="AQ26" s="120"/>
      <c r="AR26" s="120"/>
      <c r="AS26" s="120"/>
      <c r="AT26" s="120"/>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c r="BY26" s="120"/>
      <c r="BZ26" s="120"/>
      <c r="CA26" s="120"/>
      <c r="CB26" s="120"/>
      <c r="CC26" s="120"/>
      <c r="CD26" s="120"/>
      <c r="CE26" s="120"/>
      <c r="CF26" s="120"/>
      <c r="CG26" s="120"/>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c r="EU26" s="120"/>
      <c r="EV26" s="120"/>
      <c r="EW26" s="120"/>
      <c r="EX26" s="120"/>
      <c r="EY26" s="120"/>
      <c r="EZ26" s="120"/>
      <c r="FA26" s="120"/>
      <c r="FB26" s="120"/>
      <c r="FC26" s="120"/>
      <c r="FD26" s="120"/>
      <c r="FE26" s="120"/>
      <c r="FF26" s="120"/>
      <c r="FG26" s="120"/>
      <c r="FH26" s="120"/>
      <c r="FI26" s="120"/>
      <c r="FJ26" s="120"/>
      <c r="FK26" s="120"/>
      <c r="FL26" s="120"/>
      <c r="FM26" s="120"/>
      <c r="FN26" s="120"/>
      <c r="FO26" s="120"/>
      <c r="FP26" s="120"/>
      <c r="FQ26" s="120"/>
      <c r="FR26" s="120"/>
      <c r="FS26" s="120"/>
      <c r="FT26" s="120"/>
      <c r="FU26" s="120"/>
      <c r="FV26" s="120"/>
      <c r="FW26" s="120"/>
      <c r="FX26" s="120"/>
      <c r="FY26" s="120"/>
      <c r="FZ26" s="120"/>
      <c r="GA26" s="120"/>
      <c r="GB26" s="120"/>
      <c r="GC26" s="120"/>
    </row>
    <row r="27" spans="1:185" s="121" customFormat="1">
      <c r="A27" s="98" t="s">
        <v>1866</v>
      </c>
      <c r="B27" s="92" t="s">
        <v>1884</v>
      </c>
      <c r="C27" s="206">
        <f t="shared" si="5"/>
        <v>0</v>
      </c>
      <c r="D27" s="258">
        <v>39984000</v>
      </c>
      <c r="E27" s="195"/>
      <c r="F27" s="195"/>
      <c r="G27" s="195"/>
      <c r="H27" s="195"/>
      <c r="I27" s="195"/>
      <c r="J27" s="195"/>
      <c r="K27" s="196"/>
      <c r="L27" s="196"/>
      <c r="M27" s="196"/>
      <c r="N27" s="196"/>
      <c r="O27" s="196"/>
      <c r="P27" s="196"/>
      <c r="Q27" s="196"/>
      <c r="R27" s="196"/>
      <c r="S27" s="196"/>
      <c r="T27" s="196"/>
      <c r="U27" s="196"/>
      <c r="V27" s="196"/>
      <c r="W27" s="196"/>
      <c r="X27" s="196"/>
      <c r="Y27" s="196"/>
      <c r="Z27" s="196"/>
      <c r="AA27" s="196"/>
      <c r="AB27" s="196"/>
      <c r="AC27" s="196"/>
      <c r="AD27" s="196"/>
      <c r="AE27" s="196"/>
      <c r="AF27" s="196"/>
      <c r="AG27" s="196"/>
      <c r="AH27" s="170"/>
      <c r="AI27" s="171"/>
      <c r="AJ27" s="120"/>
      <c r="AK27" s="120"/>
      <c r="AL27" s="120"/>
      <c r="AM27" s="120"/>
      <c r="AN27" s="120"/>
      <c r="AO27" s="120"/>
      <c r="AP27" s="120"/>
      <c r="AQ27" s="120"/>
      <c r="AR27" s="120"/>
      <c r="AS27" s="120"/>
      <c r="AT27" s="120"/>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c r="BY27" s="120"/>
      <c r="BZ27" s="120"/>
      <c r="CA27" s="120"/>
      <c r="CB27" s="120"/>
      <c r="CC27" s="120"/>
      <c r="CD27" s="120"/>
      <c r="CE27" s="120"/>
      <c r="CF27" s="120"/>
      <c r="CG27" s="120"/>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c r="EU27" s="120"/>
      <c r="EV27" s="120"/>
      <c r="EW27" s="120"/>
      <c r="EX27" s="120"/>
      <c r="EY27" s="120"/>
      <c r="EZ27" s="120"/>
      <c r="FA27" s="120"/>
      <c r="FB27" s="120"/>
      <c r="FC27" s="120"/>
      <c r="FD27" s="120"/>
      <c r="FE27" s="120"/>
      <c r="FF27" s="120"/>
      <c r="FG27" s="120"/>
      <c r="FH27" s="120"/>
      <c r="FI27" s="120"/>
      <c r="FJ27" s="120"/>
      <c r="FK27" s="120"/>
      <c r="FL27" s="120"/>
      <c r="FM27" s="120"/>
      <c r="FN27" s="120"/>
      <c r="FO27" s="120"/>
      <c r="FP27" s="120"/>
      <c r="FQ27" s="120"/>
      <c r="FR27" s="120"/>
      <c r="FS27" s="120"/>
      <c r="FT27" s="120"/>
      <c r="FU27" s="120"/>
      <c r="FV27" s="120"/>
      <c r="FW27" s="120"/>
      <c r="FX27" s="120"/>
      <c r="FY27" s="120"/>
      <c r="FZ27" s="120"/>
      <c r="GA27" s="120"/>
      <c r="GB27" s="120"/>
      <c r="GC27" s="120"/>
    </row>
    <row r="28" spans="1:185" s="121" customFormat="1">
      <c r="A28" s="98" t="s">
        <v>1867</v>
      </c>
      <c r="B28" s="92" t="s">
        <v>1885</v>
      </c>
      <c r="C28" s="206">
        <f t="shared" si="5"/>
        <v>0</v>
      </c>
      <c r="D28" s="258">
        <v>7717938</v>
      </c>
      <c r="E28" s="195"/>
      <c r="F28" s="195"/>
      <c r="G28" s="195"/>
      <c r="H28" s="195"/>
      <c r="I28" s="195"/>
      <c r="J28" s="195"/>
      <c r="K28" s="196"/>
      <c r="L28" s="196"/>
      <c r="M28" s="196"/>
      <c r="N28" s="196"/>
      <c r="O28" s="196"/>
      <c r="P28" s="196"/>
      <c r="Q28" s="196"/>
      <c r="R28" s="196"/>
      <c r="S28" s="196"/>
      <c r="T28" s="196"/>
      <c r="U28" s="196"/>
      <c r="V28" s="196"/>
      <c r="W28" s="196"/>
      <c r="X28" s="196"/>
      <c r="Y28" s="196"/>
      <c r="Z28" s="196"/>
      <c r="AA28" s="196"/>
      <c r="AB28" s="196"/>
      <c r="AC28" s="196"/>
      <c r="AD28" s="196"/>
      <c r="AE28" s="196"/>
      <c r="AF28" s="196"/>
      <c r="AG28" s="196"/>
      <c r="AH28" s="170"/>
      <c r="AI28" s="171"/>
      <c r="AJ28" s="120"/>
      <c r="AK28" s="120"/>
      <c r="AL28" s="120"/>
      <c r="AM28" s="120"/>
      <c r="AN28" s="120"/>
      <c r="AO28" s="120"/>
      <c r="AP28" s="120"/>
      <c r="AQ28" s="120"/>
      <c r="AR28" s="120"/>
      <c r="AS28" s="120"/>
      <c r="AT28" s="120"/>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c r="BR28" s="120"/>
      <c r="BS28" s="120"/>
      <c r="BT28" s="120"/>
      <c r="BU28" s="120"/>
      <c r="BV28" s="120"/>
      <c r="BW28" s="120"/>
      <c r="BX28" s="120"/>
      <c r="BY28" s="120"/>
      <c r="BZ28" s="120"/>
      <c r="CA28" s="120"/>
      <c r="CB28" s="120"/>
      <c r="CC28" s="120"/>
      <c r="CD28" s="120"/>
      <c r="CE28" s="120"/>
      <c r="CF28" s="120"/>
      <c r="CG28" s="120"/>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c r="EU28" s="120"/>
      <c r="EV28" s="120"/>
      <c r="EW28" s="120"/>
      <c r="EX28" s="120"/>
      <c r="EY28" s="120"/>
      <c r="EZ28" s="120"/>
      <c r="FA28" s="120"/>
      <c r="FB28" s="120"/>
      <c r="FC28" s="120"/>
      <c r="FD28" s="120"/>
      <c r="FE28" s="120"/>
      <c r="FF28" s="120"/>
      <c r="FG28" s="120"/>
      <c r="FH28" s="120"/>
      <c r="FI28" s="120"/>
      <c r="FJ28" s="120"/>
      <c r="FK28" s="120"/>
      <c r="FL28" s="120"/>
      <c r="FM28" s="120"/>
      <c r="FN28" s="120"/>
      <c r="FO28" s="120"/>
      <c r="FP28" s="120"/>
      <c r="FQ28" s="120"/>
      <c r="FR28" s="120"/>
      <c r="FS28" s="120"/>
      <c r="FT28" s="120"/>
      <c r="FU28" s="120"/>
      <c r="FV28" s="120"/>
      <c r="FW28" s="120"/>
      <c r="FX28" s="120"/>
      <c r="FY28" s="120"/>
      <c r="FZ28" s="120"/>
      <c r="GA28" s="120"/>
      <c r="GB28" s="120"/>
      <c r="GC28" s="120"/>
    </row>
    <row r="29" spans="1:185" s="121" customFormat="1">
      <c r="A29" s="96" t="s">
        <v>1811</v>
      </c>
      <c r="B29" s="93" t="s">
        <v>1924</v>
      </c>
      <c r="C29" s="204">
        <f t="shared" si="5"/>
        <v>0</v>
      </c>
      <c r="D29" s="236">
        <f t="shared" ref="D29:AG29" si="6">D24+D25+D26+D27+D28</f>
        <v>92426778</v>
      </c>
      <c r="E29" s="204">
        <f t="shared" si="6"/>
        <v>0</v>
      </c>
      <c r="F29" s="204">
        <f t="shared" si="6"/>
        <v>0</v>
      </c>
      <c r="G29" s="204">
        <f t="shared" si="6"/>
        <v>0</v>
      </c>
      <c r="H29" s="204">
        <f t="shared" si="6"/>
        <v>0</v>
      </c>
      <c r="I29" s="204">
        <f t="shared" si="6"/>
        <v>0</v>
      </c>
      <c r="J29" s="204">
        <f t="shared" si="6"/>
        <v>0</v>
      </c>
      <c r="K29" s="204">
        <f t="shared" si="6"/>
        <v>0</v>
      </c>
      <c r="L29" s="204">
        <f t="shared" si="6"/>
        <v>0</v>
      </c>
      <c r="M29" s="204">
        <f t="shared" si="6"/>
        <v>0</v>
      </c>
      <c r="N29" s="204">
        <f t="shared" si="6"/>
        <v>0</v>
      </c>
      <c r="O29" s="204">
        <f t="shared" si="6"/>
        <v>0</v>
      </c>
      <c r="P29" s="204">
        <f t="shared" si="6"/>
        <v>0</v>
      </c>
      <c r="Q29" s="204">
        <f t="shared" si="6"/>
        <v>0</v>
      </c>
      <c r="R29" s="204">
        <f t="shared" si="6"/>
        <v>0</v>
      </c>
      <c r="S29" s="204">
        <f t="shared" si="6"/>
        <v>0</v>
      </c>
      <c r="T29" s="204">
        <f t="shared" si="6"/>
        <v>0</v>
      </c>
      <c r="U29" s="204">
        <f t="shared" si="6"/>
        <v>0</v>
      </c>
      <c r="V29" s="204">
        <f t="shared" si="6"/>
        <v>0</v>
      </c>
      <c r="W29" s="204">
        <f t="shared" si="6"/>
        <v>0</v>
      </c>
      <c r="X29" s="204">
        <f t="shared" si="6"/>
        <v>0</v>
      </c>
      <c r="Y29" s="204">
        <f t="shared" si="6"/>
        <v>0</v>
      </c>
      <c r="Z29" s="204">
        <f t="shared" si="6"/>
        <v>0</v>
      </c>
      <c r="AA29" s="204">
        <f t="shared" si="6"/>
        <v>0</v>
      </c>
      <c r="AB29" s="204">
        <f t="shared" si="6"/>
        <v>0</v>
      </c>
      <c r="AC29" s="204">
        <f t="shared" si="6"/>
        <v>0</v>
      </c>
      <c r="AD29" s="204">
        <f t="shared" si="6"/>
        <v>0</v>
      </c>
      <c r="AE29" s="204">
        <f t="shared" si="6"/>
        <v>0</v>
      </c>
      <c r="AF29" s="204">
        <f t="shared" si="6"/>
        <v>0</v>
      </c>
      <c r="AG29" s="204">
        <f t="shared" si="6"/>
        <v>0</v>
      </c>
      <c r="AH29" s="170"/>
      <c r="AI29" s="171"/>
      <c r="AJ29" s="120"/>
      <c r="AK29" s="120"/>
      <c r="AL29" s="120"/>
      <c r="AM29" s="120"/>
      <c r="AN29" s="120"/>
      <c r="AO29" s="120"/>
      <c r="AP29" s="120"/>
      <c r="AQ29" s="120"/>
      <c r="AR29" s="120"/>
      <c r="AS29" s="120"/>
      <c r="AT29" s="120"/>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c r="BY29" s="120"/>
      <c r="BZ29" s="120"/>
      <c r="CA29" s="120"/>
      <c r="CB29" s="120"/>
      <c r="CC29" s="120"/>
      <c r="CD29" s="120"/>
      <c r="CE29" s="120"/>
      <c r="CF29" s="120"/>
      <c r="CG29" s="120"/>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c r="EU29" s="120"/>
      <c r="EV29" s="120"/>
      <c r="EW29" s="120"/>
      <c r="EX29" s="120"/>
      <c r="EY29" s="120"/>
      <c r="EZ29" s="120"/>
      <c r="FA29" s="120"/>
      <c r="FB29" s="120"/>
      <c r="FC29" s="120"/>
      <c r="FD29" s="120"/>
      <c r="FE29" s="120"/>
      <c r="FF29" s="120"/>
      <c r="FG29" s="120"/>
      <c r="FH29" s="120"/>
      <c r="FI29" s="120"/>
      <c r="FJ29" s="120"/>
      <c r="FK29" s="120"/>
      <c r="FL29" s="120"/>
      <c r="FM29" s="120"/>
      <c r="FN29" s="120"/>
      <c r="FO29" s="120"/>
      <c r="FP29" s="120"/>
      <c r="FQ29" s="120"/>
      <c r="FR29" s="120"/>
      <c r="FS29" s="120"/>
      <c r="FT29" s="120"/>
      <c r="FU29" s="120"/>
      <c r="FV29" s="120"/>
      <c r="FW29" s="120"/>
      <c r="FX29" s="120"/>
      <c r="FY29" s="120"/>
      <c r="FZ29" s="120"/>
      <c r="GA29" s="120"/>
      <c r="GB29" s="120"/>
      <c r="GC29" s="120"/>
    </row>
    <row r="30" spans="1:185" s="121" customFormat="1">
      <c r="A30" s="96"/>
      <c r="B30" s="93"/>
      <c r="C30" s="204"/>
      <c r="D30" s="258"/>
      <c r="E30" s="265"/>
      <c r="F30" s="265"/>
      <c r="G30" s="265"/>
      <c r="H30" s="265"/>
      <c r="I30" s="265"/>
      <c r="J30" s="265"/>
      <c r="K30" s="266"/>
      <c r="L30" s="266"/>
      <c r="M30" s="266"/>
      <c r="N30" s="266"/>
      <c r="O30" s="266"/>
      <c r="P30" s="266"/>
      <c r="Q30" s="266"/>
      <c r="R30" s="266"/>
      <c r="S30" s="266"/>
      <c r="T30" s="266"/>
      <c r="U30" s="266"/>
      <c r="V30" s="266"/>
      <c r="W30" s="266"/>
      <c r="X30" s="266"/>
      <c r="Y30" s="266"/>
      <c r="Z30" s="266"/>
      <c r="AA30" s="266"/>
      <c r="AB30" s="266"/>
      <c r="AC30" s="266"/>
      <c r="AD30" s="266"/>
      <c r="AE30" s="266"/>
      <c r="AF30" s="266"/>
      <c r="AG30" s="266"/>
      <c r="AH30" s="170"/>
      <c r="AI30" s="171"/>
      <c r="AJ30" s="120"/>
      <c r="AK30" s="120"/>
      <c r="AL30" s="120"/>
      <c r="AM30" s="120"/>
      <c r="AN30" s="120"/>
      <c r="AO30" s="120"/>
      <c r="AP30" s="120"/>
      <c r="AQ30" s="120"/>
      <c r="AR30" s="120"/>
      <c r="AS30" s="120"/>
      <c r="AT30" s="120"/>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c r="BY30" s="120"/>
      <c r="BZ30" s="120"/>
      <c r="CA30" s="120"/>
      <c r="CB30" s="120"/>
      <c r="CC30" s="120"/>
      <c r="CD30" s="120"/>
      <c r="CE30" s="120"/>
      <c r="CF30" s="120"/>
      <c r="CG30" s="120"/>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c r="EU30" s="120"/>
      <c r="EV30" s="120"/>
      <c r="EW30" s="120"/>
      <c r="EX30" s="120"/>
      <c r="EY30" s="120"/>
      <c r="EZ30" s="120"/>
      <c r="FA30" s="120"/>
      <c r="FB30" s="120"/>
      <c r="FC30" s="120"/>
      <c r="FD30" s="120"/>
      <c r="FE30" s="120"/>
      <c r="FF30" s="120"/>
      <c r="FG30" s="120"/>
      <c r="FH30" s="120"/>
      <c r="FI30" s="120"/>
      <c r="FJ30" s="120"/>
      <c r="FK30" s="120"/>
      <c r="FL30" s="120"/>
      <c r="FM30" s="120"/>
      <c r="FN30" s="120"/>
      <c r="FO30" s="120"/>
      <c r="FP30" s="120"/>
      <c r="FQ30" s="120"/>
      <c r="FR30" s="120"/>
      <c r="FS30" s="120"/>
      <c r="FT30" s="120"/>
      <c r="FU30" s="120"/>
      <c r="FV30" s="120"/>
      <c r="FW30" s="120"/>
      <c r="FX30" s="120"/>
      <c r="FY30" s="120"/>
      <c r="FZ30" s="120"/>
      <c r="GA30" s="120"/>
      <c r="GB30" s="120"/>
      <c r="GC30" s="120"/>
    </row>
    <row r="31" spans="1:185" s="121" customFormat="1">
      <c r="A31" s="99" t="s">
        <v>1815</v>
      </c>
      <c r="B31" s="92" t="s">
        <v>1875</v>
      </c>
      <c r="C31" s="206">
        <f t="shared" si="5"/>
        <v>0</v>
      </c>
      <c r="D31" s="258">
        <v>18884194.852163948</v>
      </c>
      <c r="E31" s="195"/>
      <c r="F31" s="195"/>
      <c r="G31" s="195"/>
      <c r="H31" s="195"/>
      <c r="I31" s="195"/>
      <c r="J31" s="195"/>
      <c r="K31" s="196"/>
      <c r="L31" s="196"/>
      <c r="M31" s="196"/>
      <c r="N31" s="196"/>
      <c r="O31" s="196"/>
      <c r="P31" s="196"/>
      <c r="Q31" s="196"/>
      <c r="R31" s="196"/>
      <c r="S31" s="196"/>
      <c r="T31" s="196"/>
      <c r="U31" s="196"/>
      <c r="V31" s="196"/>
      <c r="W31" s="196"/>
      <c r="X31" s="196"/>
      <c r="Y31" s="196"/>
      <c r="Z31" s="196"/>
      <c r="AA31" s="196"/>
      <c r="AB31" s="196"/>
      <c r="AC31" s="196"/>
      <c r="AD31" s="196"/>
      <c r="AE31" s="196"/>
      <c r="AF31" s="196"/>
      <c r="AG31" s="196"/>
      <c r="AH31" s="170"/>
      <c r="AI31" s="171"/>
      <c r="AJ31" s="120"/>
      <c r="AK31" s="120"/>
      <c r="AL31" s="120"/>
      <c r="AM31" s="120"/>
      <c r="AN31" s="120"/>
      <c r="AO31" s="120"/>
      <c r="AP31" s="120"/>
      <c r="AQ31" s="120"/>
      <c r="AR31" s="120"/>
      <c r="AS31" s="120"/>
      <c r="AT31" s="120"/>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c r="BY31" s="120"/>
      <c r="BZ31" s="120"/>
      <c r="CA31" s="120"/>
      <c r="CB31" s="120"/>
      <c r="CC31" s="120"/>
      <c r="CD31" s="120"/>
      <c r="CE31" s="120"/>
      <c r="CF31" s="120"/>
      <c r="CG31" s="120"/>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c r="EU31" s="120"/>
      <c r="EV31" s="120"/>
      <c r="EW31" s="120"/>
      <c r="EX31" s="120"/>
      <c r="EY31" s="120"/>
      <c r="EZ31" s="120"/>
      <c r="FA31" s="120"/>
      <c r="FB31" s="120"/>
      <c r="FC31" s="120"/>
      <c r="FD31" s="120"/>
      <c r="FE31" s="120"/>
      <c r="FF31" s="120"/>
      <c r="FG31" s="120"/>
      <c r="FH31" s="120"/>
      <c r="FI31" s="120"/>
      <c r="FJ31" s="120"/>
      <c r="FK31" s="120"/>
      <c r="FL31" s="120"/>
      <c r="FM31" s="120"/>
      <c r="FN31" s="120"/>
      <c r="FO31" s="120"/>
      <c r="FP31" s="120"/>
      <c r="FQ31" s="120"/>
      <c r="FR31" s="120"/>
      <c r="FS31" s="120"/>
      <c r="FT31" s="120"/>
      <c r="FU31" s="120"/>
      <c r="FV31" s="120"/>
      <c r="FW31" s="120"/>
      <c r="FX31" s="120"/>
      <c r="FY31" s="120"/>
      <c r="FZ31" s="120"/>
      <c r="GA31" s="120"/>
      <c r="GB31" s="120"/>
      <c r="GC31" s="120"/>
    </row>
    <row r="32" spans="1:185" s="121" customFormat="1">
      <c r="A32" s="99" t="s">
        <v>1816</v>
      </c>
      <c r="B32" s="92" t="s">
        <v>1876</v>
      </c>
      <c r="C32" s="206">
        <f t="shared" si="5"/>
        <v>0</v>
      </c>
      <c r="D32" s="258">
        <v>4366080</v>
      </c>
      <c r="E32" s="195"/>
      <c r="F32" s="195"/>
      <c r="G32" s="195"/>
      <c r="H32" s="195"/>
      <c r="I32" s="195"/>
      <c r="J32" s="195"/>
      <c r="K32" s="196"/>
      <c r="L32" s="196"/>
      <c r="M32" s="196"/>
      <c r="N32" s="196"/>
      <c r="O32" s="196"/>
      <c r="P32" s="196"/>
      <c r="Q32" s="196"/>
      <c r="R32" s="196"/>
      <c r="S32" s="196"/>
      <c r="T32" s="196"/>
      <c r="U32" s="196"/>
      <c r="V32" s="196"/>
      <c r="W32" s="196"/>
      <c r="X32" s="196"/>
      <c r="Y32" s="196"/>
      <c r="Z32" s="196"/>
      <c r="AA32" s="196"/>
      <c r="AB32" s="196"/>
      <c r="AC32" s="196"/>
      <c r="AD32" s="196"/>
      <c r="AE32" s="196"/>
      <c r="AF32" s="196"/>
      <c r="AG32" s="196"/>
      <c r="AH32" s="170"/>
      <c r="AI32" s="171"/>
      <c r="AJ32" s="120"/>
      <c r="AK32" s="120"/>
      <c r="AL32" s="120"/>
      <c r="AM32" s="120"/>
      <c r="AN32" s="120"/>
      <c r="AO32" s="120"/>
      <c r="AP32" s="120"/>
      <c r="AQ32" s="120"/>
      <c r="AR32" s="120"/>
      <c r="AS32" s="120"/>
      <c r="AT32" s="120"/>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c r="BY32" s="120"/>
      <c r="BZ32" s="120"/>
      <c r="CA32" s="120"/>
      <c r="CB32" s="120"/>
      <c r="CC32" s="120"/>
      <c r="CD32" s="120"/>
      <c r="CE32" s="120"/>
      <c r="CF32" s="120"/>
      <c r="CG32" s="120"/>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c r="EU32" s="120"/>
      <c r="EV32" s="120"/>
      <c r="EW32" s="120"/>
      <c r="EX32" s="120"/>
      <c r="EY32" s="120"/>
      <c r="EZ32" s="120"/>
      <c r="FA32" s="120"/>
      <c r="FB32" s="120"/>
      <c r="FC32" s="120"/>
      <c r="FD32" s="120"/>
      <c r="FE32" s="120"/>
      <c r="FF32" s="120"/>
      <c r="FG32" s="120"/>
      <c r="FH32" s="120"/>
      <c r="FI32" s="120"/>
      <c r="FJ32" s="120"/>
      <c r="FK32" s="120"/>
      <c r="FL32" s="120"/>
      <c r="FM32" s="120"/>
      <c r="FN32" s="120"/>
      <c r="FO32" s="120"/>
      <c r="FP32" s="120"/>
      <c r="FQ32" s="120"/>
      <c r="FR32" s="120"/>
      <c r="FS32" s="120"/>
      <c r="FT32" s="120"/>
      <c r="FU32" s="120"/>
      <c r="FV32" s="120"/>
      <c r="FW32" s="120"/>
      <c r="FX32" s="120"/>
      <c r="FY32" s="120"/>
      <c r="FZ32" s="120"/>
      <c r="GA32" s="120"/>
      <c r="GB32" s="120"/>
      <c r="GC32" s="120"/>
    </row>
    <row r="33" spans="1:185" s="121" customFormat="1">
      <c r="A33" s="96" t="s">
        <v>1814</v>
      </c>
      <c r="B33" s="90" t="s">
        <v>1931</v>
      </c>
      <c r="C33" s="206">
        <f t="shared" si="5"/>
        <v>0</v>
      </c>
      <c r="D33" s="237">
        <f t="shared" ref="D33:AG33" si="7">D31+D32</f>
        <v>23250274.852163948</v>
      </c>
      <c r="E33" s="206">
        <f t="shared" si="7"/>
        <v>0</v>
      </c>
      <c r="F33" s="206">
        <f t="shared" si="7"/>
        <v>0</v>
      </c>
      <c r="G33" s="206">
        <f t="shared" si="7"/>
        <v>0</v>
      </c>
      <c r="H33" s="206">
        <f t="shared" si="7"/>
        <v>0</v>
      </c>
      <c r="I33" s="206">
        <f t="shared" si="7"/>
        <v>0</v>
      </c>
      <c r="J33" s="206">
        <f t="shared" si="7"/>
        <v>0</v>
      </c>
      <c r="K33" s="206">
        <f t="shared" si="7"/>
        <v>0</v>
      </c>
      <c r="L33" s="206">
        <f t="shared" si="7"/>
        <v>0</v>
      </c>
      <c r="M33" s="206">
        <f t="shared" si="7"/>
        <v>0</v>
      </c>
      <c r="N33" s="206">
        <f t="shared" si="7"/>
        <v>0</v>
      </c>
      <c r="O33" s="206">
        <f t="shared" si="7"/>
        <v>0</v>
      </c>
      <c r="P33" s="206">
        <f t="shared" si="7"/>
        <v>0</v>
      </c>
      <c r="Q33" s="206">
        <f t="shared" si="7"/>
        <v>0</v>
      </c>
      <c r="R33" s="206">
        <f t="shared" si="7"/>
        <v>0</v>
      </c>
      <c r="S33" s="206">
        <f t="shared" si="7"/>
        <v>0</v>
      </c>
      <c r="T33" s="206">
        <f t="shared" si="7"/>
        <v>0</v>
      </c>
      <c r="U33" s="206">
        <f t="shared" si="7"/>
        <v>0</v>
      </c>
      <c r="V33" s="206">
        <f t="shared" si="7"/>
        <v>0</v>
      </c>
      <c r="W33" s="206">
        <f t="shared" si="7"/>
        <v>0</v>
      </c>
      <c r="X33" s="206">
        <f t="shared" si="7"/>
        <v>0</v>
      </c>
      <c r="Y33" s="206">
        <f t="shared" si="7"/>
        <v>0</v>
      </c>
      <c r="Z33" s="206">
        <f t="shared" si="7"/>
        <v>0</v>
      </c>
      <c r="AA33" s="206">
        <f t="shared" si="7"/>
        <v>0</v>
      </c>
      <c r="AB33" s="206">
        <f t="shared" si="7"/>
        <v>0</v>
      </c>
      <c r="AC33" s="206">
        <f t="shared" si="7"/>
        <v>0</v>
      </c>
      <c r="AD33" s="206">
        <f t="shared" si="7"/>
        <v>0</v>
      </c>
      <c r="AE33" s="206">
        <f t="shared" si="7"/>
        <v>0</v>
      </c>
      <c r="AF33" s="206">
        <f t="shared" si="7"/>
        <v>0</v>
      </c>
      <c r="AG33" s="206">
        <f t="shared" si="7"/>
        <v>0</v>
      </c>
      <c r="AH33" s="170"/>
      <c r="AI33" s="171"/>
      <c r="AJ33" s="120"/>
      <c r="AK33" s="120"/>
      <c r="AL33" s="120"/>
      <c r="AM33" s="120"/>
      <c r="AN33" s="120"/>
      <c r="AO33" s="120"/>
      <c r="AP33" s="120"/>
      <c r="AQ33" s="120"/>
      <c r="AR33" s="120"/>
      <c r="AS33" s="120"/>
      <c r="AT33" s="120"/>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c r="BY33" s="120"/>
      <c r="BZ33" s="120"/>
      <c r="CA33" s="120"/>
      <c r="CB33" s="120"/>
      <c r="CC33" s="120"/>
      <c r="CD33" s="120"/>
      <c r="CE33" s="120"/>
      <c r="CF33" s="120"/>
      <c r="CG33" s="120"/>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c r="EU33" s="120"/>
      <c r="EV33" s="120"/>
      <c r="EW33" s="120"/>
      <c r="EX33" s="120"/>
      <c r="EY33" s="120"/>
      <c r="EZ33" s="120"/>
      <c r="FA33" s="120"/>
      <c r="FB33" s="120"/>
      <c r="FC33" s="120"/>
      <c r="FD33" s="120"/>
      <c r="FE33" s="120"/>
      <c r="FF33" s="120"/>
      <c r="FG33" s="120"/>
      <c r="FH33" s="120"/>
      <c r="FI33" s="120"/>
      <c r="FJ33" s="120"/>
      <c r="FK33" s="120"/>
      <c r="FL33" s="120"/>
      <c r="FM33" s="120"/>
      <c r="FN33" s="120"/>
      <c r="FO33" s="120"/>
      <c r="FP33" s="120"/>
      <c r="FQ33" s="120"/>
      <c r="FR33" s="120"/>
      <c r="FS33" s="120"/>
      <c r="FT33" s="120"/>
      <c r="FU33" s="120"/>
      <c r="FV33" s="120"/>
      <c r="FW33" s="120"/>
      <c r="FX33" s="120"/>
      <c r="FY33" s="120"/>
      <c r="FZ33" s="120"/>
      <c r="GA33" s="120"/>
      <c r="GB33" s="120"/>
      <c r="GC33" s="120"/>
    </row>
    <row r="34" spans="1:185" s="121" customFormat="1">
      <c r="A34" s="98" t="s">
        <v>1868</v>
      </c>
      <c r="B34" s="92" t="s">
        <v>1878</v>
      </c>
      <c r="C34" s="206">
        <f t="shared" si="5"/>
        <v>0</v>
      </c>
      <c r="D34" s="258">
        <v>40750080</v>
      </c>
      <c r="E34" s="195"/>
      <c r="F34" s="195"/>
      <c r="G34" s="195"/>
      <c r="H34" s="195"/>
      <c r="I34" s="195"/>
      <c r="J34" s="195"/>
      <c r="K34" s="196"/>
      <c r="L34" s="196"/>
      <c r="M34" s="196"/>
      <c r="N34" s="196"/>
      <c r="O34" s="196"/>
      <c r="P34" s="196"/>
      <c r="Q34" s="196"/>
      <c r="R34" s="196"/>
      <c r="S34" s="196"/>
      <c r="T34" s="196"/>
      <c r="U34" s="196"/>
      <c r="V34" s="196"/>
      <c r="W34" s="196"/>
      <c r="X34" s="196"/>
      <c r="Y34" s="196"/>
      <c r="Z34" s="196"/>
      <c r="AA34" s="196"/>
      <c r="AB34" s="196"/>
      <c r="AC34" s="196"/>
      <c r="AD34" s="196"/>
      <c r="AE34" s="196"/>
      <c r="AF34" s="196"/>
      <c r="AG34" s="196"/>
      <c r="AH34" s="170"/>
      <c r="AI34" s="171"/>
      <c r="AJ34" s="120"/>
      <c r="AK34" s="120"/>
      <c r="AL34" s="120"/>
      <c r="AM34" s="120"/>
      <c r="AN34" s="120"/>
      <c r="AO34" s="120"/>
      <c r="AP34" s="120"/>
      <c r="AQ34" s="120"/>
      <c r="AR34" s="120"/>
      <c r="AS34" s="120"/>
      <c r="AT34" s="120"/>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c r="BY34" s="120"/>
      <c r="BZ34" s="120"/>
      <c r="CA34" s="120"/>
      <c r="CB34" s="120"/>
      <c r="CC34" s="120"/>
      <c r="CD34" s="120"/>
      <c r="CE34" s="120"/>
      <c r="CF34" s="120"/>
      <c r="CG34" s="120"/>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c r="EU34" s="120"/>
      <c r="EV34" s="120"/>
      <c r="EW34" s="120"/>
      <c r="EX34" s="120"/>
      <c r="EY34" s="120"/>
      <c r="EZ34" s="120"/>
      <c r="FA34" s="120"/>
      <c r="FB34" s="120"/>
      <c r="FC34" s="120"/>
      <c r="FD34" s="120"/>
      <c r="FE34" s="120"/>
      <c r="FF34" s="120"/>
      <c r="FG34" s="120"/>
      <c r="FH34" s="120"/>
      <c r="FI34" s="120"/>
      <c r="FJ34" s="120"/>
      <c r="FK34" s="120"/>
      <c r="FL34" s="120"/>
      <c r="FM34" s="120"/>
      <c r="FN34" s="120"/>
      <c r="FO34" s="120"/>
      <c r="FP34" s="120"/>
      <c r="FQ34" s="120"/>
      <c r="FR34" s="120"/>
      <c r="FS34" s="120"/>
      <c r="FT34" s="120"/>
      <c r="FU34" s="120"/>
      <c r="FV34" s="120"/>
      <c r="FW34" s="120"/>
      <c r="FX34" s="120"/>
      <c r="FY34" s="120"/>
      <c r="FZ34" s="120"/>
      <c r="GA34" s="120"/>
      <c r="GB34" s="120"/>
      <c r="GC34" s="120"/>
    </row>
    <row r="35" spans="1:185" s="121" customFormat="1">
      <c r="A35" s="98" t="s">
        <v>1869</v>
      </c>
      <c r="B35" s="92" t="s">
        <v>1879</v>
      </c>
      <c r="C35" s="206">
        <f t="shared" si="5"/>
        <v>0</v>
      </c>
      <c r="D35" s="258">
        <v>2728800</v>
      </c>
      <c r="E35" s="195"/>
      <c r="F35" s="195"/>
      <c r="G35" s="195"/>
      <c r="H35" s="195"/>
      <c r="I35" s="195"/>
      <c r="J35" s="195"/>
      <c r="K35" s="196"/>
      <c r="L35" s="196"/>
      <c r="M35" s="196"/>
      <c r="N35" s="196"/>
      <c r="O35" s="196"/>
      <c r="P35" s="196"/>
      <c r="Q35" s="196"/>
      <c r="R35" s="196"/>
      <c r="S35" s="196"/>
      <c r="T35" s="196"/>
      <c r="U35" s="196"/>
      <c r="V35" s="196"/>
      <c r="W35" s="196"/>
      <c r="X35" s="196"/>
      <c r="Y35" s="196"/>
      <c r="Z35" s="196"/>
      <c r="AA35" s="196"/>
      <c r="AB35" s="196"/>
      <c r="AC35" s="196"/>
      <c r="AD35" s="196"/>
      <c r="AE35" s="196"/>
      <c r="AF35" s="196"/>
      <c r="AG35" s="196"/>
      <c r="AH35" s="170"/>
      <c r="AI35" s="171"/>
      <c r="AJ35" s="120"/>
      <c r="AK35" s="120"/>
      <c r="AL35" s="120"/>
      <c r="AM35" s="120"/>
      <c r="AN35" s="120"/>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c r="BZ35" s="120"/>
      <c r="CA35" s="120"/>
      <c r="CB35" s="120"/>
      <c r="CC35" s="120"/>
      <c r="CD35" s="120"/>
      <c r="CE35" s="120"/>
      <c r="CF35" s="120"/>
      <c r="CG35" s="120"/>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c r="EU35" s="120"/>
      <c r="EV35" s="120"/>
      <c r="EW35" s="120"/>
      <c r="EX35" s="120"/>
      <c r="EY35" s="120"/>
      <c r="EZ35" s="120"/>
      <c r="FA35" s="120"/>
      <c r="FB35" s="120"/>
      <c r="FC35" s="120"/>
      <c r="FD35" s="120"/>
      <c r="FE35" s="120"/>
      <c r="FF35" s="120"/>
      <c r="FG35" s="120"/>
      <c r="FH35" s="120"/>
      <c r="FI35" s="120"/>
      <c r="FJ35" s="120"/>
      <c r="FK35" s="120"/>
      <c r="FL35" s="120"/>
      <c r="FM35" s="120"/>
      <c r="FN35" s="120"/>
      <c r="FO35" s="120"/>
      <c r="FP35" s="120"/>
      <c r="FQ35" s="120"/>
      <c r="FR35" s="120"/>
      <c r="FS35" s="120"/>
      <c r="FT35" s="120"/>
      <c r="FU35" s="120"/>
      <c r="FV35" s="120"/>
      <c r="FW35" s="120"/>
      <c r="FX35" s="120"/>
      <c r="FY35" s="120"/>
      <c r="FZ35" s="120"/>
      <c r="GA35" s="120"/>
      <c r="GB35" s="120"/>
      <c r="GC35" s="120"/>
    </row>
    <row r="36" spans="1:185" s="121" customFormat="1">
      <c r="A36" s="98" t="s">
        <v>1870</v>
      </c>
      <c r="B36" s="92" t="s">
        <v>1880</v>
      </c>
      <c r="C36" s="206">
        <f t="shared" si="5"/>
        <v>0</v>
      </c>
      <c r="D36" s="258">
        <v>5000000</v>
      </c>
      <c r="E36" s="195"/>
      <c r="F36" s="195"/>
      <c r="G36" s="195"/>
      <c r="H36" s="195"/>
      <c r="I36" s="195"/>
      <c r="J36" s="195"/>
      <c r="K36" s="196"/>
      <c r="L36" s="196"/>
      <c r="M36" s="196"/>
      <c r="N36" s="196"/>
      <c r="O36" s="196"/>
      <c r="P36" s="196"/>
      <c r="Q36" s="196"/>
      <c r="R36" s="196"/>
      <c r="S36" s="196"/>
      <c r="T36" s="196"/>
      <c r="U36" s="196"/>
      <c r="V36" s="196"/>
      <c r="W36" s="196"/>
      <c r="X36" s="196"/>
      <c r="Y36" s="196"/>
      <c r="Z36" s="196"/>
      <c r="AA36" s="196"/>
      <c r="AB36" s="196"/>
      <c r="AC36" s="196"/>
      <c r="AD36" s="196"/>
      <c r="AE36" s="196"/>
      <c r="AF36" s="196"/>
      <c r="AG36" s="196"/>
      <c r="AH36" s="170"/>
      <c r="AI36" s="171"/>
      <c r="AJ36" s="120"/>
      <c r="AK36" s="120"/>
      <c r="AL36" s="120"/>
      <c r="AM36" s="120"/>
      <c r="AN36" s="120"/>
      <c r="AO36" s="120"/>
      <c r="AP36" s="120"/>
      <c r="AQ36" s="120"/>
      <c r="AR36" s="120"/>
      <c r="AS36" s="120"/>
      <c r="AT36" s="120"/>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120"/>
      <c r="CF36" s="120"/>
      <c r="CG36" s="120"/>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c r="EU36" s="120"/>
      <c r="EV36" s="120"/>
      <c r="EW36" s="120"/>
      <c r="EX36" s="120"/>
      <c r="EY36" s="120"/>
      <c r="EZ36" s="120"/>
      <c r="FA36" s="120"/>
      <c r="FB36" s="120"/>
      <c r="FC36" s="120"/>
      <c r="FD36" s="120"/>
      <c r="FE36" s="120"/>
      <c r="FF36" s="120"/>
      <c r="FG36" s="120"/>
      <c r="FH36" s="120"/>
      <c r="FI36" s="120"/>
      <c r="FJ36" s="120"/>
      <c r="FK36" s="120"/>
      <c r="FL36" s="120"/>
      <c r="FM36" s="120"/>
      <c r="FN36" s="120"/>
      <c r="FO36" s="120"/>
      <c r="FP36" s="120"/>
      <c r="FQ36" s="120"/>
      <c r="FR36" s="120"/>
      <c r="FS36" s="120"/>
      <c r="FT36" s="120"/>
      <c r="FU36" s="120"/>
      <c r="FV36" s="120"/>
      <c r="FW36" s="120"/>
      <c r="FX36" s="120"/>
      <c r="FY36" s="120"/>
      <c r="FZ36" s="120"/>
      <c r="GA36" s="120"/>
      <c r="GB36" s="120"/>
      <c r="GC36" s="120"/>
    </row>
    <row r="37" spans="1:185" s="121" customFormat="1">
      <c r="A37" s="96" t="s">
        <v>1820</v>
      </c>
      <c r="B37" s="90" t="s">
        <v>1932</v>
      </c>
      <c r="C37" s="206">
        <f t="shared" si="5"/>
        <v>0</v>
      </c>
      <c r="D37" s="237">
        <f t="shared" ref="D37:AG37" si="8">D34+D35+D36</f>
        <v>48478880</v>
      </c>
      <c r="E37" s="206">
        <f t="shared" si="8"/>
        <v>0</v>
      </c>
      <c r="F37" s="206">
        <f t="shared" si="8"/>
        <v>0</v>
      </c>
      <c r="G37" s="206">
        <f t="shared" si="8"/>
        <v>0</v>
      </c>
      <c r="H37" s="206">
        <f t="shared" si="8"/>
        <v>0</v>
      </c>
      <c r="I37" s="206">
        <f t="shared" si="8"/>
        <v>0</v>
      </c>
      <c r="J37" s="206">
        <f t="shared" si="8"/>
        <v>0</v>
      </c>
      <c r="K37" s="206">
        <f t="shared" si="8"/>
        <v>0</v>
      </c>
      <c r="L37" s="206">
        <f t="shared" si="8"/>
        <v>0</v>
      </c>
      <c r="M37" s="206">
        <f t="shared" si="8"/>
        <v>0</v>
      </c>
      <c r="N37" s="206">
        <f t="shared" si="8"/>
        <v>0</v>
      </c>
      <c r="O37" s="206">
        <f t="shared" si="8"/>
        <v>0</v>
      </c>
      <c r="P37" s="206">
        <f t="shared" si="8"/>
        <v>0</v>
      </c>
      <c r="Q37" s="206">
        <f t="shared" si="8"/>
        <v>0</v>
      </c>
      <c r="R37" s="206">
        <f t="shared" si="8"/>
        <v>0</v>
      </c>
      <c r="S37" s="206">
        <f t="shared" si="8"/>
        <v>0</v>
      </c>
      <c r="T37" s="206">
        <f t="shared" si="8"/>
        <v>0</v>
      </c>
      <c r="U37" s="206">
        <f t="shared" si="8"/>
        <v>0</v>
      </c>
      <c r="V37" s="206">
        <f t="shared" si="8"/>
        <v>0</v>
      </c>
      <c r="W37" s="206">
        <f t="shared" si="8"/>
        <v>0</v>
      </c>
      <c r="X37" s="206">
        <f t="shared" si="8"/>
        <v>0</v>
      </c>
      <c r="Y37" s="206">
        <f t="shared" si="8"/>
        <v>0</v>
      </c>
      <c r="Z37" s="206">
        <f t="shared" si="8"/>
        <v>0</v>
      </c>
      <c r="AA37" s="206">
        <f t="shared" si="8"/>
        <v>0</v>
      </c>
      <c r="AB37" s="206">
        <f t="shared" si="8"/>
        <v>0</v>
      </c>
      <c r="AC37" s="206">
        <f t="shared" si="8"/>
        <v>0</v>
      </c>
      <c r="AD37" s="206">
        <f t="shared" si="8"/>
        <v>0</v>
      </c>
      <c r="AE37" s="206">
        <f t="shared" si="8"/>
        <v>0</v>
      </c>
      <c r="AF37" s="206">
        <f t="shared" si="8"/>
        <v>0</v>
      </c>
      <c r="AG37" s="206">
        <f t="shared" si="8"/>
        <v>0</v>
      </c>
      <c r="AH37" s="170"/>
      <c r="AI37" s="171"/>
      <c r="AJ37" s="120"/>
      <c r="AK37" s="120"/>
      <c r="AL37" s="120"/>
      <c r="AM37" s="120"/>
      <c r="AN37" s="120"/>
      <c r="AO37" s="120"/>
      <c r="AP37" s="120"/>
      <c r="AQ37" s="120"/>
      <c r="AR37" s="120"/>
      <c r="AS37" s="120"/>
      <c r="AT37" s="120"/>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c r="BS37" s="120"/>
      <c r="BT37" s="120"/>
      <c r="BU37" s="120"/>
      <c r="BV37" s="120"/>
      <c r="BW37" s="120"/>
      <c r="BX37" s="120"/>
      <c r="BY37" s="120"/>
      <c r="BZ37" s="120"/>
      <c r="CA37" s="120"/>
      <c r="CB37" s="120"/>
      <c r="CC37" s="120"/>
      <c r="CD37" s="120"/>
      <c r="CE37" s="120"/>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c r="EU37" s="120"/>
      <c r="EV37" s="120"/>
      <c r="EW37" s="120"/>
      <c r="EX37" s="120"/>
      <c r="EY37" s="120"/>
      <c r="EZ37" s="120"/>
      <c r="FA37" s="120"/>
      <c r="FB37" s="120"/>
      <c r="FC37" s="120"/>
      <c r="FD37" s="120"/>
      <c r="FE37" s="120"/>
      <c r="FF37" s="120"/>
      <c r="FG37" s="120"/>
      <c r="FH37" s="120"/>
      <c r="FI37" s="120"/>
      <c r="FJ37" s="120"/>
      <c r="FK37" s="120"/>
      <c r="FL37" s="120"/>
      <c r="FM37" s="120"/>
      <c r="FN37" s="120"/>
      <c r="FO37" s="120"/>
      <c r="FP37" s="120"/>
      <c r="FQ37" s="120"/>
      <c r="FR37" s="120"/>
      <c r="FS37" s="120"/>
      <c r="FT37" s="120"/>
      <c r="FU37" s="120"/>
      <c r="FV37" s="120"/>
      <c r="FW37" s="120"/>
      <c r="FX37" s="120"/>
      <c r="FY37" s="120"/>
      <c r="FZ37" s="120"/>
      <c r="GA37" s="120"/>
      <c r="GB37" s="120"/>
      <c r="GC37" s="120"/>
    </row>
    <row r="38" spans="1:185" s="123" customFormat="1">
      <c r="A38" s="97"/>
      <c r="B38" s="93" t="s">
        <v>1854</v>
      </c>
      <c r="C38" s="204">
        <f t="shared" si="5"/>
        <v>0</v>
      </c>
      <c r="D38" s="236">
        <f t="shared" ref="D38:AG38" si="9">D33+D37</f>
        <v>71729154.852163941</v>
      </c>
      <c r="E38" s="204">
        <f t="shared" si="9"/>
        <v>0</v>
      </c>
      <c r="F38" s="204">
        <f t="shared" si="9"/>
        <v>0</v>
      </c>
      <c r="G38" s="204">
        <f t="shared" si="9"/>
        <v>0</v>
      </c>
      <c r="H38" s="204">
        <f t="shared" si="9"/>
        <v>0</v>
      </c>
      <c r="I38" s="204">
        <f t="shared" si="9"/>
        <v>0</v>
      </c>
      <c r="J38" s="204">
        <f t="shared" si="9"/>
        <v>0</v>
      </c>
      <c r="K38" s="204">
        <f t="shared" si="9"/>
        <v>0</v>
      </c>
      <c r="L38" s="204">
        <f t="shared" si="9"/>
        <v>0</v>
      </c>
      <c r="M38" s="204">
        <f t="shared" si="9"/>
        <v>0</v>
      </c>
      <c r="N38" s="204">
        <f t="shared" si="9"/>
        <v>0</v>
      </c>
      <c r="O38" s="204">
        <f t="shared" si="9"/>
        <v>0</v>
      </c>
      <c r="P38" s="204">
        <f t="shared" si="9"/>
        <v>0</v>
      </c>
      <c r="Q38" s="204">
        <f t="shared" si="9"/>
        <v>0</v>
      </c>
      <c r="R38" s="204">
        <f t="shared" si="9"/>
        <v>0</v>
      </c>
      <c r="S38" s="204">
        <f t="shared" si="9"/>
        <v>0</v>
      </c>
      <c r="T38" s="204">
        <f t="shared" si="9"/>
        <v>0</v>
      </c>
      <c r="U38" s="204">
        <f t="shared" si="9"/>
        <v>0</v>
      </c>
      <c r="V38" s="204">
        <f t="shared" si="9"/>
        <v>0</v>
      </c>
      <c r="W38" s="204">
        <f t="shared" si="9"/>
        <v>0</v>
      </c>
      <c r="X38" s="204">
        <f t="shared" si="9"/>
        <v>0</v>
      </c>
      <c r="Y38" s="204">
        <f t="shared" si="9"/>
        <v>0</v>
      </c>
      <c r="Z38" s="204">
        <f t="shared" si="9"/>
        <v>0</v>
      </c>
      <c r="AA38" s="204">
        <f t="shared" si="9"/>
        <v>0</v>
      </c>
      <c r="AB38" s="204">
        <f t="shared" si="9"/>
        <v>0</v>
      </c>
      <c r="AC38" s="204">
        <f t="shared" si="9"/>
        <v>0</v>
      </c>
      <c r="AD38" s="204">
        <f t="shared" si="9"/>
        <v>0</v>
      </c>
      <c r="AE38" s="204">
        <f t="shared" si="9"/>
        <v>0</v>
      </c>
      <c r="AF38" s="204">
        <f t="shared" si="9"/>
        <v>0</v>
      </c>
      <c r="AG38" s="204">
        <f t="shared" si="9"/>
        <v>0</v>
      </c>
      <c r="AH38" s="172"/>
      <c r="AI38" s="173"/>
      <c r="AJ38" s="122"/>
      <c r="AK38" s="122"/>
      <c r="AL38" s="122"/>
      <c r="AM38" s="122"/>
      <c r="AN38" s="122"/>
      <c r="AO38" s="122"/>
      <c r="AP38" s="122"/>
      <c r="AQ38" s="122"/>
      <c r="AR38" s="122"/>
      <c r="AS38" s="122"/>
      <c r="AT38" s="122"/>
      <c r="AU38" s="122"/>
      <c r="AV38" s="122"/>
      <c r="AW38" s="122"/>
      <c r="AX38" s="122"/>
      <c r="AY38" s="122"/>
      <c r="AZ38" s="122"/>
      <c r="BA38" s="122"/>
      <c r="BB38" s="122"/>
      <c r="BC38" s="122"/>
      <c r="BD38" s="122"/>
      <c r="BE38" s="122"/>
      <c r="BF38" s="122"/>
      <c r="BG38" s="122"/>
      <c r="BH38" s="122"/>
      <c r="BI38" s="122"/>
      <c r="BJ38" s="122"/>
      <c r="BK38" s="122"/>
      <c r="BL38" s="122"/>
      <c r="BM38" s="122"/>
      <c r="BN38" s="122"/>
      <c r="BO38" s="122"/>
      <c r="BP38" s="122"/>
      <c r="BQ38" s="122"/>
      <c r="BR38" s="122"/>
      <c r="BS38" s="122"/>
      <c r="BT38" s="122"/>
      <c r="BU38" s="122"/>
      <c r="BV38" s="122"/>
      <c r="BW38" s="122"/>
      <c r="BX38" s="122"/>
      <c r="BY38" s="122"/>
      <c r="BZ38" s="122"/>
      <c r="CA38" s="122"/>
      <c r="CB38" s="122"/>
      <c r="CC38" s="122"/>
      <c r="CD38" s="122"/>
      <c r="CE38" s="122"/>
      <c r="CF38" s="122"/>
      <c r="CG38" s="122"/>
      <c r="CH38" s="122"/>
      <c r="CI38" s="122"/>
      <c r="CJ38" s="122"/>
      <c r="CK38" s="122"/>
      <c r="CL38" s="122"/>
      <c r="CM38" s="122"/>
      <c r="CN38" s="122"/>
      <c r="CO38" s="122"/>
      <c r="CP38" s="122"/>
      <c r="CQ38" s="122"/>
      <c r="CR38" s="122"/>
      <c r="CS38" s="122"/>
      <c r="CT38" s="122"/>
      <c r="CU38" s="122"/>
      <c r="CV38" s="122"/>
      <c r="CW38" s="122"/>
      <c r="CX38" s="122"/>
      <c r="CY38" s="122"/>
      <c r="CZ38" s="122"/>
      <c r="DA38" s="122"/>
      <c r="DB38" s="122"/>
      <c r="DC38" s="122"/>
      <c r="DD38" s="122"/>
      <c r="DE38" s="122"/>
      <c r="DF38" s="122"/>
      <c r="DG38" s="122"/>
      <c r="DH38" s="122"/>
      <c r="DI38" s="122"/>
      <c r="DJ38" s="122"/>
      <c r="DK38" s="122"/>
      <c r="DL38" s="122"/>
      <c r="DM38" s="122"/>
      <c r="DN38" s="122"/>
      <c r="DO38" s="122"/>
      <c r="DP38" s="122"/>
      <c r="DQ38" s="122"/>
      <c r="DR38" s="122"/>
      <c r="DS38" s="122"/>
      <c r="DT38" s="122"/>
      <c r="DU38" s="122"/>
      <c r="DV38" s="122"/>
      <c r="DW38" s="122"/>
      <c r="DX38" s="122"/>
      <c r="DY38" s="122"/>
      <c r="DZ38" s="122"/>
      <c r="EA38" s="122"/>
      <c r="EB38" s="122"/>
      <c r="EC38" s="122"/>
      <c r="ED38" s="122"/>
      <c r="EE38" s="122"/>
      <c r="EF38" s="122"/>
      <c r="EG38" s="122"/>
      <c r="EH38" s="122"/>
      <c r="EI38" s="122"/>
      <c r="EJ38" s="122"/>
      <c r="EK38" s="122"/>
      <c r="EL38" s="122"/>
      <c r="EM38" s="122"/>
      <c r="EN38" s="122"/>
      <c r="EO38" s="122"/>
      <c r="EP38" s="122"/>
      <c r="EQ38" s="122"/>
      <c r="ER38" s="122"/>
      <c r="ES38" s="122"/>
      <c r="ET38" s="122"/>
      <c r="EU38" s="122"/>
      <c r="EV38" s="122"/>
      <c r="EW38" s="122"/>
      <c r="EX38" s="122"/>
      <c r="EY38" s="122"/>
      <c r="EZ38" s="122"/>
      <c r="FA38" s="122"/>
      <c r="FB38" s="122"/>
      <c r="FC38" s="122"/>
      <c r="FD38" s="122"/>
      <c r="FE38" s="122"/>
      <c r="FF38" s="122"/>
      <c r="FG38" s="122"/>
      <c r="FH38" s="122"/>
      <c r="FI38" s="122"/>
      <c r="FJ38" s="122"/>
      <c r="FK38" s="122"/>
      <c r="FL38" s="122"/>
      <c r="FM38" s="122"/>
      <c r="FN38" s="122"/>
      <c r="FO38" s="122"/>
      <c r="FP38" s="122"/>
      <c r="FQ38" s="122"/>
      <c r="FR38" s="122"/>
      <c r="FS38" s="122"/>
      <c r="FT38" s="122"/>
      <c r="FU38" s="122"/>
      <c r="FV38" s="122"/>
      <c r="FW38" s="122"/>
      <c r="FX38" s="122"/>
      <c r="FY38" s="122"/>
      <c r="FZ38" s="122"/>
      <c r="GA38" s="122"/>
      <c r="GB38" s="122"/>
      <c r="GC38" s="122"/>
    </row>
    <row r="39" spans="1:185" s="121" customFormat="1">
      <c r="A39" s="96"/>
      <c r="B39" s="94"/>
      <c r="C39" s="206"/>
      <c r="D39" s="261"/>
      <c r="E39" s="209"/>
      <c r="F39" s="209"/>
      <c r="G39" s="209"/>
      <c r="H39" s="209"/>
      <c r="I39" s="209"/>
      <c r="J39" s="209"/>
      <c r="K39" s="210"/>
      <c r="L39" s="210"/>
      <c r="M39" s="210"/>
      <c r="N39" s="210"/>
      <c r="O39" s="210"/>
      <c r="P39" s="210"/>
      <c r="Q39" s="210"/>
      <c r="R39" s="210"/>
      <c r="S39" s="210"/>
      <c r="T39" s="210"/>
      <c r="U39" s="210"/>
      <c r="V39" s="210"/>
      <c r="W39" s="210"/>
      <c r="X39" s="210"/>
      <c r="Y39" s="210"/>
      <c r="Z39" s="210"/>
      <c r="AA39" s="210"/>
      <c r="AB39" s="210"/>
      <c r="AC39" s="210"/>
      <c r="AD39" s="210"/>
      <c r="AE39" s="210"/>
      <c r="AF39" s="210"/>
      <c r="AG39" s="210"/>
      <c r="AH39" s="170"/>
      <c r="AI39" s="171"/>
      <c r="AJ39" s="120"/>
      <c r="AK39" s="120"/>
      <c r="AL39" s="120"/>
      <c r="AM39" s="120"/>
      <c r="AN39" s="120"/>
      <c r="AO39" s="120"/>
      <c r="AP39" s="120"/>
      <c r="AQ39" s="120"/>
      <c r="AR39" s="120"/>
      <c r="AS39" s="120"/>
      <c r="AT39" s="120"/>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c r="BR39" s="120"/>
      <c r="BS39" s="120"/>
      <c r="BT39" s="120"/>
      <c r="BU39" s="120"/>
      <c r="BV39" s="120"/>
      <c r="BW39" s="120"/>
      <c r="BX39" s="120"/>
      <c r="BY39" s="120"/>
      <c r="BZ39" s="120"/>
      <c r="CA39" s="120"/>
      <c r="CB39" s="120"/>
      <c r="CC39" s="120"/>
      <c r="CD39" s="120"/>
      <c r="CE39" s="120"/>
      <c r="CF39" s="120"/>
      <c r="CG39" s="120"/>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c r="EU39" s="120"/>
      <c r="EV39" s="120"/>
      <c r="EW39" s="120"/>
      <c r="EX39" s="120"/>
      <c r="EY39" s="120"/>
      <c r="EZ39" s="120"/>
      <c r="FA39" s="120"/>
      <c r="FB39" s="120"/>
      <c r="FC39" s="120"/>
      <c r="FD39" s="120"/>
      <c r="FE39" s="120"/>
      <c r="FF39" s="120"/>
      <c r="FG39" s="120"/>
      <c r="FH39" s="120"/>
      <c r="FI39" s="120"/>
      <c r="FJ39" s="120"/>
      <c r="FK39" s="120"/>
      <c r="FL39" s="120"/>
      <c r="FM39" s="120"/>
      <c r="FN39" s="120"/>
      <c r="FO39" s="120"/>
      <c r="FP39" s="120"/>
      <c r="FQ39" s="120"/>
      <c r="FR39" s="120"/>
      <c r="FS39" s="120"/>
      <c r="FT39" s="120"/>
      <c r="FU39" s="120"/>
      <c r="FV39" s="120"/>
      <c r="FW39" s="120"/>
      <c r="FX39" s="120"/>
      <c r="FY39" s="120"/>
      <c r="FZ39" s="120"/>
      <c r="GA39" s="120"/>
      <c r="GB39" s="120"/>
      <c r="GC39" s="120"/>
    </row>
    <row r="40" spans="1:185" s="121" customFormat="1">
      <c r="A40" s="96" t="s">
        <v>1821</v>
      </c>
      <c r="B40" s="90" t="s">
        <v>1822</v>
      </c>
      <c r="C40" s="206">
        <f t="shared" ref="C40:C46" si="10">SUM(E40:AG40)</f>
        <v>0</v>
      </c>
      <c r="D40" s="258">
        <v>46788947</v>
      </c>
      <c r="E40" s="195"/>
      <c r="F40" s="195"/>
      <c r="G40" s="195"/>
      <c r="H40" s="195"/>
      <c r="I40" s="195"/>
      <c r="J40" s="195"/>
      <c r="K40" s="196"/>
      <c r="L40" s="196"/>
      <c r="M40" s="196"/>
      <c r="N40" s="196"/>
      <c r="O40" s="196"/>
      <c r="P40" s="196"/>
      <c r="Q40" s="196"/>
      <c r="R40" s="196"/>
      <c r="S40" s="196"/>
      <c r="T40" s="196"/>
      <c r="U40" s="196"/>
      <c r="V40" s="196"/>
      <c r="W40" s="196"/>
      <c r="X40" s="196"/>
      <c r="Y40" s="196"/>
      <c r="Z40" s="196"/>
      <c r="AA40" s="196"/>
      <c r="AB40" s="196"/>
      <c r="AC40" s="196"/>
      <c r="AD40" s="196"/>
      <c r="AE40" s="196"/>
      <c r="AF40" s="196"/>
      <c r="AG40" s="196"/>
      <c r="AH40" s="170"/>
      <c r="AI40" s="171"/>
      <c r="AJ40" s="120"/>
      <c r="AK40" s="120"/>
      <c r="AL40" s="120"/>
      <c r="AM40" s="120"/>
      <c r="AN40" s="120"/>
      <c r="AO40" s="120"/>
      <c r="AP40" s="120"/>
      <c r="AQ40" s="120"/>
      <c r="AR40" s="120"/>
      <c r="AS40" s="120"/>
      <c r="AT40" s="120"/>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row>
    <row r="41" spans="1:185" s="121" customFormat="1">
      <c r="A41" s="96" t="s">
        <v>1823</v>
      </c>
      <c r="B41" s="90" t="s">
        <v>1824</v>
      </c>
      <c r="C41" s="206">
        <f t="shared" si="10"/>
        <v>0</v>
      </c>
      <c r="D41" s="258">
        <v>50584488.898757756</v>
      </c>
      <c r="E41" s="195"/>
      <c r="F41" s="195"/>
      <c r="G41" s="195"/>
      <c r="H41" s="195"/>
      <c r="I41" s="195"/>
      <c r="J41" s="195"/>
      <c r="K41" s="196"/>
      <c r="L41" s="196"/>
      <c r="M41" s="196"/>
      <c r="N41" s="196"/>
      <c r="O41" s="196"/>
      <c r="P41" s="196"/>
      <c r="Q41" s="196"/>
      <c r="R41" s="196"/>
      <c r="S41" s="196"/>
      <c r="T41" s="196"/>
      <c r="U41" s="196"/>
      <c r="V41" s="196"/>
      <c r="W41" s="196"/>
      <c r="X41" s="196"/>
      <c r="Y41" s="196"/>
      <c r="Z41" s="196"/>
      <c r="AA41" s="196"/>
      <c r="AB41" s="196"/>
      <c r="AC41" s="196"/>
      <c r="AD41" s="196"/>
      <c r="AE41" s="196"/>
      <c r="AF41" s="196"/>
      <c r="AG41" s="196"/>
      <c r="AH41" s="170"/>
      <c r="AI41" s="171"/>
      <c r="AJ41" s="120"/>
      <c r="AK41" s="120"/>
      <c r="AL41" s="120"/>
      <c r="AM41" s="120"/>
      <c r="AN41" s="120"/>
      <c r="AO41" s="120"/>
      <c r="AP41" s="120"/>
      <c r="AQ41" s="120"/>
      <c r="AR41" s="120"/>
      <c r="AS41" s="120"/>
      <c r="AT41" s="120"/>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row>
    <row r="42" spans="1:185" s="121" customFormat="1">
      <c r="A42" s="96" t="s">
        <v>1825</v>
      </c>
      <c r="B42" s="90" t="s">
        <v>1826</v>
      </c>
      <c r="C42" s="206">
        <f t="shared" si="10"/>
        <v>0</v>
      </c>
      <c r="D42" s="258">
        <v>2278846.6313091926</v>
      </c>
      <c r="E42" s="195"/>
      <c r="F42" s="195"/>
      <c r="G42" s="195"/>
      <c r="H42" s="195"/>
      <c r="I42" s="195"/>
      <c r="J42" s="195"/>
      <c r="K42" s="196"/>
      <c r="L42" s="196"/>
      <c r="M42" s="196"/>
      <c r="N42" s="196"/>
      <c r="O42" s="196"/>
      <c r="P42" s="196"/>
      <c r="Q42" s="196"/>
      <c r="R42" s="196"/>
      <c r="S42" s="196"/>
      <c r="T42" s="196"/>
      <c r="U42" s="196"/>
      <c r="V42" s="196"/>
      <c r="W42" s="196"/>
      <c r="X42" s="196"/>
      <c r="Y42" s="196"/>
      <c r="Z42" s="196"/>
      <c r="AA42" s="196"/>
      <c r="AB42" s="196"/>
      <c r="AC42" s="196"/>
      <c r="AD42" s="196"/>
      <c r="AE42" s="196"/>
      <c r="AF42" s="196"/>
      <c r="AG42" s="196"/>
      <c r="AH42" s="170"/>
      <c r="AI42" s="171"/>
      <c r="AJ42" s="120"/>
      <c r="AK42" s="120"/>
      <c r="AL42" s="120"/>
      <c r="AM42" s="120"/>
      <c r="AN42" s="120"/>
      <c r="AO42" s="120"/>
      <c r="AP42" s="120"/>
      <c r="AQ42" s="120"/>
      <c r="AR42" s="120"/>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row>
    <row r="43" spans="1:185" s="121" customFormat="1">
      <c r="A43" s="96" t="s">
        <v>1827</v>
      </c>
      <c r="B43" s="90" t="s">
        <v>1829</v>
      </c>
      <c r="C43" s="206">
        <f t="shared" si="10"/>
        <v>0</v>
      </c>
      <c r="D43" s="258">
        <v>78061052.985962212</v>
      </c>
      <c r="E43" s="195"/>
      <c r="F43" s="195"/>
      <c r="G43" s="195"/>
      <c r="H43" s="195"/>
      <c r="I43" s="195"/>
      <c r="J43" s="195"/>
      <c r="K43" s="196"/>
      <c r="L43" s="196"/>
      <c r="M43" s="196"/>
      <c r="N43" s="196"/>
      <c r="O43" s="196"/>
      <c r="P43" s="196"/>
      <c r="Q43" s="196"/>
      <c r="R43" s="196"/>
      <c r="S43" s="196"/>
      <c r="T43" s="196"/>
      <c r="U43" s="196"/>
      <c r="V43" s="196"/>
      <c r="W43" s="196"/>
      <c r="X43" s="196"/>
      <c r="Y43" s="196"/>
      <c r="Z43" s="196"/>
      <c r="AA43" s="196"/>
      <c r="AB43" s="196"/>
      <c r="AC43" s="196"/>
      <c r="AD43" s="196"/>
      <c r="AE43" s="196"/>
      <c r="AF43" s="196"/>
      <c r="AG43" s="196"/>
      <c r="AH43" s="170"/>
      <c r="AI43" s="171"/>
      <c r="AJ43" s="120"/>
      <c r="AK43" s="120"/>
      <c r="AL43" s="120"/>
      <c r="AM43" s="120"/>
      <c r="AN43" s="120"/>
      <c r="AO43" s="120"/>
      <c r="AP43" s="120"/>
      <c r="AQ43" s="120"/>
      <c r="AR43" s="120"/>
      <c r="AS43" s="120"/>
      <c r="AT43" s="120"/>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row>
    <row r="44" spans="1:185" s="121" customFormat="1">
      <c r="A44" s="98" t="s">
        <v>1871</v>
      </c>
      <c r="B44" s="90" t="s">
        <v>1898</v>
      </c>
      <c r="C44" s="206">
        <f t="shared" si="10"/>
        <v>0</v>
      </c>
      <c r="D44" s="258">
        <v>2928851.0149658564</v>
      </c>
      <c r="E44" s="195"/>
      <c r="F44" s="195"/>
      <c r="G44" s="195"/>
      <c r="H44" s="195"/>
      <c r="I44" s="195"/>
      <c r="J44" s="195"/>
      <c r="K44" s="196"/>
      <c r="L44" s="196"/>
      <c r="M44" s="196"/>
      <c r="N44" s="196"/>
      <c r="O44" s="196"/>
      <c r="P44" s="196"/>
      <c r="Q44" s="196"/>
      <c r="R44" s="196"/>
      <c r="S44" s="196"/>
      <c r="T44" s="196"/>
      <c r="U44" s="196"/>
      <c r="V44" s="196"/>
      <c r="W44" s="196"/>
      <c r="X44" s="196"/>
      <c r="Y44" s="196"/>
      <c r="Z44" s="196"/>
      <c r="AA44" s="196"/>
      <c r="AB44" s="196"/>
      <c r="AC44" s="196"/>
      <c r="AD44" s="196"/>
      <c r="AE44" s="196"/>
      <c r="AF44" s="196"/>
      <c r="AG44" s="196"/>
      <c r="AH44" s="170"/>
      <c r="AI44" s="171"/>
      <c r="AJ44" s="120"/>
      <c r="AK44" s="120"/>
      <c r="AL44" s="120"/>
      <c r="AM44" s="120"/>
      <c r="AN44" s="120"/>
      <c r="AO44" s="120"/>
      <c r="AP44" s="120"/>
      <c r="AQ44" s="120"/>
      <c r="AR44" s="120"/>
      <c r="AS44" s="120"/>
      <c r="AT44" s="120"/>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row>
    <row r="45" spans="1:185" s="121" customFormat="1">
      <c r="A45" s="96" t="s">
        <v>1830</v>
      </c>
      <c r="B45" s="90" t="s">
        <v>1831</v>
      </c>
      <c r="C45" s="206">
        <f t="shared" si="10"/>
        <v>0</v>
      </c>
      <c r="D45" s="258">
        <v>32639423.612894095</v>
      </c>
      <c r="E45" s="195"/>
      <c r="F45" s="195"/>
      <c r="G45" s="195"/>
      <c r="H45" s="195"/>
      <c r="I45" s="195"/>
      <c r="J45" s="195"/>
      <c r="K45" s="196"/>
      <c r="L45" s="196"/>
      <c r="M45" s="196"/>
      <c r="N45" s="196"/>
      <c r="O45" s="196"/>
      <c r="P45" s="196"/>
      <c r="Q45" s="196"/>
      <c r="R45" s="196"/>
      <c r="S45" s="196"/>
      <c r="T45" s="196"/>
      <c r="U45" s="196"/>
      <c r="V45" s="196"/>
      <c r="W45" s="196"/>
      <c r="X45" s="196"/>
      <c r="Y45" s="196"/>
      <c r="Z45" s="196"/>
      <c r="AA45" s="196"/>
      <c r="AB45" s="196"/>
      <c r="AC45" s="196"/>
      <c r="AD45" s="196"/>
      <c r="AE45" s="196"/>
      <c r="AF45" s="196"/>
      <c r="AG45" s="196"/>
      <c r="AH45" s="170"/>
      <c r="AI45" s="171"/>
      <c r="AJ45" s="120"/>
      <c r="AK45" s="120"/>
      <c r="AL45" s="120"/>
      <c r="AM45" s="120"/>
      <c r="AN45" s="120"/>
      <c r="AO45" s="120"/>
      <c r="AP45" s="120"/>
      <c r="AQ45" s="120"/>
      <c r="AR45" s="120"/>
      <c r="AS45" s="120"/>
      <c r="AT45" s="120"/>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row>
    <row r="46" spans="1:185" s="123" customFormat="1">
      <c r="A46" s="97"/>
      <c r="B46" s="93" t="s">
        <v>1855</v>
      </c>
      <c r="C46" s="204">
        <f t="shared" si="10"/>
        <v>0</v>
      </c>
      <c r="D46" s="236">
        <f>SUM(D40:D45)</f>
        <v>213281610.14388913</v>
      </c>
      <c r="E46" s="204">
        <f t="shared" ref="E46:AG46" si="11">SUM(E40:E45)</f>
        <v>0</v>
      </c>
      <c r="F46" s="204">
        <f t="shared" si="11"/>
        <v>0</v>
      </c>
      <c r="G46" s="204">
        <f t="shared" si="11"/>
        <v>0</v>
      </c>
      <c r="H46" s="204">
        <f t="shared" si="11"/>
        <v>0</v>
      </c>
      <c r="I46" s="204">
        <f t="shared" si="11"/>
        <v>0</v>
      </c>
      <c r="J46" s="204">
        <f t="shared" si="11"/>
        <v>0</v>
      </c>
      <c r="K46" s="204">
        <f t="shared" si="11"/>
        <v>0</v>
      </c>
      <c r="L46" s="204">
        <f t="shared" si="11"/>
        <v>0</v>
      </c>
      <c r="M46" s="204">
        <f t="shared" si="11"/>
        <v>0</v>
      </c>
      <c r="N46" s="204">
        <f t="shared" si="11"/>
        <v>0</v>
      </c>
      <c r="O46" s="204">
        <f t="shared" si="11"/>
        <v>0</v>
      </c>
      <c r="P46" s="204">
        <f t="shared" si="11"/>
        <v>0</v>
      </c>
      <c r="Q46" s="204">
        <f t="shared" si="11"/>
        <v>0</v>
      </c>
      <c r="R46" s="204">
        <f t="shared" si="11"/>
        <v>0</v>
      </c>
      <c r="S46" s="204">
        <f t="shared" si="11"/>
        <v>0</v>
      </c>
      <c r="T46" s="204">
        <f t="shared" si="11"/>
        <v>0</v>
      </c>
      <c r="U46" s="204">
        <f t="shared" si="11"/>
        <v>0</v>
      </c>
      <c r="V46" s="204">
        <f t="shared" si="11"/>
        <v>0</v>
      </c>
      <c r="W46" s="204">
        <f t="shared" si="11"/>
        <v>0</v>
      </c>
      <c r="X46" s="204">
        <f t="shared" si="11"/>
        <v>0</v>
      </c>
      <c r="Y46" s="204">
        <f t="shared" si="11"/>
        <v>0</v>
      </c>
      <c r="Z46" s="204">
        <f t="shared" si="11"/>
        <v>0</v>
      </c>
      <c r="AA46" s="204">
        <f t="shared" si="11"/>
        <v>0</v>
      </c>
      <c r="AB46" s="204">
        <f t="shared" si="11"/>
        <v>0</v>
      </c>
      <c r="AC46" s="204">
        <f t="shared" si="11"/>
        <v>0</v>
      </c>
      <c r="AD46" s="204">
        <f t="shared" si="11"/>
        <v>0</v>
      </c>
      <c r="AE46" s="204">
        <f t="shared" si="11"/>
        <v>0</v>
      </c>
      <c r="AF46" s="204">
        <f t="shared" si="11"/>
        <v>0</v>
      </c>
      <c r="AG46" s="204">
        <f t="shared" si="11"/>
        <v>0</v>
      </c>
      <c r="AH46" s="172"/>
      <c r="AI46" s="173"/>
      <c r="AJ46" s="122"/>
      <c r="AK46" s="122"/>
      <c r="AL46" s="122"/>
      <c r="AM46" s="122"/>
      <c r="AN46" s="122"/>
      <c r="AO46" s="122"/>
      <c r="AP46" s="122"/>
      <c r="AQ46" s="122"/>
      <c r="AR46" s="122"/>
      <c r="AS46" s="122"/>
      <c r="AT46" s="122"/>
      <c r="AU46" s="122"/>
      <c r="AV46" s="122"/>
      <c r="AW46" s="122"/>
      <c r="AX46" s="122"/>
      <c r="AY46" s="122"/>
      <c r="AZ46" s="122"/>
      <c r="BA46" s="122"/>
      <c r="BB46" s="122"/>
      <c r="BC46" s="122"/>
      <c r="BD46" s="122"/>
      <c r="BE46" s="122"/>
      <c r="BF46" s="122"/>
      <c r="BG46" s="122"/>
      <c r="BH46" s="122"/>
      <c r="BI46" s="122"/>
      <c r="BJ46" s="122"/>
      <c r="BK46" s="122"/>
      <c r="BL46" s="122"/>
      <c r="BM46" s="122"/>
      <c r="BN46" s="122"/>
      <c r="BO46" s="122"/>
      <c r="BP46" s="122"/>
      <c r="BQ46" s="122"/>
      <c r="BR46" s="122"/>
      <c r="BS46" s="122"/>
      <c r="BT46" s="122"/>
      <c r="BU46" s="122"/>
      <c r="BV46" s="122"/>
      <c r="BW46" s="122"/>
      <c r="BX46" s="122"/>
      <c r="BY46" s="122"/>
      <c r="BZ46" s="122"/>
      <c r="CA46" s="122"/>
      <c r="CB46" s="122"/>
      <c r="CC46" s="122"/>
      <c r="CD46" s="122"/>
      <c r="CE46" s="122"/>
      <c r="CF46" s="122"/>
      <c r="CG46" s="122"/>
      <c r="CH46" s="122"/>
      <c r="CI46" s="122"/>
      <c r="CJ46" s="122"/>
      <c r="CK46" s="122"/>
      <c r="CL46" s="122"/>
      <c r="CM46" s="122"/>
      <c r="CN46" s="122"/>
      <c r="CO46" s="122"/>
      <c r="CP46" s="122"/>
      <c r="CQ46" s="122"/>
      <c r="CR46" s="122"/>
      <c r="CS46" s="122"/>
      <c r="CT46" s="122"/>
      <c r="CU46" s="122"/>
      <c r="CV46" s="122"/>
      <c r="CW46" s="122"/>
      <c r="CX46" s="122"/>
      <c r="CY46" s="122"/>
      <c r="CZ46" s="122"/>
      <c r="DA46" s="122"/>
      <c r="DB46" s="122"/>
      <c r="DC46" s="122"/>
      <c r="DD46" s="122"/>
      <c r="DE46" s="122"/>
      <c r="DF46" s="122"/>
      <c r="DG46" s="122"/>
      <c r="DH46" s="122"/>
      <c r="DI46" s="122"/>
      <c r="DJ46" s="122"/>
      <c r="DK46" s="122"/>
      <c r="DL46" s="122"/>
      <c r="DM46" s="122"/>
      <c r="DN46" s="122"/>
      <c r="DO46" s="122"/>
      <c r="DP46" s="122"/>
      <c r="DQ46" s="122"/>
      <c r="DR46" s="122"/>
      <c r="DS46" s="122"/>
      <c r="DT46" s="122"/>
      <c r="DU46" s="122"/>
      <c r="DV46" s="122"/>
      <c r="DW46" s="122"/>
      <c r="DX46" s="122"/>
      <c r="DY46" s="122"/>
      <c r="DZ46" s="122"/>
      <c r="EA46" s="122"/>
      <c r="EB46" s="122"/>
      <c r="EC46" s="122"/>
      <c r="ED46" s="122"/>
      <c r="EE46" s="122"/>
      <c r="EF46" s="122"/>
      <c r="EG46" s="122"/>
      <c r="EH46" s="122"/>
      <c r="EI46" s="122"/>
      <c r="EJ46" s="122"/>
      <c r="EK46" s="122"/>
      <c r="EL46" s="122"/>
      <c r="EM46" s="122"/>
      <c r="EN46" s="122"/>
      <c r="EO46" s="122"/>
      <c r="EP46" s="122"/>
      <c r="EQ46" s="122"/>
      <c r="ER46" s="122"/>
      <c r="ES46" s="122"/>
      <c r="ET46" s="122"/>
      <c r="EU46" s="122"/>
      <c r="EV46" s="122"/>
      <c r="EW46" s="122"/>
      <c r="EX46" s="122"/>
      <c r="EY46" s="122"/>
      <c r="EZ46" s="122"/>
      <c r="FA46" s="122"/>
      <c r="FB46" s="122"/>
      <c r="FC46" s="122"/>
      <c r="FD46" s="122"/>
      <c r="FE46" s="122"/>
      <c r="FF46" s="122"/>
      <c r="FG46" s="122"/>
      <c r="FH46" s="122"/>
      <c r="FI46" s="122"/>
      <c r="FJ46" s="122"/>
      <c r="FK46" s="122"/>
      <c r="FL46" s="122"/>
      <c r="FM46" s="122"/>
      <c r="FN46" s="122"/>
      <c r="FO46" s="122"/>
      <c r="FP46" s="122"/>
      <c r="FQ46" s="122"/>
      <c r="FR46" s="122"/>
      <c r="FS46" s="122"/>
      <c r="FT46" s="122"/>
      <c r="FU46" s="122"/>
      <c r="FV46" s="122"/>
      <c r="FW46" s="122"/>
      <c r="FX46" s="122"/>
      <c r="FY46" s="122"/>
      <c r="FZ46" s="122"/>
      <c r="GA46" s="122"/>
      <c r="GB46" s="122"/>
      <c r="GC46" s="122"/>
    </row>
    <row r="47" spans="1:185" s="121" customFormat="1">
      <c r="A47" s="14"/>
      <c r="B47" s="17"/>
      <c r="C47" s="206"/>
      <c r="D47" s="261"/>
      <c r="E47" s="209"/>
      <c r="F47" s="209"/>
      <c r="G47" s="209"/>
      <c r="H47" s="209"/>
      <c r="I47" s="209"/>
      <c r="J47" s="209"/>
      <c r="K47" s="209"/>
      <c r="L47" s="209"/>
      <c r="M47" s="209"/>
      <c r="N47" s="209"/>
      <c r="O47" s="209"/>
      <c r="P47" s="209"/>
      <c r="Q47" s="209"/>
      <c r="R47" s="209"/>
      <c r="S47" s="209"/>
      <c r="T47" s="209"/>
      <c r="U47" s="209"/>
      <c r="V47" s="209"/>
      <c r="W47" s="209"/>
      <c r="X47" s="209"/>
      <c r="Y47" s="209"/>
      <c r="Z47" s="209"/>
      <c r="AA47" s="209"/>
      <c r="AB47" s="209"/>
      <c r="AC47" s="209"/>
      <c r="AD47" s="209"/>
      <c r="AE47" s="209"/>
      <c r="AF47" s="209"/>
      <c r="AG47" s="209"/>
      <c r="AH47" s="170"/>
      <c r="AI47" s="171"/>
      <c r="AJ47" s="120"/>
      <c r="AK47" s="120"/>
      <c r="AL47" s="120"/>
      <c r="AM47" s="120"/>
      <c r="AN47" s="120"/>
      <c r="AO47" s="120"/>
      <c r="AP47" s="120"/>
      <c r="AQ47" s="120"/>
      <c r="AR47" s="120"/>
      <c r="AS47" s="120"/>
      <c r="AT47" s="120"/>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row>
    <row r="48" spans="1:185" s="123" customFormat="1">
      <c r="A48" s="21" t="s">
        <v>1832</v>
      </c>
      <c r="B48" s="19" t="s">
        <v>1963</v>
      </c>
      <c r="C48" s="211">
        <f>SUM(E48:AG48)</f>
        <v>0</v>
      </c>
      <c r="D48" s="238">
        <f t="shared" ref="D48:AG48" si="12">D22+D38+D46</f>
        <v>613530368.71209478</v>
      </c>
      <c r="E48" s="211">
        <f t="shared" si="12"/>
        <v>0</v>
      </c>
      <c r="F48" s="211">
        <f t="shared" si="12"/>
        <v>0</v>
      </c>
      <c r="G48" s="211">
        <f t="shared" si="12"/>
        <v>0</v>
      </c>
      <c r="H48" s="211">
        <f t="shared" si="12"/>
        <v>0</v>
      </c>
      <c r="I48" s="211">
        <f t="shared" si="12"/>
        <v>0</v>
      </c>
      <c r="J48" s="211">
        <f t="shared" si="12"/>
        <v>0</v>
      </c>
      <c r="K48" s="211">
        <f t="shared" si="12"/>
        <v>0</v>
      </c>
      <c r="L48" s="211">
        <f t="shared" si="12"/>
        <v>0</v>
      </c>
      <c r="M48" s="211">
        <f t="shared" si="12"/>
        <v>0</v>
      </c>
      <c r="N48" s="211">
        <f t="shared" si="12"/>
        <v>0</v>
      </c>
      <c r="O48" s="211">
        <f t="shared" si="12"/>
        <v>0</v>
      </c>
      <c r="P48" s="211">
        <f t="shared" si="12"/>
        <v>0</v>
      </c>
      <c r="Q48" s="211">
        <f t="shared" si="12"/>
        <v>0</v>
      </c>
      <c r="R48" s="211">
        <f t="shared" si="12"/>
        <v>0</v>
      </c>
      <c r="S48" s="211">
        <f t="shared" si="12"/>
        <v>0</v>
      </c>
      <c r="T48" s="211">
        <f t="shared" si="12"/>
        <v>0</v>
      </c>
      <c r="U48" s="211">
        <f t="shared" si="12"/>
        <v>0</v>
      </c>
      <c r="V48" s="211">
        <f t="shared" si="12"/>
        <v>0</v>
      </c>
      <c r="W48" s="211">
        <f t="shared" si="12"/>
        <v>0</v>
      </c>
      <c r="X48" s="211">
        <f t="shared" si="12"/>
        <v>0</v>
      </c>
      <c r="Y48" s="211">
        <f t="shared" si="12"/>
        <v>0</v>
      </c>
      <c r="Z48" s="211">
        <f t="shared" si="12"/>
        <v>0</v>
      </c>
      <c r="AA48" s="211">
        <f t="shared" si="12"/>
        <v>0</v>
      </c>
      <c r="AB48" s="211">
        <f t="shared" si="12"/>
        <v>0</v>
      </c>
      <c r="AC48" s="211">
        <f t="shared" si="12"/>
        <v>0</v>
      </c>
      <c r="AD48" s="211">
        <f t="shared" si="12"/>
        <v>0</v>
      </c>
      <c r="AE48" s="211">
        <f t="shared" si="12"/>
        <v>0</v>
      </c>
      <c r="AF48" s="211">
        <f t="shared" si="12"/>
        <v>0</v>
      </c>
      <c r="AG48" s="211">
        <f t="shared" si="12"/>
        <v>0</v>
      </c>
      <c r="AH48" s="172"/>
      <c r="AI48" s="173"/>
      <c r="AJ48" s="122"/>
      <c r="AK48" s="122"/>
      <c r="AL48" s="122"/>
      <c r="AM48" s="122"/>
      <c r="AN48" s="122"/>
      <c r="AO48" s="122"/>
      <c r="AP48" s="122"/>
      <c r="AQ48" s="122"/>
      <c r="AR48" s="122"/>
      <c r="AS48" s="122"/>
      <c r="AT48" s="122"/>
      <c r="AU48" s="122"/>
      <c r="AV48" s="122"/>
      <c r="AW48" s="122"/>
      <c r="AX48" s="122"/>
      <c r="AY48" s="122"/>
      <c r="AZ48" s="122"/>
      <c r="BA48" s="122"/>
      <c r="BB48" s="122"/>
      <c r="BC48" s="122"/>
      <c r="BD48" s="122"/>
      <c r="BE48" s="122"/>
      <c r="BF48" s="122"/>
      <c r="BG48" s="122"/>
      <c r="BH48" s="122"/>
      <c r="BI48" s="122"/>
      <c r="BJ48" s="122"/>
      <c r="BK48" s="122"/>
      <c r="BL48" s="122"/>
      <c r="BM48" s="122"/>
      <c r="BN48" s="122"/>
      <c r="BO48" s="122"/>
      <c r="BP48" s="122"/>
      <c r="BQ48" s="122"/>
      <c r="BR48" s="122"/>
      <c r="BS48" s="122"/>
      <c r="BT48" s="122"/>
      <c r="BU48" s="122"/>
      <c r="BV48" s="122"/>
      <c r="BW48" s="122"/>
      <c r="BX48" s="122"/>
      <c r="BY48" s="122"/>
      <c r="BZ48" s="122"/>
      <c r="CA48" s="122"/>
      <c r="CB48" s="122"/>
      <c r="CC48" s="122"/>
      <c r="CD48" s="122"/>
      <c r="CE48" s="122"/>
      <c r="CF48" s="122"/>
      <c r="CG48" s="122"/>
      <c r="CH48" s="122"/>
      <c r="CI48" s="122"/>
      <c r="CJ48" s="122"/>
      <c r="CK48" s="122"/>
      <c r="CL48" s="122"/>
      <c r="CM48" s="122"/>
      <c r="CN48" s="122"/>
      <c r="CO48" s="122"/>
      <c r="CP48" s="122"/>
      <c r="CQ48" s="122"/>
      <c r="CR48" s="122"/>
      <c r="CS48" s="122"/>
      <c r="CT48" s="122"/>
      <c r="CU48" s="122"/>
      <c r="CV48" s="122"/>
      <c r="CW48" s="122"/>
      <c r="CX48" s="122"/>
      <c r="CY48" s="122"/>
      <c r="CZ48" s="122"/>
      <c r="DA48" s="122"/>
      <c r="DB48" s="122"/>
      <c r="DC48" s="122"/>
      <c r="DD48" s="122"/>
      <c r="DE48" s="122"/>
      <c r="DF48" s="122"/>
      <c r="DG48" s="122"/>
      <c r="DH48" s="122"/>
      <c r="DI48" s="122"/>
      <c r="DJ48" s="122"/>
      <c r="DK48" s="122"/>
      <c r="DL48" s="122"/>
      <c r="DM48" s="122"/>
      <c r="DN48" s="122"/>
      <c r="DO48" s="122"/>
      <c r="DP48" s="122"/>
      <c r="DQ48" s="122"/>
      <c r="DR48" s="122"/>
      <c r="DS48" s="122"/>
      <c r="DT48" s="122"/>
      <c r="DU48" s="122"/>
      <c r="DV48" s="122"/>
      <c r="DW48" s="122"/>
      <c r="DX48" s="122"/>
      <c r="DY48" s="122"/>
      <c r="DZ48" s="122"/>
      <c r="EA48" s="122"/>
      <c r="EB48" s="122"/>
      <c r="EC48" s="122"/>
      <c r="ED48" s="122"/>
      <c r="EE48" s="122"/>
      <c r="EF48" s="122"/>
      <c r="EG48" s="122"/>
      <c r="EH48" s="122"/>
      <c r="EI48" s="122"/>
      <c r="EJ48" s="122"/>
      <c r="EK48" s="122"/>
      <c r="EL48" s="122"/>
      <c r="EM48" s="122"/>
      <c r="EN48" s="122"/>
      <c r="EO48" s="122"/>
      <c r="EP48" s="122"/>
      <c r="EQ48" s="122"/>
      <c r="ER48" s="122"/>
      <c r="ES48" s="122"/>
      <c r="ET48" s="122"/>
      <c r="EU48" s="122"/>
      <c r="EV48" s="122"/>
      <c r="EW48" s="122"/>
      <c r="EX48" s="122"/>
      <c r="EY48" s="122"/>
      <c r="EZ48" s="122"/>
      <c r="FA48" s="122"/>
      <c r="FB48" s="122"/>
      <c r="FC48" s="122"/>
      <c r="FD48" s="122"/>
      <c r="FE48" s="122"/>
      <c r="FF48" s="122"/>
      <c r="FG48" s="122"/>
      <c r="FH48" s="122"/>
      <c r="FI48" s="122"/>
      <c r="FJ48" s="122"/>
      <c r="FK48" s="122"/>
      <c r="FL48" s="122"/>
      <c r="FM48" s="122"/>
      <c r="FN48" s="122"/>
      <c r="FO48" s="122"/>
      <c r="FP48" s="122"/>
      <c r="FQ48" s="122"/>
      <c r="FR48" s="122"/>
      <c r="FS48" s="122"/>
      <c r="FT48" s="122"/>
      <c r="FU48" s="122"/>
      <c r="FV48" s="122"/>
      <c r="FW48" s="122"/>
      <c r="FX48" s="122"/>
      <c r="FY48" s="122"/>
      <c r="FZ48" s="122"/>
      <c r="GA48" s="122"/>
      <c r="GB48" s="122"/>
      <c r="GC48" s="122"/>
    </row>
    <row r="49" spans="1:185" s="121" customFormat="1">
      <c r="A49" s="14"/>
      <c r="B49" s="16"/>
      <c r="C49" s="207"/>
      <c r="D49" s="261"/>
      <c r="E49" s="209"/>
      <c r="F49" s="209"/>
      <c r="G49" s="209"/>
      <c r="H49" s="209"/>
      <c r="I49" s="209"/>
      <c r="J49" s="209"/>
      <c r="K49" s="209"/>
      <c r="L49" s="209"/>
      <c r="M49" s="209"/>
      <c r="N49" s="209"/>
      <c r="O49" s="209"/>
      <c r="P49" s="209"/>
      <c r="Q49" s="209"/>
      <c r="R49" s="209"/>
      <c r="S49" s="209"/>
      <c r="T49" s="209"/>
      <c r="U49" s="209"/>
      <c r="V49" s="209"/>
      <c r="W49" s="209"/>
      <c r="X49" s="209"/>
      <c r="Y49" s="209"/>
      <c r="Z49" s="209"/>
      <c r="AA49" s="209"/>
      <c r="AB49" s="209"/>
      <c r="AC49" s="209"/>
      <c r="AD49" s="209"/>
      <c r="AE49" s="209"/>
      <c r="AF49" s="209"/>
      <c r="AG49" s="209"/>
      <c r="AH49" s="170"/>
      <c r="AI49" s="171"/>
      <c r="AJ49" s="120"/>
      <c r="AK49" s="120"/>
      <c r="AL49" s="120"/>
      <c r="AM49" s="120"/>
      <c r="AN49" s="120"/>
      <c r="AO49" s="120"/>
      <c r="AP49" s="120"/>
      <c r="AQ49" s="120"/>
      <c r="AR49" s="120"/>
      <c r="AS49" s="120"/>
      <c r="AT49" s="120"/>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c r="EU49" s="120"/>
      <c r="EV49" s="120"/>
      <c r="EW49" s="120"/>
      <c r="EX49" s="120"/>
      <c r="EY49" s="120"/>
      <c r="EZ49" s="120"/>
      <c r="FA49" s="120"/>
      <c r="FB49" s="120"/>
      <c r="FC49" s="120"/>
      <c r="FD49" s="120"/>
      <c r="FE49" s="120"/>
      <c r="FF49" s="120"/>
      <c r="FG49" s="120"/>
      <c r="FH49" s="120"/>
      <c r="FI49" s="120"/>
      <c r="FJ49" s="120"/>
      <c r="FK49" s="120"/>
      <c r="FL49" s="120"/>
      <c r="FM49" s="120"/>
      <c r="FN49" s="120"/>
      <c r="FO49" s="120"/>
      <c r="FP49" s="120"/>
      <c r="FQ49" s="120"/>
      <c r="FR49" s="120"/>
      <c r="FS49" s="120"/>
      <c r="FT49" s="120"/>
      <c r="FU49" s="120"/>
      <c r="FV49" s="120"/>
      <c r="FW49" s="120"/>
      <c r="FX49" s="120"/>
      <c r="FY49" s="120"/>
      <c r="FZ49" s="120"/>
      <c r="GA49" s="120"/>
      <c r="GB49" s="120"/>
      <c r="GC49" s="120"/>
    </row>
    <row r="50" spans="1:185" s="121" customFormat="1">
      <c r="A50" s="14" t="s">
        <v>1833</v>
      </c>
      <c r="B50" s="15" t="s">
        <v>1834</v>
      </c>
      <c r="C50" s="206">
        <f>SUM(E50:AG50)</f>
        <v>0</v>
      </c>
      <c r="D50" s="258"/>
      <c r="E50" s="195"/>
      <c r="F50" s="195"/>
      <c r="G50" s="195"/>
      <c r="H50" s="195"/>
      <c r="I50" s="195"/>
      <c r="J50" s="195"/>
      <c r="K50" s="196"/>
      <c r="L50" s="196"/>
      <c r="M50" s="196"/>
      <c r="N50" s="196"/>
      <c r="O50" s="196"/>
      <c r="P50" s="196"/>
      <c r="Q50" s="196"/>
      <c r="R50" s="196"/>
      <c r="S50" s="196"/>
      <c r="T50" s="196"/>
      <c r="U50" s="196"/>
      <c r="V50" s="196"/>
      <c r="W50" s="196"/>
      <c r="X50" s="196"/>
      <c r="Y50" s="196"/>
      <c r="Z50" s="196"/>
      <c r="AA50" s="196"/>
      <c r="AB50" s="196"/>
      <c r="AC50" s="196"/>
      <c r="AD50" s="196"/>
      <c r="AE50" s="196"/>
      <c r="AF50" s="196"/>
      <c r="AG50" s="196"/>
      <c r="AH50" s="170"/>
      <c r="AI50" s="171"/>
      <c r="AJ50" s="120"/>
      <c r="AK50" s="120"/>
      <c r="AL50" s="120"/>
      <c r="AM50" s="120"/>
      <c r="AN50" s="120"/>
      <c r="AO50" s="120"/>
      <c r="AP50" s="120"/>
      <c r="AQ50" s="120"/>
      <c r="AR50" s="120"/>
      <c r="AS50" s="120"/>
      <c r="AT50" s="120"/>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c r="EU50" s="120"/>
      <c r="EV50" s="120"/>
      <c r="EW50" s="120"/>
      <c r="EX50" s="120"/>
      <c r="EY50" s="120"/>
      <c r="EZ50" s="120"/>
      <c r="FA50" s="120"/>
      <c r="FB50" s="120"/>
      <c r="FC50" s="120"/>
      <c r="FD50" s="120"/>
      <c r="FE50" s="120"/>
      <c r="FF50" s="120"/>
      <c r="FG50" s="120"/>
      <c r="FH50" s="120"/>
      <c r="FI50" s="120"/>
      <c r="FJ50" s="120"/>
      <c r="FK50" s="120"/>
      <c r="FL50" s="120"/>
      <c r="FM50" s="120"/>
      <c r="FN50" s="120"/>
      <c r="FO50" s="120"/>
      <c r="FP50" s="120"/>
      <c r="FQ50" s="120"/>
      <c r="FR50" s="120"/>
      <c r="FS50" s="120"/>
      <c r="FT50" s="120"/>
      <c r="FU50" s="120"/>
      <c r="FV50" s="120"/>
      <c r="FW50" s="120"/>
      <c r="FX50" s="120"/>
      <c r="FY50" s="120"/>
      <c r="FZ50" s="120"/>
      <c r="GA50" s="120"/>
      <c r="GB50" s="120"/>
      <c r="GC50" s="120"/>
    </row>
    <row r="51" spans="1:185" s="121" customFormat="1">
      <c r="A51" s="14" t="s">
        <v>1835</v>
      </c>
      <c r="B51" s="15" t="s">
        <v>1836</v>
      </c>
      <c r="C51" s="206">
        <f>SUM(E51:AG51)</f>
        <v>0</v>
      </c>
      <c r="D51" s="258"/>
      <c r="E51" s="195"/>
      <c r="F51" s="195"/>
      <c r="G51" s="195"/>
      <c r="H51" s="195"/>
      <c r="I51" s="195"/>
      <c r="J51" s="195"/>
      <c r="K51" s="196"/>
      <c r="L51" s="196"/>
      <c r="M51" s="196"/>
      <c r="N51" s="196"/>
      <c r="O51" s="196"/>
      <c r="P51" s="196"/>
      <c r="Q51" s="196"/>
      <c r="R51" s="196"/>
      <c r="S51" s="196"/>
      <c r="T51" s="196"/>
      <c r="U51" s="196"/>
      <c r="V51" s="196"/>
      <c r="W51" s="196"/>
      <c r="X51" s="196"/>
      <c r="Y51" s="196"/>
      <c r="Z51" s="196"/>
      <c r="AA51" s="196"/>
      <c r="AB51" s="196"/>
      <c r="AC51" s="196"/>
      <c r="AD51" s="196"/>
      <c r="AE51" s="196"/>
      <c r="AF51" s="196"/>
      <c r="AG51" s="196"/>
      <c r="AH51" s="170"/>
      <c r="AI51" s="171"/>
      <c r="AJ51" s="120"/>
      <c r="AK51" s="120"/>
      <c r="AL51" s="120"/>
      <c r="AM51" s="120"/>
      <c r="AN51" s="120"/>
      <c r="AO51" s="120"/>
      <c r="AP51" s="120"/>
      <c r="AQ51" s="120"/>
      <c r="AR51" s="120"/>
      <c r="AS51" s="120"/>
      <c r="AT51" s="120"/>
      <c r="AU51" s="120"/>
      <c r="AV51" s="120"/>
      <c r="AW51" s="120"/>
      <c r="AX51" s="120"/>
      <c r="AY51" s="120"/>
      <c r="AZ51" s="120"/>
      <c r="BA51" s="120"/>
      <c r="BB51" s="120"/>
      <c r="BC51" s="120"/>
      <c r="BD51" s="120"/>
      <c r="BE51" s="120"/>
      <c r="BF51" s="120"/>
      <c r="BG51" s="120"/>
      <c r="BH51" s="120"/>
      <c r="BI51" s="120"/>
      <c r="BJ51" s="120"/>
      <c r="BK51" s="120"/>
      <c r="BL51" s="120"/>
      <c r="BM51" s="120"/>
      <c r="BN51" s="120"/>
      <c r="BO51" s="120"/>
      <c r="BP51" s="120"/>
      <c r="BQ51" s="120"/>
      <c r="BR51" s="120"/>
      <c r="BS51" s="120"/>
      <c r="BT51" s="120"/>
      <c r="BU51" s="120"/>
      <c r="BV51" s="120"/>
      <c r="BW51" s="120"/>
      <c r="BX51" s="120"/>
      <c r="BY51" s="120"/>
      <c r="BZ51" s="120"/>
      <c r="CA51" s="120"/>
      <c r="CB51" s="120"/>
      <c r="CC51" s="120"/>
      <c r="CD51" s="120"/>
      <c r="CE51" s="120"/>
      <c r="CF51" s="120"/>
      <c r="CG51" s="120"/>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c r="EU51" s="120"/>
      <c r="EV51" s="120"/>
      <c r="EW51" s="120"/>
      <c r="EX51" s="120"/>
      <c r="EY51" s="120"/>
      <c r="EZ51" s="120"/>
      <c r="FA51" s="120"/>
      <c r="FB51" s="120"/>
      <c r="FC51" s="120"/>
      <c r="FD51" s="120"/>
      <c r="FE51" s="120"/>
      <c r="FF51" s="120"/>
      <c r="FG51" s="120"/>
      <c r="FH51" s="120"/>
      <c r="FI51" s="120"/>
      <c r="FJ51" s="120"/>
      <c r="FK51" s="120"/>
      <c r="FL51" s="120"/>
      <c r="FM51" s="120"/>
      <c r="FN51" s="120"/>
      <c r="FO51" s="120"/>
      <c r="FP51" s="120"/>
      <c r="FQ51" s="120"/>
      <c r="FR51" s="120"/>
      <c r="FS51" s="120"/>
      <c r="FT51" s="120"/>
      <c r="FU51" s="120"/>
      <c r="FV51" s="120"/>
      <c r="FW51" s="120"/>
      <c r="FX51" s="120"/>
      <c r="FY51" s="120"/>
      <c r="FZ51" s="120"/>
      <c r="GA51" s="120"/>
      <c r="GB51" s="120"/>
      <c r="GC51" s="120"/>
    </row>
    <row r="52" spans="1:185" s="123" customFormat="1">
      <c r="A52" s="20" t="s">
        <v>1837</v>
      </c>
      <c r="B52" s="16" t="s">
        <v>1897</v>
      </c>
      <c r="C52" s="204">
        <f>SUM(E52:AG52)</f>
        <v>0</v>
      </c>
      <c r="D52" s="236">
        <f t="shared" ref="D52:AG52" si="13">D50-D51</f>
        <v>0</v>
      </c>
      <c r="E52" s="204">
        <f t="shared" si="13"/>
        <v>0</v>
      </c>
      <c r="F52" s="204">
        <f t="shared" si="13"/>
        <v>0</v>
      </c>
      <c r="G52" s="204">
        <f t="shared" si="13"/>
        <v>0</v>
      </c>
      <c r="H52" s="204">
        <f t="shared" si="13"/>
        <v>0</v>
      </c>
      <c r="I52" s="204">
        <f t="shared" si="13"/>
        <v>0</v>
      </c>
      <c r="J52" s="204">
        <f t="shared" si="13"/>
        <v>0</v>
      </c>
      <c r="K52" s="204">
        <f t="shared" si="13"/>
        <v>0</v>
      </c>
      <c r="L52" s="204">
        <f t="shared" si="13"/>
        <v>0</v>
      </c>
      <c r="M52" s="204">
        <f t="shared" si="13"/>
        <v>0</v>
      </c>
      <c r="N52" s="204">
        <f t="shared" si="13"/>
        <v>0</v>
      </c>
      <c r="O52" s="204">
        <f t="shared" si="13"/>
        <v>0</v>
      </c>
      <c r="P52" s="204">
        <f t="shared" si="13"/>
        <v>0</v>
      </c>
      <c r="Q52" s="204">
        <f t="shared" si="13"/>
        <v>0</v>
      </c>
      <c r="R52" s="204">
        <f t="shared" si="13"/>
        <v>0</v>
      </c>
      <c r="S52" s="204">
        <f t="shared" si="13"/>
        <v>0</v>
      </c>
      <c r="T52" s="204">
        <f t="shared" si="13"/>
        <v>0</v>
      </c>
      <c r="U52" s="204">
        <f t="shared" si="13"/>
        <v>0</v>
      </c>
      <c r="V52" s="204">
        <f t="shared" si="13"/>
        <v>0</v>
      </c>
      <c r="W52" s="204">
        <f t="shared" si="13"/>
        <v>0</v>
      </c>
      <c r="X52" s="204">
        <f t="shared" si="13"/>
        <v>0</v>
      </c>
      <c r="Y52" s="204">
        <f t="shared" si="13"/>
        <v>0</v>
      </c>
      <c r="Z52" s="204">
        <f t="shared" si="13"/>
        <v>0</v>
      </c>
      <c r="AA52" s="204">
        <f t="shared" si="13"/>
        <v>0</v>
      </c>
      <c r="AB52" s="204">
        <f t="shared" si="13"/>
        <v>0</v>
      </c>
      <c r="AC52" s="204">
        <f t="shared" si="13"/>
        <v>0</v>
      </c>
      <c r="AD52" s="204">
        <f t="shared" si="13"/>
        <v>0</v>
      </c>
      <c r="AE52" s="204">
        <f t="shared" si="13"/>
        <v>0</v>
      </c>
      <c r="AF52" s="204">
        <f t="shared" si="13"/>
        <v>0</v>
      </c>
      <c r="AG52" s="204">
        <f t="shared" si="13"/>
        <v>0</v>
      </c>
      <c r="AH52" s="172"/>
      <c r="AI52" s="173"/>
      <c r="AJ52" s="122"/>
      <c r="AK52" s="122"/>
      <c r="AL52" s="122"/>
      <c r="AM52" s="122"/>
      <c r="AN52" s="122"/>
      <c r="AO52" s="122"/>
      <c r="AP52" s="122"/>
      <c r="AQ52" s="122"/>
      <c r="AR52" s="122"/>
      <c r="AS52" s="122"/>
      <c r="AT52" s="122"/>
      <c r="AU52" s="122"/>
      <c r="AV52" s="122"/>
      <c r="AW52" s="122"/>
      <c r="AX52" s="122"/>
      <c r="AY52" s="122"/>
      <c r="AZ52" s="122"/>
      <c r="BA52" s="122"/>
      <c r="BB52" s="122"/>
      <c r="BC52" s="122"/>
      <c r="BD52" s="122"/>
      <c r="BE52" s="122"/>
      <c r="BF52" s="122"/>
      <c r="BG52" s="122"/>
      <c r="BH52" s="122"/>
      <c r="BI52" s="122"/>
      <c r="BJ52" s="122"/>
      <c r="BK52" s="122"/>
      <c r="BL52" s="122"/>
      <c r="BM52" s="122"/>
      <c r="BN52" s="122"/>
      <c r="BO52" s="122"/>
      <c r="BP52" s="122"/>
      <c r="BQ52" s="122"/>
      <c r="BR52" s="122"/>
      <c r="BS52" s="122"/>
      <c r="BT52" s="122"/>
      <c r="BU52" s="122"/>
      <c r="BV52" s="122"/>
      <c r="BW52" s="122"/>
      <c r="BX52" s="122"/>
      <c r="BY52" s="122"/>
      <c r="BZ52" s="122"/>
      <c r="CA52" s="122"/>
      <c r="CB52" s="122"/>
      <c r="CC52" s="122"/>
      <c r="CD52" s="122"/>
      <c r="CE52" s="122"/>
      <c r="CF52" s="122"/>
      <c r="CG52" s="122"/>
      <c r="CH52" s="122"/>
      <c r="CI52" s="122"/>
      <c r="CJ52" s="122"/>
      <c r="CK52" s="122"/>
      <c r="CL52" s="122"/>
      <c r="CM52" s="122"/>
      <c r="CN52" s="122"/>
      <c r="CO52" s="122"/>
      <c r="CP52" s="122"/>
      <c r="CQ52" s="122"/>
      <c r="CR52" s="122"/>
      <c r="CS52" s="122"/>
      <c r="CT52" s="122"/>
      <c r="CU52" s="122"/>
      <c r="CV52" s="122"/>
      <c r="CW52" s="122"/>
      <c r="CX52" s="122"/>
      <c r="CY52" s="122"/>
      <c r="CZ52" s="122"/>
      <c r="DA52" s="122"/>
      <c r="DB52" s="122"/>
      <c r="DC52" s="122"/>
      <c r="DD52" s="122"/>
      <c r="DE52" s="122"/>
      <c r="DF52" s="122"/>
      <c r="DG52" s="122"/>
      <c r="DH52" s="122"/>
      <c r="DI52" s="122"/>
      <c r="DJ52" s="122"/>
      <c r="DK52" s="122"/>
      <c r="DL52" s="122"/>
      <c r="DM52" s="122"/>
      <c r="DN52" s="122"/>
      <c r="DO52" s="122"/>
      <c r="DP52" s="122"/>
      <c r="DQ52" s="122"/>
      <c r="DR52" s="122"/>
      <c r="DS52" s="122"/>
      <c r="DT52" s="122"/>
      <c r="DU52" s="122"/>
      <c r="DV52" s="122"/>
      <c r="DW52" s="122"/>
      <c r="DX52" s="122"/>
      <c r="DY52" s="122"/>
      <c r="DZ52" s="122"/>
      <c r="EA52" s="122"/>
      <c r="EB52" s="122"/>
      <c r="EC52" s="122"/>
      <c r="ED52" s="122"/>
      <c r="EE52" s="122"/>
      <c r="EF52" s="122"/>
      <c r="EG52" s="122"/>
      <c r="EH52" s="122"/>
      <c r="EI52" s="122"/>
      <c r="EJ52" s="122"/>
      <c r="EK52" s="122"/>
      <c r="EL52" s="122"/>
      <c r="EM52" s="122"/>
      <c r="EN52" s="122"/>
      <c r="EO52" s="122"/>
      <c r="EP52" s="122"/>
      <c r="EQ52" s="122"/>
      <c r="ER52" s="122"/>
      <c r="ES52" s="122"/>
      <c r="ET52" s="122"/>
      <c r="EU52" s="122"/>
      <c r="EV52" s="122"/>
      <c r="EW52" s="122"/>
      <c r="EX52" s="122"/>
      <c r="EY52" s="122"/>
      <c r="EZ52" s="122"/>
      <c r="FA52" s="122"/>
      <c r="FB52" s="122"/>
      <c r="FC52" s="122"/>
      <c r="FD52" s="122"/>
      <c r="FE52" s="122"/>
      <c r="FF52" s="122"/>
      <c r="FG52" s="122"/>
      <c r="FH52" s="122"/>
      <c r="FI52" s="122"/>
      <c r="FJ52" s="122"/>
      <c r="FK52" s="122"/>
      <c r="FL52" s="122"/>
      <c r="FM52" s="122"/>
      <c r="FN52" s="122"/>
      <c r="FO52" s="122"/>
      <c r="FP52" s="122"/>
      <c r="FQ52" s="122"/>
      <c r="FR52" s="122"/>
      <c r="FS52" s="122"/>
      <c r="FT52" s="122"/>
      <c r="FU52" s="122"/>
      <c r="FV52" s="122"/>
      <c r="FW52" s="122"/>
      <c r="FX52" s="122"/>
      <c r="FY52" s="122"/>
      <c r="FZ52" s="122"/>
      <c r="GA52" s="122"/>
      <c r="GB52" s="122"/>
      <c r="GC52" s="122"/>
    </row>
    <row r="53" spans="1:185" s="123" customFormat="1">
      <c r="A53" s="20" t="s">
        <v>1847</v>
      </c>
      <c r="B53" s="16" t="s">
        <v>1848</v>
      </c>
      <c r="C53" s="211">
        <f>SUM(E53:AG53)</f>
        <v>0</v>
      </c>
      <c r="D53" s="236">
        <f t="shared" ref="D53:AG53" si="14">D12-D48</f>
        <v>-330117065.71209478</v>
      </c>
      <c r="E53" s="204">
        <f>E12-E48</f>
        <v>0</v>
      </c>
      <c r="F53" s="204">
        <f t="shared" si="14"/>
        <v>0</v>
      </c>
      <c r="G53" s="204">
        <f t="shared" si="14"/>
        <v>0</v>
      </c>
      <c r="H53" s="204">
        <f t="shared" si="14"/>
        <v>0</v>
      </c>
      <c r="I53" s="204">
        <f t="shared" si="14"/>
        <v>0</v>
      </c>
      <c r="J53" s="204">
        <f t="shared" si="14"/>
        <v>0</v>
      </c>
      <c r="K53" s="204">
        <f t="shared" si="14"/>
        <v>0</v>
      </c>
      <c r="L53" s="204">
        <f t="shared" si="14"/>
        <v>0</v>
      </c>
      <c r="M53" s="204">
        <f t="shared" si="14"/>
        <v>0</v>
      </c>
      <c r="N53" s="204">
        <f t="shared" si="14"/>
        <v>0</v>
      </c>
      <c r="O53" s="204">
        <f t="shared" si="14"/>
        <v>0</v>
      </c>
      <c r="P53" s="204">
        <f t="shared" si="14"/>
        <v>0</v>
      </c>
      <c r="Q53" s="204">
        <f t="shared" si="14"/>
        <v>0</v>
      </c>
      <c r="R53" s="204">
        <f t="shared" si="14"/>
        <v>0</v>
      </c>
      <c r="S53" s="204">
        <f t="shared" si="14"/>
        <v>0</v>
      </c>
      <c r="T53" s="204">
        <f t="shared" si="14"/>
        <v>0</v>
      </c>
      <c r="U53" s="204">
        <f t="shared" si="14"/>
        <v>0</v>
      </c>
      <c r="V53" s="204">
        <f t="shared" si="14"/>
        <v>0</v>
      </c>
      <c r="W53" s="204">
        <f t="shared" si="14"/>
        <v>0</v>
      </c>
      <c r="X53" s="204">
        <f t="shared" si="14"/>
        <v>0</v>
      </c>
      <c r="Y53" s="204">
        <f t="shared" si="14"/>
        <v>0</v>
      </c>
      <c r="Z53" s="204">
        <f t="shared" si="14"/>
        <v>0</v>
      </c>
      <c r="AA53" s="204">
        <f t="shared" si="14"/>
        <v>0</v>
      </c>
      <c r="AB53" s="204">
        <f t="shared" si="14"/>
        <v>0</v>
      </c>
      <c r="AC53" s="204">
        <f t="shared" si="14"/>
        <v>0</v>
      </c>
      <c r="AD53" s="204">
        <f t="shared" si="14"/>
        <v>0</v>
      </c>
      <c r="AE53" s="204">
        <f t="shared" si="14"/>
        <v>0</v>
      </c>
      <c r="AF53" s="204">
        <f t="shared" si="14"/>
        <v>0</v>
      </c>
      <c r="AG53" s="204">
        <f t="shared" si="14"/>
        <v>0</v>
      </c>
      <c r="AH53" s="172"/>
      <c r="AI53" s="173"/>
      <c r="AJ53" s="122"/>
      <c r="AK53" s="122"/>
      <c r="AL53" s="122"/>
      <c r="AM53" s="122"/>
      <c r="AN53" s="122"/>
      <c r="AO53" s="122"/>
      <c r="AP53" s="122"/>
      <c r="AQ53" s="122"/>
      <c r="AR53" s="122"/>
      <c r="AS53" s="122"/>
      <c r="AT53" s="122"/>
      <c r="AU53" s="122"/>
      <c r="AV53" s="122"/>
      <c r="AW53" s="122"/>
      <c r="AX53" s="122"/>
      <c r="AY53" s="122"/>
      <c r="AZ53" s="122"/>
      <c r="BA53" s="122"/>
      <c r="BB53" s="122"/>
      <c r="BC53" s="122"/>
      <c r="BD53" s="122"/>
      <c r="BE53" s="122"/>
      <c r="BF53" s="122"/>
      <c r="BG53" s="122"/>
      <c r="BH53" s="122"/>
      <c r="BI53" s="122"/>
      <c r="BJ53" s="122"/>
      <c r="BK53" s="122"/>
      <c r="BL53" s="122"/>
      <c r="BM53" s="122"/>
      <c r="BN53" s="122"/>
      <c r="BO53" s="122"/>
      <c r="BP53" s="122"/>
      <c r="BQ53" s="122"/>
      <c r="BR53" s="122"/>
      <c r="BS53" s="122"/>
      <c r="BT53" s="122"/>
      <c r="BU53" s="122"/>
      <c r="BV53" s="122"/>
      <c r="BW53" s="122"/>
      <c r="BX53" s="122"/>
      <c r="BY53" s="122"/>
      <c r="BZ53" s="122"/>
      <c r="CA53" s="122"/>
      <c r="CB53" s="122"/>
      <c r="CC53" s="122"/>
      <c r="CD53" s="122"/>
      <c r="CE53" s="122"/>
      <c r="CF53" s="122"/>
      <c r="CG53" s="122"/>
      <c r="CH53" s="122"/>
      <c r="CI53" s="122"/>
      <c r="CJ53" s="122"/>
      <c r="CK53" s="122"/>
      <c r="CL53" s="122"/>
      <c r="CM53" s="122"/>
      <c r="CN53" s="122"/>
      <c r="CO53" s="122"/>
      <c r="CP53" s="122"/>
      <c r="CQ53" s="122"/>
      <c r="CR53" s="122"/>
      <c r="CS53" s="122"/>
      <c r="CT53" s="122"/>
      <c r="CU53" s="122"/>
      <c r="CV53" s="122"/>
      <c r="CW53" s="122"/>
      <c r="CX53" s="122"/>
      <c r="CY53" s="122"/>
      <c r="CZ53" s="122"/>
      <c r="DA53" s="122"/>
      <c r="DB53" s="122"/>
      <c r="DC53" s="122"/>
      <c r="DD53" s="122"/>
      <c r="DE53" s="122"/>
      <c r="DF53" s="122"/>
      <c r="DG53" s="122"/>
      <c r="DH53" s="122"/>
      <c r="DI53" s="122"/>
      <c r="DJ53" s="122"/>
      <c r="DK53" s="122"/>
      <c r="DL53" s="122"/>
      <c r="DM53" s="122"/>
      <c r="DN53" s="122"/>
      <c r="DO53" s="122"/>
      <c r="DP53" s="122"/>
      <c r="DQ53" s="122"/>
      <c r="DR53" s="122"/>
      <c r="DS53" s="122"/>
      <c r="DT53" s="122"/>
      <c r="DU53" s="122"/>
      <c r="DV53" s="122"/>
      <c r="DW53" s="122"/>
      <c r="DX53" s="122"/>
      <c r="DY53" s="122"/>
      <c r="DZ53" s="122"/>
      <c r="EA53" s="122"/>
      <c r="EB53" s="122"/>
      <c r="EC53" s="122"/>
      <c r="ED53" s="122"/>
      <c r="EE53" s="122"/>
      <c r="EF53" s="122"/>
      <c r="EG53" s="122"/>
      <c r="EH53" s="122"/>
      <c r="EI53" s="122"/>
      <c r="EJ53" s="122"/>
      <c r="EK53" s="122"/>
      <c r="EL53" s="122"/>
      <c r="EM53" s="122"/>
      <c r="EN53" s="122"/>
      <c r="EO53" s="122"/>
      <c r="EP53" s="122"/>
      <c r="EQ53" s="122"/>
      <c r="ER53" s="122"/>
      <c r="ES53" s="122"/>
      <c r="ET53" s="122"/>
      <c r="EU53" s="122"/>
      <c r="EV53" s="122"/>
      <c r="EW53" s="122"/>
      <c r="EX53" s="122"/>
      <c r="EY53" s="122"/>
      <c r="EZ53" s="122"/>
      <c r="FA53" s="122"/>
      <c r="FB53" s="122"/>
      <c r="FC53" s="122"/>
      <c r="FD53" s="122"/>
      <c r="FE53" s="122"/>
      <c r="FF53" s="122"/>
      <c r="FG53" s="122"/>
      <c r="FH53" s="122"/>
      <c r="FI53" s="122"/>
      <c r="FJ53" s="122"/>
      <c r="FK53" s="122"/>
      <c r="FL53" s="122"/>
      <c r="FM53" s="122"/>
      <c r="FN53" s="122"/>
      <c r="FO53" s="122"/>
      <c r="FP53" s="122"/>
      <c r="FQ53" s="122"/>
      <c r="FR53" s="122"/>
      <c r="FS53" s="122"/>
      <c r="FT53" s="122"/>
      <c r="FU53" s="122"/>
      <c r="FV53" s="122"/>
      <c r="FW53" s="122"/>
      <c r="FX53" s="122"/>
      <c r="FY53" s="122"/>
      <c r="FZ53" s="122"/>
      <c r="GA53" s="122"/>
      <c r="GB53" s="122"/>
      <c r="GC53" s="122"/>
    </row>
    <row r="54" spans="1:185" s="121" customFormat="1">
      <c r="A54" s="96"/>
      <c r="B54" s="95"/>
      <c r="C54" s="207"/>
      <c r="D54" s="262"/>
      <c r="E54" s="208"/>
      <c r="F54" s="208"/>
      <c r="G54" s="208"/>
      <c r="H54" s="208"/>
      <c r="I54" s="208"/>
      <c r="J54" s="208"/>
      <c r="K54" s="212"/>
      <c r="L54" s="212"/>
      <c r="M54" s="212"/>
      <c r="N54" s="212"/>
      <c r="O54" s="212"/>
      <c r="P54" s="212"/>
      <c r="Q54" s="212"/>
      <c r="R54" s="212"/>
      <c r="S54" s="212"/>
      <c r="T54" s="212"/>
      <c r="U54" s="212"/>
      <c r="V54" s="212"/>
      <c r="W54" s="212"/>
      <c r="X54" s="212"/>
      <c r="Y54" s="212"/>
      <c r="Z54" s="212"/>
      <c r="AA54" s="212"/>
      <c r="AB54" s="212"/>
      <c r="AC54" s="212"/>
      <c r="AD54" s="212"/>
      <c r="AE54" s="212"/>
      <c r="AF54" s="212"/>
      <c r="AG54" s="212"/>
      <c r="AH54" s="170"/>
      <c r="AI54" s="171"/>
      <c r="AJ54" s="120"/>
      <c r="AK54" s="120"/>
      <c r="AL54" s="120"/>
      <c r="AM54" s="120"/>
      <c r="AN54" s="120"/>
      <c r="AO54" s="120"/>
      <c r="AP54" s="120"/>
      <c r="AQ54" s="120"/>
      <c r="AR54" s="120"/>
      <c r="AS54" s="120"/>
      <c r="AT54" s="120"/>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c r="BR54" s="120"/>
      <c r="BS54" s="120"/>
      <c r="BT54" s="120"/>
      <c r="BU54" s="120"/>
      <c r="BV54" s="120"/>
      <c r="BW54" s="120"/>
      <c r="BX54" s="120"/>
      <c r="BY54" s="120"/>
      <c r="BZ54" s="120"/>
      <c r="CA54" s="120"/>
      <c r="CB54" s="120"/>
      <c r="CC54" s="120"/>
      <c r="CD54" s="120"/>
      <c r="CE54" s="120"/>
      <c r="CF54" s="120"/>
      <c r="CG54" s="120"/>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c r="EU54" s="120"/>
      <c r="EV54" s="120"/>
      <c r="EW54" s="120"/>
      <c r="EX54" s="120"/>
      <c r="EY54" s="120"/>
      <c r="EZ54" s="120"/>
      <c r="FA54" s="120"/>
      <c r="FB54" s="120"/>
      <c r="FC54" s="120"/>
      <c r="FD54" s="120"/>
      <c r="FE54" s="120"/>
      <c r="FF54" s="120"/>
      <c r="FG54" s="120"/>
      <c r="FH54" s="120"/>
      <c r="FI54" s="120"/>
      <c r="FJ54" s="120"/>
      <c r="FK54" s="120"/>
      <c r="FL54" s="120"/>
      <c r="FM54" s="120"/>
      <c r="FN54" s="120"/>
      <c r="FO54" s="120"/>
      <c r="FP54" s="120"/>
      <c r="FQ54" s="120"/>
      <c r="FR54" s="120"/>
      <c r="FS54" s="120"/>
      <c r="FT54" s="120"/>
      <c r="FU54" s="120"/>
      <c r="FV54" s="120"/>
      <c r="FW54" s="120"/>
      <c r="FX54" s="120"/>
      <c r="FY54" s="120"/>
      <c r="FZ54" s="120"/>
      <c r="GA54" s="120"/>
      <c r="GB54" s="120"/>
      <c r="GC54" s="120"/>
    </row>
    <row r="55" spans="1:185" s="123" customFormat="1">
      <c r="A55" s="98" t="s">
        <v>1872</v>
      </c>
      <c r="B55" s="93" t="s">
        <v>2179</v>
      </c>
      <c r="C55" s="204">
        <f>SUM(E55:AG55)</f>
        <v>0</v>
      </c>
      <c r="D55" s="234">
        <v>2183040</v>
      </c>
      <c r="E55" s="198"/>
      <c r="F55" s="198"/>
      <c r="G55" s="198"/>
      <c r="H55" s="198"/>
      <c r="I55" s="198"/>
      <c r="J55" s="198"/>
      <c r="K55" s="199"/>
      <c r="L55" s="199"/>
      <c r="M55" s="199"/>
      <c r="N55" s="199"/>
      <c r="O55" s="199"/>
      <c r="P55" s="199"/>
      <c r="Q55" s="199"/>
      <c r="R55" s="199"/>
      <c r="S55" s="199"/>
      <c r="T55" s="199"/>
      <c r="U55" s="199"/>
      <c r="V55" s="199"/>
      <c r="W55" s="199"/>
      <c r="X55" s="199"/>
      <c r="Y55" s="199"/>
      <c r="Z55" s="199"/>
      <c r="AA55" s="199"/>
      <c r="AB55" s="199"/>
      <c r="AC55" s="199"/>
      <c r="AD55" s="199"/>
      <c r="AE55" s="199"/>
      <c r="AF55" s="199"/>
      <c r="AG55" s="199"/>
      <c r="AH55" s="172"/>
      <c r="AI55" s="173"/>
      <c r="AJ55" s="122"/>
      <c r="AK55" s="122"/>
      <c r="AL55" s="122"/>
      <c r="AM55" s="122"/>
      <c r="AN55" s="122"/>
      <c r="AO55" s="122"/>
      <c r="AP55" s="122"/>
      <c r="AQ55" s="122"/>
      <c r="AR55" s="122"/>
      <c r="AS55" s="122"/>
      <c r="AT55" s="122"/>
      <c r="AU55" s="122"/>
      <c r="AV55" s="122"/>
      <c r="AW55" s="122"/>
      <c r="AX55" s="122"/>
      <c r="AY55" s="122"/>
      <c r="AZ55" s="122"/>
      <c r="BA55" s="122"/>
      <c r="BB55" s="122"/>
      <c r="BC55" s="122"/>
      <c r="BD55" s="122"/>
      <c r="BE55" s="122"/>
      <c r="BF55" s="122"/>
      <c r="BG55" s="122"/>
      <c r="BH55" s="122"/>
      <c r="BI55" s="122"/>
      <c r="BJ55" s="122"/>
      <c r="BK55" s="122"/>
      <c r="BL55" s="122"/>
      <c r="BM55" s="122"/>
      <c r="BN55" s="122"/>
      <c r="BO55" s="122"/>
      <c r="BP55" s="122"/>
      <c r="BQ55" s="122"/>
      <c r="BR55" s="122"/>
      <c r="BS55" s="122"/>
      <c r="BT55" s="122"/>
      <c r="BU55" s="122"/>
      <c r="BV55" s="122"/>
      <c r="BW55" s="122"/>
      <c r="BX55" s="122"/>
      <c r="BY55" s="122"/>
      <c r="BZ55" s="122"/>
      <c r="CA55" s="122"/>
      <c r="CB55" s="122"/>
      <c r="CC55" s="122"/>
      <c r="CD55" s="122"/>
      <c r="CE55" s="122"/>
      <c r="CF55" s="122"/>
      <c r="CG55" s="122"/>
      <c r="CH55" s="122"/>
      <c r="CI55" s="122"/>
      <c r="CJ55" s="122"/>
      <c r="CK55" s="122"/>
      <c r="CL55" s="122"/>
      <c r="CM55" s="122"/>
      <c r="CN55" s="122"/>
      <c r="CO55" s="122"/>
      <c r="CP55" s="122"/>
      <c r="CQ55" s="122"/>
      <c r="CR55" s="122"/>
      <c r="CS55" s="122"/>
      <c r="CT55" s="122"/>
      <c r="CU55" s="122"/>
      <c r="CV55" s="122"/>
      <c r="CW55" s="122"/>
      <c r="CX55" s="122"/>
      <c r="CY55" s="122"/>
      <c r="CZ55" s="122"/>
      <c r="DA55" s="122"/>
      <c r="DB55" s="122"/>
      <c r="DC55" s="122"/>
      <c r="DD55" s="122"/>
      <c r="DE55" s="122"/>
      <c r="DF55" s="122"/>
      <c r="DG55" s="122"/>
      <c r="DH55" s="122"/>
      <c r="DI55" s="122"/>
      <c r="DJ55" s="122"/>
      <c r="DK55" s="122"/>
      <c r="DL55" s="122"/>
      <c r="DM55" s="122"/>
      <c r="DN55" s="122"/>
      <c r="DO55" s="122"/>
      <c r="DP55" s="122"/>
      <c r="DQ55" s="122"/>
      <c r="DR55" s="122"/>
      <c r="DS55" s="122"/>
      <c r="DT55" s="122"/>
      <c r="DU55" s="122"/>
      <c r="DV55" s="122"/>
      <c r="DW55" s="122"/>
      <c r="DX55" s="122"/>
      <c r="DY55" s="122"/>
      <c r="DZ55" s="122"/>
      <c r="EA55" s="122"/>
      <c r="EB55" s="122"/>
      <c r="EC55" s="122"/>
      <c r="ED55" s="122"/>
      <c r="EE55" s="122"/>
      <c r="EF55" s="122"/>
      <c r="EG55" s="122"/>
      <c r="EH55" s="122"/>
      <c r="EI55" s="122"/>
      <c r="EJ55" s="122"/>
      <c r="EK55" s="122"/>
      <c r="EL55" s="122"/>
      <c r="EM55" s="122"/>
      <c r="EN55" s="122"/>
      <c r="EO55" s="122"/>
      <c r="EP55" s="122"/>
      <c r="EQ55" s="122"/>
      <c r="ER55" s="122"/>
      <c r="ES55" s="122"/>
      <c r="ET55" s="122"/>
      <c r="EU55" s="122"/>
      <c r="EV55" s="122"/>
      <c r="EW55" s="122"/>
      <c r="EX55" s="122"/>
      <c r="EY55" s="122"/>
      <c r="EZ55" s="122"/>
      <c r="FA55" s="122"/>
      <c r="FB55" s="122"/>
      <c r="FC55" s="122"/>
      <c r="FD55" s="122"/>
      <c r="FE55" s="122"/>
      <c r="FF55" s="122"/>
      <c r="FG55" s="122"/>
      <c r="FH55" s="122"/>
      <c r="FI55" s="122"/>
      <c r="FJ55" s="122"/>
      <c r="FK55" s="122"/>
      <c r="FL55" s="122"/>
      <c r="FM55" s="122"/>
      <c r="FN55" s="122"/>
      <c r="FO55" s="122"/>
      <c r="FP55" s="122"/>
      <c r="FQ55" s="122"/>
      <c r="FR55" s="122"/>
      <c r="FS55" s="122"/>
      <c r="FT55" s="122"/>
      <c r="FU55" s="122"/>
      <c r="FV55" s="122"/>
      <c r="FW55" s="122"/>
      <c r="FX55" s="122"/>
      <c r="FY55" s="122"/>
      <c r="FZ55" s="122"/>
      <c r="GA55" s="122"/>
      <c r="GB55" s="122"/>
      <c r="GC55" s="122"/>
    </row>
    <row r="56" spans="1:185" s="121" customFormat="1">
      <c r="A56" s="96"/>
      <c r="B56" s="90"/>
      <c r="C56" s="206"/>
      <c r="D56" s="258"/>
      <c r="E56" s="195"/>
      <c r="F56" s="195"/>
      <c r="G56" s="195"/>
      <c r="H56" s="195"/>
      <c r="I56" s="195"/>
      <c r="J56" s="195"/>
      <c r="K56" s="196"/>
      <c r="L56" s="196"/>
      <c r="M56" s="196"/>
      <c r="N56" s="196"/>
      <c r="O56" s="196"/>
      <c r="P56" s="196"/>
      <c r="Q56" s="196"/>
      <c r="R56" s="196"/>
      <c r="S56" s="196"/>
      <c r="T56" s="196"/>
      <c r="U56" s="196"/>
      <c r="V56" s="196"/>
      <c r="W56" s="196"/>
      <c r="X56" s="196"/>
      <c r="Y56" s="196"/>
      <c r="Z56" s="196"/>
      <c r="AA56" s="196"/>
      <c r="AB56" s="196"/>
      <c r="AC56" s="196"/>
      <c r="AD56" s="196"/>
      <c r="AE56" s="196"/>
      <c r="AF56" s="196"/>
      <c r="AG56" s="196"/>
      <c r="AH56" s="170"/>
      <c r="AI56" s="171"/>
      <c r="AJ56" s="120"/>
      <c r="AK56" s="120"/>
      <c r="AL56" s="120"/>
      <c r="AM56" s="120"/>
      <c r="AN56" s="120"/>
      <c r="AO56" s="120"/>
      <c r="AP56" s="120"/>
      <c r="AQ56" s="120"/>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c r="EU56" s="120"/>
      <c r="EV56" s="120"/>
      <c r="EW56" s="120"/>
      <c r="EX56" s="120"/>
      <c r="EY56" s="120"/>
      <c r="EZ56" s="120"/>
      <c r="FA56" s="120"/>
      <c r="FB56" s="120"/>
      <c r="FC56" s="120"/>
      <c r="FD56" s="120"/>
      <c r="FE56" s="120"/>
      <c r="FF56" s="120"/>
      <c r="FG56" s="120"/>
      <c r="FH56" s="120"/>
      <c r="FI56" s="120"/>
      <c r="FJ56" s="120"/>
      <c r="FK56" s="120"/>
      <c r="FL56" s="120"/>
      <c r="FM56" s="120"/>
      <c r="FN56" s="120"/>
      <c r="FO56" s="120"/>
      <c r="FP56" s="120"/>
      <c r="FQ56" s="120"/>
      <c r="FR56" s="120"/>
      <c r="FS56" s="120"/>
      <c r="FT56" s="120"/>
      <c r="FU56" s="120"/>
      <c r="FV56" s="120"/>
      <c r="FW56" s="120"/>
      <c r="FX56" s="120"/>
      <c r="FY56" s="120"/>
      <c r="FZ56" s="120"/>
      <c r="GA56" s="120"/>
      <c r="GB56" s="120"/>
      <c r="GC56" s="120"/>
    </row>
    <row r="57" spans="1:185" s="123" customFormat="1">
      <c r="A57" s="97" t="s">
        <v>1838</v>
      </c>
      <c r="B57" s="226" t="s">
        <v>2084</v>
      </c>
      <c r="C57" s="204">
        <f>SUM(E57:AG57)</f>
        <v>0</v>
      </c>
      <c r="D57" s="263">
        <v>7037184</v>
      </c>
      <c r="E57" s="205"/>
      <c r="F57" s="205"/>
      <c r="G57" s="205"/>
      <c r="H57" s="205"/>
      <c r="I57" s="205"/>
      <c r="J57" s="205"/>
      <c r="K57" s="205"/>
      <c r="L57" s="205"/>
      <c r="M57" s="205"/>
      <c r="N57" s="205"/>
      <c r="O57" s="205"/>
      <c r="P57" s="205"/>
      <c r="Q57" s="205"/>
      <c r="R57" s="205"/>
      <c r="S57" s="205"/>
      <c r="T57" s="205"/>
      <c r="U57" s="205"/>
      <c r="V57" s="205"/>
      <c r="W57" s="205"/>
      <c r="X57" s="205"/>
      <c r="Y57" s="205"/>
      <c r="Z57" s="205"/>
      <c r="AA57" s="205"/>
      <c r="AB57" s="205"/>
      <c r="AC57" s="205"/>
      <c r="AD57" s="205"/>
      <c r="AE57" s="205"/>
      <c r="AF57" s="205"/>
      <c r="AG57" s="205"/>
      <c r="AH57" s="172"/>
      <c r="AI57" s="173"/>
      <c r="AJ57" s="122"/>
      <c r="AK57" s="122"/>
      <c r="AL57" s="122"/>
      <c r="AM57" s="122"/>
      <c r="AN57" s="122"/>
      <c r="AO57" s="122"/>
      <c r="AP57" s="122"/>
      <c r="AQ57" s="122"/>
      <c r="AR57" s="122"/>
      <c r="AS57" s="122"/>
      <c r="AT57" s="122"/>
      <c r="AU57" s="122"/>
      <c r="AV57" s="122"/>
      <c r="AW57" s="122"/>
      <c r="AX57" s="122"/>
      <c r="AY57" s="122"/>
      <c r="AZ57" s="122"/>
      <c r="BA57" s="122"/>
      <c r="BB57" s="122"/>
      <c r="BC57" s="122"/>
      <c r="BD57" s="122"/>
      <c r="BE57" s="122"/>
      <c r="BF57" s="122"/>
      <c r="BG57" s="122"/>
      <c r="BH57" s="122"/>
      <c r="BI57" s="122"/>
      <c r="BJ57" s="122"/>
      <c r="BK57" s="122"/>
      <c r="BL57" s="122"/>
      <c r="BM57" s="122"/>
      <c r="BN57" s="122"/>
      <c r="BO57" s="122"/>
      <c r="BP57" s="122"/>
      <c r="BQ57" s="122"/>
      <c r="BR57" s="122"/>
      <c r="BS57" s="122"/>
      <c r="BT57" s="122"/>
      <c r="BU57" s="122"/>
      <c r="BV57" s="122"/>
      <c r="BW57" s="122"/>
      <c r="BX57" s="122"/>
      <c r="BY57" s="122"/>
      <c r="BZ57" s="122"/>
      <c r="CA57" s="122"/>
      <c r="CB57" s="122"/>
      <c r="CC57" s="122"/>
      <c r="CD57" s="122"/>
      <c r="CE57" s="122"/>
      <c r="CF57" s="122"/>
      <c r="CG57" s="122"/>
      <c r="CH57" s="122"/>
      <c r="CI57" s="122"/>
      <c r="CJ57" s="122"/>
      <c r="CK57" s="122"/>
      <c r="CL57" s="122"/>
      <c r="CM57" s="122"/>
      <c r="CN57" s="122"/>
      <c r="CO57" s="122"/>
      <c r="CP57" s="122"/>
      <c r="CQ57" s="122"/>
      <c r="CR57" s="122"/>
      <c r="CS57" s="122"/>
      <c r="CT57" s="122"/>
      <c r="CU57" s="122"/>
      <c r="CV57" s="122"/>
      <c r="CW57" s="122"/>
      <c r="CX57" s="122"/>
      <c r="CY57" s="122"/>
      <c r="CZ57" s="122"/>
      <c r="DA57" s="122"/>
      <c r="DB57" s="122"/>
      <c r="DC57" s="122"/>
      <c r="DD57" s="122"/>
      <c r="DE57" s="122"/>
      <c r="DF57" s="122"/>
      <c r="DG57" s="122"/>
      <c r="DH57" s="122"/>
      <c r="DI57" s="122"/>
      <c r="DJ57" s="122"/>
      <c r="DK57" s="122"/>
      <c r="DL57" s="122"/>
      <c r="DM57" s="122"/>
      <c r="DN57" s="122"/>
      <c r="DO57" s="122"/>
      <c r="DP57" s="122"/>
      <c r="DQ57" s="122"/>
      <c r="DR57" s="122"/>
      <c r="DS57" s="122"/>
      <c r="DT57" s="122"/>
      <c r="DU57" s="122"/>
      <c r="DV57" s="122"/>
      <c r="DW57" s="122"/>
      <c r="DX57" s="122"/>
      <c r="DY57" s="122"/>
      <c r="DZ57" s="122"/>
      <c r="EA57" s="122"/>
      <c r="EB57" s="122"/>
      <c r="EC57" s="122"/>
      <c r="ED57" s="122"/>
      <c r="EE57" s="122"/>
      <c r="EF57" s="122"/>
      <c r="EG57" s="122"/>
      <c r="EH57" s="122"/>
      <c r="EI57" s="122"/>
      <c r="EJ57" s="122"/>
      <c r="EK57" s="122"/>
      <c r="EL57" s="122"/>
      <c r="EM57" s="122"/>
      <c r="EN57" s="122"/>
      <c r="EO57" s="122"/>
      <c r="EP57" s="122"/>
      <c r="EQ57" s="122"/>
      <c r="ER57" s="122"/>
      <c r="ES57" s="122"/>
      <c r="ET57" s="122"/>
      <c r="EU57" s="122"/>
      <c r="EV57" s="122"/>
      <c r="EW57" s="122"/>
      <c r="EX57" s="122"/>
      <c r="EY57" s="122"/>
      <c r="EZ57" s="122"/>
      <c r="FA57" s="122"/>
      <c r="FB57" s="122"/>
      <c r="FC57" s="122"/>
      <c r="FD57" s="122"/>
      <c r="FE57" s="122"/>
      <c r="FF57" s="122"/>
      <c r="FG57" s="122"/>
      <c r="FH57" s="122"/>
      <c r="FI57" s="122"/>
      <c r="FJ57" s="122"/>
      <c r="FK57" s="122"/>
      <c r="FL57" s="122"/>
      <c r="FM57" s="122"/>
      <c r="FN57" s="122"/>
      <c r="FO57" s="122"/>
      <c r="FP57" s="122"/>
      <c r="FQ57" s="122"/>
      <c r="FR57" s="122"/>
      <c r="FS57" s="122"/>
      <c r="FT57" s="122"/>
      <c r="FU57" s="122"/>
      <c r="FV57" s="122"/>
      <c r="FW57" s="122"/>
      <c r="FX57" s="122"/>
      <c r="FY57" s="122"/>
      <c r="FZ57" s="122"/>
      <c r="GA57" s="122"/>
      <c r="GB57" s="122"/>
      <c r="GC57" s="122"/>
    </row>
    <row r="58" spans="1:185" s="121" customFormat="1">
      <c r="A58" s="96"/>
      <c r="B58" s="226"/>
      <c r="C58" s="206"/>
      <c r="D58" s="261"/>
      <c r="E58" s="209"/>
      <c r="F58" s="209"/>
      <c r="G58" s="209"/>
      <c r="H58" s="209"/>
      <c r="I58" s="209"/>
      <c r="J58" s="209"/>
      <c r="K58" s="210"/>
      <c r="L58" s="210"/>
      <c r="M58" s="210"/>
      <c r="N58" s="210"/>
      <c r="O58" s="210"/>
      <c r="P58" s="210"/>
      <c r="Q58" s="210"/>
      <c r="R58" s="210"/>
      <c r="S58" s="210"/>
      <c r="T58" s="210"/>
      <c r="U58" s="210"/>
      <c r="V58" s="210"/>
      <c r="W58" s="210"/>
      <c r="X58" s="210"/>
      <c r="Y58" s="210"/>
      <c r="Z58" s="210"/>
      <c r="AA58" s="210"/>
      <c r="AB58" s="210"/>
      <c r="AC58" s="210"/>
      <c r="AD58" s="210"/>
      <c r="AE58" s="210"/>
      <c r="AF58" s="210"/>
      <c r="AG58" s="210"/>
      <c r="AH58" s="170"/>
      <c r="AI58" s="171"/>
      <c r="AJ58" s="120"/>
      <c r="AK58" s="120"/>
      <c r="AL58" s="120"/>
      <c r="AM58" s="120"/>
      <c r="AN58" s="120"/>
      <c r="AO58" s="120"/>
      <c r="AP58" s="120"/>
      <c r="AQ58" s="120"/>
      <c r="AR58" s="120"/>
      <c r="AS58" s="120"/>
      <c r="AT58" s="120"/>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c r="EU58" s="120"/>
      <c r="EV58" s="120"/>
      <c r="EW58" s="120"/>
      <c r="EX58" s="120"/>
      <c r="EY58" s="120"/>
      <c r="EZ58" s="120"/>
      <c r="FA58" s="120"/>
      <c r="FB58" s="120"/>
      <c r="FC58" s="120"/>
      <c r="FD58" s="120"/>
      <c r="FE58" s="120"/>
      <c r="FF58" s="120"/>
      <c r="FG58" s="120"/>
      <c r="FH58" s="120"/>
      <c r="FI58" s="120"/>
      <c r="FJ58" s="120"/>
      <c r="FK58" s="120"/>
      <c r="FL58" s="120"/>
      <c r="FM58" s="120"/>
      <c r="FN58" s="120"/>
      <c r="FO58" s="120"/>
      <c r="FP58" s="120"/>
      <c r="FQ58" s="120"/>
      <c r="FR58" s="120"/>
      <c r="FS58" s="120"/>
      <c r="FT58" s="120"/>
      <c r="FU58" s="120"/>
      <c r="FV58" s="120"/>
      <c r="FW58" s="120"/>
      <c r="FX58" s="120"/>
      <c r="FY58" s="120"/>
      <c r="FZ58" s="120"/>
      <c r="GA58" s="120"/>
      <c r="GB58" s="120"/>
      <c r="GC58" s="120"/>
    </row>
    <row r="59" spans="1:185" s="123" customFormat="1">
      <c r="A59" s="97" t="s">
        <v>1839</v>
      </c>
      <c r="B59" s="226" t="s">
        <v>2180</v>
      </c>
      <c r="C59" s="204">
        <f>SUM(E59:AG59)</f>
        <v>0</v>
      </c>
      <c r="D59" s="263">
        <v>8796480</v>
      </c>
      <c r="E59" s="205"/>
      <c r="F59" s="205"/>
      <c r="G59" s="205"/>
      <c r="H59" s="205"/>
      <c r="I59" s="205"/>
      <c r="J59" s="205"/>
      <c r="K59" s="205"/>
      <c r="L59" s="205"/>
      <c r="M59" s="205"/>
      <c r="N59" s="205"/>
      <c r="O59" s="205"/>
      <c r="P59" s="205"/>
      <c r="Q59" s="205"/>
      <c r="R59" s="205"/>
      <c r="S59" s="205"/>
      <c r="T59" s="205"/>
      <c r="U59" s="205"/>
      <c r="V59" s="205"/>
      <c r="W59" s="205"/>
      <c r="X59" s="205"/>
      <c r="Y59" s="205"/>
      <c r="Z59" s="205"/>
      <c r="AA59" s="205"/>
      <c r="AB59" s="205"/>
      <c r="AC59" s="205"/>
      <c r="AD59" s="205"/>
      <c r="AE59" s="205"/>
      <c r="AF59" s="205"/>
      <c r="AG59" s="205"/>
      <c r="AH59" s="172"/>
      <c r="AI59" s="173"/>
      <c r="AJ59" s="122"/>
      <c r="AK59" s="122"/>
      <c r="AL59" s="122"/>
      <c r="AM59" s="122"/>
      <c r="AN59" s="122"/>
      <c r="AO59" s="122"/>
      <c r="AP59" s="122"/>
      <c r="AQ59" s="122"/>
      <c r="AR59" s="122"/>
      <c r="AS59" s="122"/>
      <c r="AT59" s="122"/>
      <c r="AU59" s="122"/>
      <c r="AV59" s="122"/>
      <c r="AW59" s="122"/>
      <c r="AX59" s="122"/>
      <c r="AY59" s="122"/>
      <c r="AZ59" s="122"/>
      <c r="BA59" s="122"/>
      <c r="BB59" s="122"/>
      <c r="BC59" s="122"/>
      <c r="BD59" s="122"/>
      <c r="BE59" s="122"/>
      <c r="BF59" s="122"/>
      <c r="BG59" s="122"/>
      <c r="BH59" s="122"/>
      <c r="BI59" s="122"/>
      <c r="BJ59" s="122"/>
      <c r="BK59" s="122"/>
      <c r="BL59" s="122"/>
      <c r="BM59" s="122"/>
      <c r="BN59" s="122"/>
      <c r="BO59" s="122"/>
      <c r="BP59" s="122"/>
      <c r="BQ59" s="122"/>
      <c r="BR59" s="122"/>
      <c r="BS59" s="122"/>
      <c r="BT59" s="122"/>
      <c r="BU59" s="122"/>
      <c r="BV59" s="122"/>
      <c r="BW59" s="122"/>
      <c r="BX59" s="122"/>
      <c r="BY59" s="122"/>
      <c r="BZ59" s="122"/>
      <c r="CA59" s="122"/>
      <c r="CB59" s="122"/>
      <c r="CC59" s="122"/>
      <c r="CD59" s="122"/>
      <c r="CE59" s="122"/>
      <c r="CF59" s="122"/>
      <c r="CG59" s="122"/>
      <c r="CH59" s="122"/>
      <c r="CI59" s="122"/>
      <c r="CJ59" s="122"/>
      <c r="CK59" s="122"/>
      <c r="CL59" s="122"/>
      <c r="CM59" s="122"/>
      <c r="CN59" s="122"/>
      <c r="CO59" s="122"/>
      <c r="CP59" s="122"/>
      <c r="CQ59" s="122"/>
      <c r="CR59" s="122"/>
      <c r="CS59" s="122"/>
      <c r="CT59" s="122"/>
      <c r="CU59" s="122"/>
      <c r="CV59" s="122"/>
      <c r="CW59" s="122"/>
      <c r="CX59" s="122"/>
      <c r="CY59" s="122"/>
      <c r="CZ59" s="122"/>
      <c r="DA59" s="122"/>
      <c r="DB59" s="122"/>
      <c r="DC59" s="122"/>
      <c r="DD59" s="122"/>
      <c r="DE59" s="122"/>
      <c r="DF59" s="122"/>
      <c r="DG59" s="122"/>
      <c r="DH59" s="122"/>
      <c r="DI59" s="122"/>
      <c r="DJ59" s="122"/>
      <c r="DK59" s="122"/>
      <c r="DL59" s="122"/>
      <c r="DM59" s="122"/>
      <c r="DN59" s="122"/>
      <c r="DO59" s="122"/>
      <c r="DP59" s="122"/>
      <c r="DQ59" s="122"/>
      <c r="DR59" s="122"/>
      <c r="DS59" s="122"/>
      <c r="DT59" s="122"/>
      <c r="DU59" s="122"/>
      <c r="DV59" s="122"/>
      <c r="DW59" s="122"/>
      <c r="DX59" s="122"/>
      <c r="DY59" s="122"/>
      <c r="DZ59" s="122"/>
      <c r="EA59" s="122"/>
      <c r="EB59" s="122"/>
      <c r="EC59" s="122"/>
      <c r="ED59" s="122"/>
      <c r="EE59" s="122"/>
      <c r="EF59" s="122"/>
      <c r="EG59" s="122"/>
      <c r="EH59" s="122"/>
      <c r="EI59" s="122"/>
      <c r="EJ59" s="122"/>
      <c r="EK59" s="122"/>
      <c r="EL59" s="122"/>
      <c r="EM59" s="122"/>
      <c r="EN59" s="122"/>
      <c r="EO59" s="122"/>
      <c r="EP59" s="122"/>
      <c r="EQ59" s="122"/>
      <c r="ER59" s="122"/>
      <c r="ES59" s="122"/>
      <c r="ET59" s="122"/>
      <c r="EU59" s="122"/>
      <c r="EV59" s="122"/>
      <c r="EW59" s="122"/>
      <c r="EX59" s="122"/>
      <c r="EY59" s="122"/>
      <c r="EZ59" s="122"/>
      <c r="FA59" s="122"/>
      <c r="FB59" s="122"/>
      <c r="FC59" s="122"/>
      <c r="FD59" s="122"/>
      <c r="FE59" s="122"/>
      <c r="FF59" s="122"/>
      <c r="FG59" s="122"/>
      <c r="FH59" s="122"/>
      <c r="FI59" s="122"/>
      <c r="FJ59" s="122"/>
      <c r="FK59" s="122"/>
      <c r="FL59" s="122"/>
      <c r="FM59" s="122"/>
      <c r="FN59" s="122"/>
      <c r="FO59" s="122"/>
      <c r="FP59" s="122"/>
      <c r="FQ59" s="122"/>
      <c r="FR59" s="122"/>
      <c r="FS59" s="122"/>
      <c r="FT59" s="122"/>
      <c r="FU59" s="122"/>
      <c r="FV59" s="122"/>
      <c r="FW59" s="122"/>
      <c r="FX59" s="122"/>
      <c r="FY59" s="122"/>
      <c r="FZ59" s="122"/>
      <c r="GA59" s="122"/>
      <c r="GB59" s="122"/>
      <c r="GC59" s="122"/>
    </row>
    <row r="60" spans="1:185" s="121" customFormat="1">
      <c r="A60" s="96"/>
      <c r="B60" s="226"/>
      <c r="C60" s="206"/>
      <c r="D60" s="261"/>
      <c r="E60" s="209"/>
      <c r="F60" s="209"/>
      <c r="G60" s="209"/>
      <c r="H60" s="209"/>
      <c r="I60" s="209"/>
      <c r="J60" s="209"/>
      <c r="K60" s="210"/>
      <c r="L60" s="210"/>
      <c r="M60" s="210"/>
      <c r="N60" s="210"/>
      <c r="O60" s="210"/>
      <c r="P60" s="210"/>
      <c r="Q60" s="210"/>
      <c r="R60" s="210"/>
      <c r="S60" s="210"/>
      <c r="T60" s="210"/>
      <c r="U60" s="210"/>
      <c r="V60" s="210"/>
      <c r="W60" s="210"/>
      <c r="X60" s="210"/>
      <c r="Y60" s="210"/>
      <c r="Z60" s="210"/>
      <c r="AA60" s="210"/>
      <c r="AB60" s="210"/>
      <c r="AC60" s="210"/>
      <c r="AD60" s="210"/>
      <c r="AE60" s="210"/>
      <c r="AF60" s="210"/>
      <c r="AG60" s="210"/>
      <c r="AH60" s="170"/>
      <c r="AI60" s="171"/>
      <c r="AJ60" s="120"/>
      <c r="AK60" s="120"/>
      <c r="AL60" s="120"/>
      <c r="AM60" s="120"/>
      <c r="AN60" s="120"/>
      <c r="AO60" s="120"/>
      <c r="AP60" s="120"/>
      <c r="AQ60" s="120"/>
      <c r="AR60" s="120"/>
      <c r="AS60" s="120"/>
      <c r="AT60" s="120"/>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c r="EU60" s="120"/>
      <c r="EV60" s="120"/>
      <c r="EW60" s="120"/>
      <c r="EX60" s="120"/>
      <c r="EY60" s="120"/>
      <c r="EZ60" s="120"/>
      <c r="FA60" s="120"/>
      <c r="FB60" s="120"/>
      <c r="FC60" s="120"/>
      <c r="FD60" s="120"/>
      <c r="FE60" s="120"/>
      <c r="FF60" s="120"/>
      <c r="FG60" s="120"/>
      <c r="FH60" s="120"/>
      <c r="FI60" s="120"/>
      <c r="FJ60" s="120"/>
      <c r="FK60" s="120"/>
      <c r="FL60" s="120"/>
      <c r="FM60" s="120"/>
      <c r="FN60" s="120"/>
      <c r="FO60" s="120"/>
      <c r="FP60" s="120"/>
      <c r="FQ60" s="120"/>
      <c r="FR60" s="120"/>
      <c r="FS60" s="120"/>
      <c r="FT60" s="120"/>
      <c r="FU60" s="120"/>
      <c r="FV60" s="120"/>
      <c r="FW60" s="120"/>
      <c r="FX60" s="120"/>
      <c r="FY60" s="120"/>
      <c r="FZ60" s="120"/>
      <c r="GA60" s="120"/>
      <c r="GB60" s="120"/>
      <c r="GC60" s="120"/>
    </row>
    <row r="61" spans="1:185" s="121" customFormat="1">
      <c r="A61" s="96" t="s">
        <v>1840</v>
      </c>
      <c r="B61" s="227" t="s">
        <v>2181</v>
      </c>
      <c r="C61" s="206">
        <f>SUM(E61:AG61)</f>
        <v>0</v>
      </c>
      <c r="D61" s="258">
        <v>703718400</v>
      </c>
      <c r="E61" s="195"/>
      <c r="F61" s="195"/>
      <c r="G61" s="195"/>
      <c r="H61" s="195"/>
      <c r="I61" s="195"/>
      <c r="J61" s="195"/>
      <c r="K61" s="196"/>
      <c r="L61" s="196"/>
      <c r="M61" s="196"/>
      <c r="N61" s="196"/>
      <c r="O61" s="196"/>
      <c r="P61" s="196"/>
      <c r="Q61" s="196"/>
      <c r="R61" s="196"/>
      <c r="S61" s="196"/>
      <c r="T61" s="196"/>
      <c r="U61" s="196"/>
      <c r="V61" s="196"/>
      <c r="W61" s="196"/>
      <c r="X61" s="196"/>
      <c r="Y61" s="196"/>
      <c r="Z61" s="196"/>
      <c r="AA61" s="196"/>
      <c r="AB61" s="196"/>
      <c r="AC61" s="196"/>
      <c r="AD61" s="196"/>
      <c r="AE61" s="196"/>
      <c r="AF61" s="196"/>
      <c r="AG61" s="196"/>
      <c r="AH61" s="170"/>
      <c r="AI61" s="171"/>
      <c r="AJ61" s="120"/>
      <c r="AK61" s="120"/>
      <c r="AL61" s="120"/>
      <c r="AM61" s="120"/>
      <c r="AN61" s="120"/>
      <c r="AO61" s="120"/>
      <c r="AP61" s="120"/>
      <c r="AQ61" s="120"/>
      <c r="AR61" s="120"/>
      <c r="AS61" s="120"/>
      <c r="AT61" s="120"/>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c r="EU61" s="120"/>
      <c r="EV61" s="120"/>
      <c r="EW61" s="120"/>
      <c r="EX61" s="120"/>
      <c r="EY61" s="120"/>
      <c r="EZ61" s="120"/>
      <c r="FA61" s="120"/>
      <c r="FB61" s="120"/>
      <c r="FC61" s="120"/>
      <c r="FD61" s="120"/>
      <c r="FE61" s="120"/>
      <c r="FF61" s="120"/>
      <c r="FG61" s="120"/>
      <c r="FH61" s="120"/>
      <c r="FI61" s="120"/>
      <c r="FJ61" s="120"/>
      <c r="FK61" s="120"/>
      <c r="FL61" s="120"/>
      <c r="FM61" s="120"/>
      <c r="FN61" s="120"/>
      <c r="FO61" s="120"/>
      <c r="FP61" s="120"/>
      <c r="FQ61" s="120"/>
      <c r="FR61" s="120"/>
      <c r="FS61" s="120"/>
      <c r="FT61" s="120"/>
      <c r="FU61" s="120"/>
      <c r="FV61" s="120"/>
      <c r="FW61" s="120"/>
      <c r="FX61" s="120"/>
      <c r="FY61" s="120"/>
      <c r="FZ61" s="120"/>
      <c r="GA61" s="120"/>
      <c r="GB61" s="120"/>
      <c r="GC61" s="120"/>
    </row>
    <row r="62" spans="1:185" s="121" customFormat="1">
      <c r="A62" s="96" t="s">
        <v>1841</v>
      </c>
      <c r="B62" s="227" t="s">
        <v>2182</v>
      </c>
      <c r="C62" s="206">
        <f>SUM(E62:AG62)</f>
        <v>0</v>
      </c>
      <c r="D62" s="258">
        <v>82790000</v>
      </c>
      <c r="E62" s="195"/>
      <c r="F62" s="195"/>
      <c r="G62" s="195"/>
      <c r="H62" s="195"/>
      <c r="I62" s="195"/>
      <c r="J62" s="195"/>
      <c r="K62" s="196"/>
      <c r="L62" s="196"/>
      <c r="M62" s="196"/>
      <c r="N62" s="196"/>
      <c r="O62" s="196"/>
      <c r="P62" s="196"/>
      <c r="Q62" s="196"/>
      <c r="R62" s="196"/>
      <c r="S62" s="196"/>
      <c r="T62" s="196"/>
      <c r="U62" s="196"/>
      <c r="V62" s="196"/>
      <c r="W62" s="196"/>
      <c r="X62" s="196"/>
      <c r="Y62" s="196"/>
      <c r="Z62" s="196"/>
      <c r="AA62" s="196"/>
      <c r="AB62" s="196"/>
      <c r="AC62" s="196"/>
      <c r="AD62" s="196"/>
      <c r="AE62" s="196"/>
      <c r="AF62" s="196"/>
      <c r="AG62" s="196"/>
      <c r="AH62" s="170"/>
      <c r="AI62" s="171"/>
      <c r="AJ62" s="120"/>
      <c r="AK62" s="120"/>
      <c r="AL62" s="120"/>
      <c r="AM62" s="120"/>
      <c r="AN62" s="120"/>
      <c r="AO62" s="120"/>
      <c r="AP62" s="120"/>
      <c r="AQ62" s="120"/>
      <c r="AR62" s="120"/>
      <c r="AS62" s="120"/>
      <c r="AT62" s="120"/>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0"/>
      <c r="FA62" s="120"/>
      <c r="FB62" s="120"/>
      <c r="FC62" s="120"/>
      <c r="FD62" s="120"/>
      <c r="FE62" s="120"/>
      <c r="FF62" s="120"/>
      <c r="FG62" s="120"/>
      <c r="FH62" s="120"/>
      <c r="FI62" s="120"/>
      <c r="FJ62" s="120"/>
      <c r="FK62" s="120"/>
      <c r="FL62" s="120"/>
      <c r="FM62" s="120"/>
      <c r="FN62" s="120"/>
      <c r="FO62" s="120"/>
      <c r="FP62" s="120"/>
      <c r="FQ62" s="120"/>
      <c r="FR62" s="120"/>
      <c r="FS62" s="120"/>
      <c r="FT62" s="120"/>
      <c r="FU62" s="120"/>
      <c r="FV62" s="120"/>
      <c r="FW62" s="120"/>
      <c r="FX62" s="120"/>
      <c r="FY62" s="120"/>
      <c r="FZ62" s="120"/>
      <c r="GA62" s="120"/>
      <c r="GB62" s="120"/>
      <c r="GC62" s="120"/>
    </row>
    <row r="63" spans="1:185" s="121" customFormat="1">
      <c r="A63" s="96" t="s">
        <v>1842</v>
      </c>
      <c r="B63" s="227" t="s">
        <v>2183</v>
      </c>
      <c r="C63" s="206">
        <f>SUM(E63:AG63)</f>
        <v>0</v>
      </c>
      <c r="D63" s="258">
        <v>41395000</v>
      </c>
      <c r="E63" s="195"/>
      <c r="F63" s="195"/>
      <c r="G63" s="195"/>
      <c r="H63" s="195"/>
      <c r="I63" s="195"/>
      <c r="J63" s="195"/>
      <c r="K63" s="196"/>
      <c r="L63" s="196"/>
      <c r="M63" s="196"/>
      <c r="N63" s="196"/>
      <c r="O63" s="196"/>
      <c r="P63" s="196"/>
      <c r="Q63" s="196"/>
      <c r="R63" s="196"/>
      <c r="S63" s="196"/>
      <c r="T63" s="196"/>
      <c r="U63" s="196"/>
      <c r="V63" s="196"/>
      <c r="W63" s="196"/>
      <c r="X63" s="196"/>
      <c r="Y63" s="196"/>
      <c r="Z63" s="196"/>
      <c r="AA63" s="196"/>
      <c r="AB63" s="196"/>
      <c r="AC63" s="196"/>
      <c r="AD63" s="196"/>
      <c r="AE63" s="196"/>
      <c r="AF63" s="196"/>
      <c r="AG63" s="196"/>
      <c r="AH63" s="170"/>
      <c r="AI63" s="171"/>
      <c r="AJ63" s="120"/>
      <c r="AK63" s="120"/>
      <c r="AL63" s="120"/>
      <c r="AM63" s="120"/>
      <c r="AN63" s="120"/>
      <c r="AO63" s="120"/>
      <c r="AP63" s="120"/>
      <c r="AQ63" s="120"/>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c r="EU63" s="120"/>
      <c r="EV63" s="120"/>
      <c r="EW63" s="120"/>
      <c r="EX63" s="120"/>
      <c r="EY63" s="120"/>
      <c r="EZ63" s="120"/>
      <c r="FA63" s="120"/>
      <c r="FB63" s="120"/>
      <c r="FC63" s="120"/>
      <c r="FD63" s="120"/>
      <c r="FE63" s="120"/>
      <c r="FF63" s="120"/>
      <c r="FG63" s="120"/>
      <c r="FH63" s="120"/>
      <c r="FI63" s="120"/>
      <c r="FJ63" s="120"/>
      <c r="FK63" s="120"/>
      <c r="FL63" s="120"/>
      <c r="FM63" s="120"/>
      <c r="FN63" s="120"/>
      <c r="FO63" s="120"/>
      <c r="FP63" s="120"/>
      <c r="FQ63" s="120"/>
      <c r="FR63" s="120"/>
      <c r="FS63" s="120"/>
      <c r="FT63" s="120"/>
      <c r="FU63" s="120"/>
      <c r="FV63" s="120"/>
      <c r="FW63" s="120"/>
      <c r="FX63" s="120"/>
      <c r="FY63" s="120"/>
      <c r="FZ63" s="120"/>
      <c r="GA63" s="120"/>
      <c r="GB63" s="120"/>
      <c r="GC63" s="120"/>
    </row>
    <row r="64" spans="1:185" s="123" customFormat="1">
      <c r="A64" s="97" t="s">
        <v>1843</v>
      </c>
      <c r="B64" s="226" t="s">
        <v>2184</v>
      </c>
      <c r="C64" s="204">
        <f>SUM(E64:AG64)</f>
        <v>0</v>
      </c>
      <c r="D64" s="236">
        <f t="shared" ref="D64:AG64" si="15">SUM(D61:D63)</f>
        <v>827903400</v>
      </c>
      <c r="E64" s="204">
        <f t="shared" si="15"/>
        <v>0</v>
      </c>
      <c r="F64" s="204">
        <f t="shared" si="15"/>
        <v>0</v>
      </c>
      <c r="G64" s="204">
        <f t="shared" si="15"/>
        <v>0</v>
      </c>
      <c r="H64" s="204">
        <f t="shared" si="15"/>
        <v>0</v>
      </c>
      <c r="I64" s="204">
        <f t="shared" si="15"/>
        <v>0</v>
      </c>
      <c r="J64" s="204">
        <f t="shared" si="15"/>
        <v>0</v>
      </c>
      <c r="K64" s="204">
        <f t="shared" si="15"/>
        <v>0</v>
      </c>
      <c r="L64" s="204">
        <f t="shared" si="15"/>
        <v>0</v>
      </c>
      <c r="M64" s="204">
        <f t="shared" si="15"/>
        <v>0</v>
      </c>
      <c r="N64" s="204">
        <f t="shared" si="15"/>
        <v>0</v>
      </c>
      <c r="O64" s="204">
        <f t="shared" si="15"/>
        <v>0</v>
      </c>
      <c r="P64" s="204">
        <f t="shared" si="15"/>
        <v>0</v>
      </c>
      <c r="Q64" s="204">
        <f t="shared" si="15"/>
        <v>0</v>
      </c>
      <c r="R64" s="204">
        <f t="shared" si="15"/>
        <v>0</v>
      </c>
      <c r="S64" s="204">
        <f t="shared" si="15"/>
        <v>0</v>
      </c>
      <c r="T64" s="204">
        <f t="shared" si="15"/>
        <v>0</v>
      </c>
      <c r="U64" s="204">
        <f t="shared" si="15"/>
        <v>0</v>
      </c>
      <c r="V64" s="204">
        <f t="shared" si="15"/>
        <v>0</v>
      </c>
      <c r="W64" s="204">
        <f t="shared" si="15"/>
        <v>0</v>
      </c>
      <c r="X64" s="204">
        <f t="shared" si="15"/>
        <v>0</v>
      </c>
      <c r="Y64" s="204">
        <f t="shared" si="15"/>
        <v>0</v>
      </c>
      <c r="Z64" s="204">
        <f t="shared" si="15"/>
        <v>0</v>
      </c>
      <c r="AA64" s="204">
        <f t="shared" si="15"/>
        <v>0</v>
      </c>
      <c r="AB64" s="204">
        <f t="shared" si="15"/>
        <v>0</v>
      </c>
      <c r="AC64" s="204">
        <f t="shared" si="15"/>
        <v>0</v>
      </c>
      <c r="AD64" s="204">
        <f t="shared" si="15"/>
        <v>0</v>
      </c>
      <c r="AE64" s="204">
        <f t="shared" si="15"/>
        <v>0</v>
      </c>
      <c r="AF64" s="204">
        <f t="shared" si="15"/>
        <v>0</v>
      </c>
      <c r="AG64" s="204">
        <f t="shared" si="15"/>
        <v>0</v>
      </c>
      <c r="AH64" s="172"/>
      <c r="AI64" s="173"/>
      <c r="AJ64" s="122"/>
      <c r="AK64" s="122"/>
      <c r="AL64" s="122"/>
      <c r="AM64" s="122"/>
      <c r="AN64" s="122"/>
      <c r="AO64" s="122"/>
      <c r="AP64" s="122"/>
      <c r="AQ64" s="122"/>
      <c r="AR64" s="122"/>
      <c r="AS64" s="122"/>
      <c r="AT64" s="122"/>
      <c r="AU64" s="122"/>
      <c r="AV64" s="122"/>
      <c r="AW64" s="122"/>
      <c r="AX64" s="122"/>
      <c r="AY64" s="122"/>
      <c r="AZ64" s="122"/>
      <c r="BA64" s="122"/>
      <c r="BB64" s="122"/>
      <c r="BC64" s="122"/>
      <c r="BD64" s="122"/>
      <c r="BE64" s="122"/>
      <c r="BF64" s="122"/>
      <c r="BG64" s="122"/>
      <c r="BH64" s="122"/>
      <c r="BI64" s="122"/>
      <c r="BJ64" s="122"/>
      <c r="BK64" s="122"/>
      <c r="BL64" s="122"/>
      <c r="BM64" s="122"/>
      <c r="BN64" s="122"/>
      <c r="BO64" s="122"/>
      <c r="BP64" s="122"/>
      <c r="BQ64" s="122"/>
      <c r="BR64" s="122"/>
      <c r="BS64" s="122"/>
      <c r="BT64" s="122"/>
      <c r="BU64" s="122"/>
      <c r="BV64" s="122"/>
      <c r="BW64" s="122"/>
      <c r="BX64" s="122"/>
      <c r="BY64" s="122"/>
      <c r="BZ64" s="122"/>
      <c r="CA64" s="122"/>
      <c r="CB64" s="122"/>
      <c r="CC64" s="122"/>
      <c r="CD64" s="122"/>
      <c r="CE64" s="122"/>
      <c r="CF64" s="122"/>
      <c r="CG64" s="122"/>
      <c r="CH64" s="122"/>
      <c r="CI64" s="122"/>
      <c r="CJ64" s="122"/>
      <c r="CK64" s="122"/>
      <c r="CL64" s="122"/>
      <c r="CM64" s="122"/>
      <c r="CN64" s="122"/>
      <c r="CO64" s="122"/>
      <c r="CP64" s="122"/>
      <c r="CQ64" s="122"/>
      <c r="CR64" s="122"/>
      <c r="CS64" s="122"/>
      <c r="CT64" s="122"/>
      <c r="CU64" s="122"/>
      <c r="CV64" s="122"/>
      <c r="CW64" s="122"/>
      <c r="CX64" s="122"/>
      <c r="CY64" s="122"/>
      <c r="CZ64" s="122"/>
      <c r="DA64" s="122"/>
      <c r="DB64" s="122"/>
      <c r="DC64" s="122"/>
      <c r="DD64" s="122"/>
      <c r="DE64" s="122"/>
      <c r="DF64" s="122"/>
      <c r="DG64" s="122"/>
      <c r="DH64" s="122"/>
      <c r="DI64" s="122"/>
      <c r="DJ64" s="122"/>
      <c r="DK64" s="122"/>
      <c r="DL64" s="122"/>
      <c r="DM64" s="122"/>
      <c r="DN64" s="122"/>
      <c r="DO64" s="122"/>
      <c r="DP64" s="122"/>
      <c r="DQ64" s="122"/>
      <c r="DR64" s="122"/>
      <c r="DS64" s="122"/>
      <c r="DT64" s="122"/>
      <c r="DU64" s="122"/>
      <c r="DV64" s="122"/>
      <c r="DW64" s="122"/>
      <c r="DX64" s="122"/>
      <c r="DY64" s="122"/>
      <c r="DZ64" s="122"/>
      <c r="EA64" s="122"/>
      <c r="EB64" s="122"/>
      <c r="EC64" s="122"/>
      <c r="ED64" s="122"/>
      <c r="EE64" s="122"/>
      <c r="EF64" s="122"/>
      <c r="EG64" s="122"/>
      <c r="EH64" s="122"/>
      <c r="EI64" s="122"/>
      <c r="EJ64" s="122"/>
      <c r="EK64" s="122"/>
      <c r="EL64" s="122"/>
      <c r="EM64" s="122"/>
      <c r="EN64" s="122"/>
      <c r="EO64" s="122"/>
      <c r="EP64" s="122"/>
      <c r="EQ64" s="122"/>
      <c r="ER64" s="122"/>
      <c r="ES64" s="122"/>
      <c r="ET64" s="122"/>
      <c r="EU64" s="122"/>
      <c r="EV64" s="122"/>
      <c r="EW64" s="122"/>
      <c r="EX64" s="122"/>
      <c r="EY64" s="122"/>
      <c r="EZ64" s="122"/>
      <c r="FA64" s="122"/>
      <c r="FB64" s="122"/>
      <c r="FC64" s="122"/>
      <c r="FD64" s="122"/>
      <c r="FE64" s="122"/>
      <c r="FF64" s="122"/>
      <c r="FG64" s="122"/>
      <c r="FH64" s="122"/>
      <c r="FI64" s="122"/>
      <c r="FJ64" s="122"/>
      <c r="FK64" s="122"/>
      <c r="FL64" s="122"/>
      <c r="FM64" s="122"/>
      <c r="FN64" s="122"/>
      <c r="FO64" s="122"/>
      <c r="FP64" s="122"/>
      <c r="FQ64" s="122"/>
      <c r="FR64" s="122"/>
      <c r="FS64" s="122"/>
      <c r="FT64" s="122"/>
      <c r="FU64" s="122"/>
      <c r="FV64" s="122"/>
      <c r="FW64" s="122"/>
      <c r="FX64" s="122"/>
      <c r="FY64" s="122"/>
      <c r="FZ64" s="122"/>
      <c r="GA64" s="122"/>
      <c r="GB64" s="122"/>
      <c r="GC64" s="122"/>
    </row>
    <row r="65" spans="1:185" s="121" customFormat="1">
      <c r="A65" s="96"/>
      <c r="B65" s="226"/>
      <c r="C65" s="206"/>
      <c r="D65" s="261"/>
      <c r="E65" s="209"/>
      <c r="F65" s="209"/>
      <c r="G65" s="209"/>
      <c r="H65" s="209"/>
      <c r="I65" s="209"/>
      <c r="J65" s="209"/>
      <c r="K65" s="209"/>
      <c r="L65" s="209"/>
      <c r="M65" s="210"/>
      <c r="N65" s="210"/>
      <c r="O65" s="210"/>
      <c r="P65" s="210"/>
      <c r="Q65" s="210"/>
      <c r="R65" s="210"/>
      <c r="S65" s="210"/>
      <c r="T65" s="210"/>
      <c r="U65" s="210"/>
      <c r="V65" s="210"/>
      <c r="W65" s="210"/>
      <c r="X65" s="210"/>
      <c r="Y65" s="210"/>
      <c r="Z65" s="210"/>
      <c r="AA65" s="210"/>
      <c r="AB65" s="210"/>
      <c r="AC65" s="210"/>
      <c r="AD65" s="210"/>
      <c r="AE65" s="210"/>
      <c r="AF65" s="210"/>
      <c r="AG65" s="210"/>
      <c r="AH65" s="170"/>
      <c r="AI65" s="171"/>
      <c r="AJ65" s="120"/>
      <c r="AK65" s="120"/>
      <c r="AL65" s="120"/>
      <c r="AM65" s="120"/>
      <c r="AN65" s="120"/>
      <c r="AO65" s="120"/>
      <c r="AP65" s="120"/>
      <c r="AQ65" s="120"/>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c r="EU65" s="120"/>
      <c r="EV65" s="120"/>
      <c r="EW65" s="120"/>
      <c r="EX65" s="120"/>
      <c r="EY65" s="120"/>
      <c r="EZ65" s="120"/>
      <c r="FA65" s="120"/>
      <c r="FB65" s="120"/>
      <c r="FC65" s="120"/>
      <c r="FD65" s="120"/>
      <c r="FE65" s="120"/>
      <c r="FF65" s="120"/>
      <c r="FG65" s="120"/>
      <c r="FH65" s="120"/>
      <c r="FI65" s="120"/>
      <c r="FJ65" s="120"/>
      <c r="FK65" s="120"/>
      <c r="FL65" s="120"/>
      <c r="FM65" s="120"/>
      <c r="FN65" s="120"/>
      <c r="FO65" s="120"/>
      <c r="FP65" s="120"/>
      <c r="FQ65" s="120"/>
      <c r="FR65" s="120"/>
      <c r="FS65" s="120"/>
      <c r="FT65" s="120"/>
      <c r="FU65" s="120"/>
      <c r="FV65" s="120"/>
      <c r="FW65" s="120"/>
      <c r="FX65" s="120"/>
      <c r="FY65" s="120"/>
      <c r="FZ65" s="120"/>
      <c r="GA65" s="120"/>
      <c r="GB65" s="120"/>
      <c r="GC65" s="120"/>
    </row>
    <row r="66" spans="1:185" s="121" customFormat="1">
      <c r="A66" s="96" t="s">
        <v>1844</v>
      </c>
      <c r="B66" s="227" t="s">
        <v>2185</v>
      </c>
      <c r="C66" s="206">
        <f>SUM(E66:AG66)</f>
        <v>0</v>
      </c>
      <c r="D66" s="258">
        <v>155231250</v>
      </c>
      <c r="E66" s="195"/>
      <c r="F66" s="195"/>
      <c r="G66" s="195"/>
      <c r="H66" s="195"/>
      <c r="I66" s="195"/>
      <c r="J66" s="195"/>
      <c r="K66" s="196"/>
      <c r="L66" s="196"/>
      <c r="M66" s="196"/>
      <c r="N66" s="196"/>
      <c r="O66" s="196"/>
      <c r="P66" s="196"/>
      <c r="Q66" s="196"/>
      <c r="R66" s="196"/>
      <c r="S66" s="196"/>
      <c r="T66" s="196"/>
      <c r="U66" s="196"/>
      <c r="V66" s="196"/>
      <c r="W66" s="196"/>
      <c r="X66" s="196"/>
      <c r="Y66" s="196"/>
      <c r="Z66" s="196"/>
      <c r="AA66" s="196"/>
      <c r="AB66" s="196"/>
      <c r="AC66" s="196"/>
      <c r="AD66" s="196"/>
      <c r="AE66" s="196"/>
      <c r="AF66" s="196"/>
      <c r="AG66" s="196"/>
      <c r="AH66" s="170"/>
      <c r="AI66" s="171"/>
      <c r="AJ66" s="120"/>
      <c r="AK66" s="120"/>
      <c r="AL66" s="120"/>
      <c r="AM66" s="120"/>
      <c r="AN66" s="120"/>
      <c r="AO66" s="120"/>
      <c r="AP66" s="120"/>
      <c r="AQ66" s="120"/>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c r="EU66" s="120"/>
      <c r="EV66" s="120"/>
      <c r="EW66" s="120"/>
      <c r="EX66" s="120"/>
      <c r="EY66" s="120"/>
      <c r="EZ66" s="120"/>
      <c r="FA66" s="120"/>
      <c r="FB66" s="120"/>
      <c r="FC66" s="120"/>
      <c r="FD66" s="120"/>
      <c r="FE66" s="120"/>
      <c r="FF66" s="120"/>
      <c r="FG66" s="120"/>
      <c r="FH66" s="120"/>
      <c r="FI66" s="120"/>
      <c r="FJ66" s="120"/>
      <c r="FK66" s="120"/>
      <c r="FL66" s="120"/>
      <c r="FM66" s="120"/>
      <c r="FN66" s="120"/>
      <c r="FO66" s="120"/>
      <c r="FP66" s="120"/>
      <c r="FQ66" s="120"/>
      <c r="FR66" s="120"/>
      <c r="FS66" s="120"/>
      <c r="FT66" s="120"/>
      <c r="FU66" s="120"/>
      <c r="FV66" s="120"/>
      <c r="FW66" s="120"/>
      <c r="FX66" s="120"/>
      <c r="FY66" s="120"/>
      <c r="FZ66" s="120"/>
      <c r="GA66" s="120"/>
      <c r="GB66" s="120"/>
      <c r="GC66" s="120"/>
    </row>
    <row r="67" spans="1:185" s="123" customFormat="1">
      <c r="A67" s="97" t="s">
        <v>1845</v>
      </c>
      <c r="B67" s="226" t="s">
        <v>2186</v>
      </c>
      <c r="C67" s="204">
        <f>SUM(E67:AG67)</f>
        <v>0</v>
      </c>
      <c r="D67" s="234">
        <v>1034879250</v>
      </c>
      <c r="E67" s="198"/>
      <c r="F67" s="198"/>
      <c r="G67" s="198"/>
      <c r="H67" s="198"/>
      <c r="I67" s="198"/>
      <c r="J67" s="198"/>
      <c r="K67" s="199"/>
      <c r="L67" s="199"/>
      <c r="M67" s="199"/>
      <c r="N67" s="199"/>
      <c r="O67" s="199"/>
      <c r="P67" s="199"/>
      <c r="Q67" s="199"/>
      <c r="R67" s="199"/>
      <c r="S67" s="199"/>
      <c r="T67" s="199"/>
      <c r="U67" s="199"/>
      <c r="V67" s="199"/>
      <c r="W67" s="199"/>
      <c r="X67" s="199"/>
      <c r="Y67" s="199"/>
      <c r="Z67" s="199"/>
      <c r="AA67" s="199"/>
      <c r="AB67" s="199"/>
      <c r="AC67" s="199"/>
      <c r="AD67" s="199"/>
      <c r="AE67" s="199"/>
      <c r="AF67" s="199"/>
      <c r="AG67" s="199"/>
      <c r="AH67" s="172"/>
      <c r="AI67" s="173"/>
      <c r="AJ67" s="122"/>
      <c r="AK67" s="122"/>
      <c r="AL67" s="122"/>
      <c r="AM67" s="122"/>
      <c r="AN67" s="122"/>
      <c r="AO67" s="122"/>
      <c r="AP67" s="122"/>
      <c r="AQ67" s="122"/>
      <c r="AR67" s="122"/>
      <c r="AS67" s="122"/>
      <c r="AT67" s="122"/>
      <c r="AU67" s="122"/>
      <c r="AV67" s="122"/>
      <c r="AW67" s="122"/>
      <c r="AX67" s="122"/>
      <c r="AY67" s="122"/>
      <c r="AZ67" s="122"/>
      <c r="BA67" s="122"/>
      <c r="BB67" s="122"/>
      <c r="BC67" s="122"/>
      <c r="BD67" s="122"/>
      <c r="BE67" s="122"/>
      <c r="BF67" s="122"/>
      <c r="BG67" s="122"/>
      <c r="BH67" s="122"/>
      <c r="BI67" s="122"/>
      <c r="BJ67" s="122"/>
      <c r="BK67" s="122"/>
      <c r="BL67" s="122"/>
      <c r="BM67" s="122"/>
      <c r="BN67" s="122"/>
      <c r="BO67" s="122"/>
      <c r="BP67" s="122"/>
      <c r="BQ67" s="122"/>
      <c r="BR67" s="122"/>
      <c r="BS67" s="122"/>
      <c r="BT67" s="122"/>
      <c r="BU67" s="122"/>
      <c r="BV67" s="122"/>
      <c r="BW67" s="122"/>
      <c r="BX67" s="122"/>
      <c r="BY67" s="122"/>
      <c r="BZ67" s="122"/>
      <c r="CA67" s="122"/>
      <c r="CB67" s="122"/>
      <c r="CC67" s="122"/>
      <c r="CD67" s="122"/>
      <c r="CE67" s="122"/>
      <c r="CF67" s="122"/>
      <c r="CG67" s="122"/>
      <c r="CH67" s="122"/>
      <c r="CI67" s="122"/>
      <c r="CJ67" s="122"/>
      <c r="CK67" s="122"/>
      <c r="CL67" s="122"/>
      <c r="CM67" s="122"/>
      <c r="CN67" s="122"/>
      <c r="CO67" s="122"/>
      <c r="CP67" s="122"/>
      <c r="CQ67" s="122"/>
      <c r="CR67" s="122"/>
      <c r="CS67" s="122"/>
      <c r="CT67" s="122"/>
      <c r="CU67" s="122"/>
      <c r="CV67" s="122"/>
      <c r="CW67" s="122"/>
      <c r="CX67" s="122"/>
      <c r="CY67" s="122"/>
      <c r="CZ67" s="122"/>
      <c r="DA67" s="122"/>
      <c r="DB67" s="122"/>
      <c r="DC67" s="122"/>
      <c r="DD67" s="122"/>
      <c r="DE67" s="122"/>
      <c r="DF67" s="122"/>
      <c r="DG67" s="122"/>
      <c r="DH67" s="122"/>
      <c r="DI67" s="122"/>
      <c r="DJ67" s="122"/>
      <c r="DK67" s="122"/>
      <c r="DL67" s="122"/>
      <c r="DM67" s="122"/>
      <c r="DN67" s="122"/>
      <c r="DO67" s="122"/>
      <c r="DP67" s="122"/>
      <c r="DQ67" s="122"/>
      <c r="DR67" s="122"/>
      <c r="DS67" s="122"/>
      <c r="DT67" s="122"/>
      <c r="DU67" s="122"/>
      <c r="DV67" s="122"/>
      <c r="DW67" s="122"/>
      <c r="DX67" s="122"/>
      <c r="DY67" s="122"/>
      <c r="DZ67" s="122"/>
      <c r="EA67" s="122"/>
      <c r="EB67" s="122"/>
      <c r="EC67" s="122"/>
      <c r="ED67" s="122"/>
      <c r="EE67" s="122"/>
      <c r="EF67" s="122"/>
      <c r="EG67" s="122"/>
      <c r="EH67" s="122"/>
      <c r="EI67" s="122"/>
      <c r="EJ67" s="122"/>
      <c r="EK67" s="122"/>
      <c r="EL67" s="122"/>
      <c r="EM67" s="122"/>
      <c r="EN67" s="122"/>
      <c r="EO67" s="122"/>
      <c r="EP67" s="122"/>
      <c r="EQ67" s="122"/>
      <c r="ER67" s="122"/>
      <c r="ES67" s="122"/>
      <c r="ET67" s="122"/>
      <c r="EU67" s="122"/>
      <c r="EV67" s="122"/>
      <c r="EW67" s="122"/>
      <c r="EX67" s="122"/>
      <c r="EY67" s="122"/>
      <c r="EZ67" s="122"/>
      <c r="FA67" s="122"/>
      <c r="FB67" s="122"/>
      <c r="FC67" s="122"/>
      <c r="FD67" s="122"/>
      <c r="FE67" s="122"/>
      <c r="FF67" s="122"/>
      <c r="FG67" s="122"/>
      <c r="FH67" s="122"/>
      <c r="FI67" s="122"/>
      <c r="FJ67" s="122"/>
      <c r="FK67" s="122"/>
      <c r="FL67" s="122"/>
      <c r="FM67" s="122"/>
      <c r="FN67" s="122"/>
      <c r="FO67" s="122"/>
      <c r="FP67" s="122"/>
      <c r="FQ67" s="122"/>
      <c r="FR67" s="122"/>
      <c r="FS67" s="122"/>
      <c r="FT67" s="122"/>
      <c r="FU67" s="122"/>
      <c r="FV67" s="122"/>
      <c r="FW67" s="122"/>
      <c r="FX67" s="122"/>
      <c r="FY67" s="122"/>
      <c r="FZ67" s="122"/>
      <c r="GA67" s="122"/>
      <c r="GB67" s="122"/>
      <c r="GC67" s="122"/>
    </row>
    <row r="68" spans="1:185" s="123" customFormat="1">
      <c r="A68" s="97"/>
      <c r="B68" s="93"/>
      <c r="C68" s="204"/>
      <c r="D68" s="263"/>
      <c r="E68" s="205"/>
      <c r="F68" s="205"/>
      <c r="G68" s="205"/>
      <c r="H68" s="205"/>
      <c r="I68" s="205"/>
      <c r="J68" s="205"/>
      <c r="K68" s="205"/>
      <c r="L68" s="205"/>
      <c r="M68" s="213"/>
      <c r="N68" s="213"/>
      <c r="O68" s="213"/>
      <c r="P68" s="213"/>
      <c r="Q68" s="213"/>
      <c r="R68" s="213"/>
      <c r="S68" s="213"/>
      <c r="T68" s="213"/>
      <c r="U68" s="213"/>
      <c r="V68" s="213"/>
      <c r="W68" s="213"/>
      <c r="X68" s="213"/>
      <c r="Y68" s="213"/>
      <c r="Z68" s="213"/>
      <c r="AA68" s="213"/>
      <c r="AB68" s="213"/>
      <c r="AC68" s="213"/>
      <c r="AD68" s="213"/>
      <c r="AE68" s="213"/>
      <c r="AF68" s="213"/>
      <c r="AG68" s="213"/>
      <c r="AH68" s="172"/>
      <c r="AI68" s="173"/>
      <c r="AJ68" s="122"/>
      <c r="AK68" s="122"/>
      <c r="AL68" s="122"/>
      <c r="AM68" s="122"/>
      <c r="AN68" s="122"/>
      <c r="AO68" s="122"/>
      <c r="AP68" s="122"/>
      <c r="AQ68" s="122"/>
      <c r="AR68" s="122"/>
      <c r="AS68" s="122"/>
      <c r="AT68" s="122"/>
      <c r="AU68" s="122"/>
      <c r="AV68" s="122"/>
      <c r="AW68" s="122"/>
      <c r="AX68" s="122"/>
      <c r="AY68" s="122"/>
      <c r="AZ68" s="122"/>
      <c r="BA68" s="122"/>
      <c r="BB68" s="122"/>
      <c r="BC68" s="122"/>
      <c r="BD68" s="122"/>
      <c r="BE68" s="122"/>
      <c r="BF68" s="122"/>
      <c r="BG68" s="122"/>
      <c r="BH68" s="122"/>
      <c r="BI68" s="122"/>
      <c r="BJ68" s="122"/>
      <c r="BK68" s="122"/>
      <c r="BL68" s="122"/>
      <c r="BM68" s="122"/>
      <c r="BN68" s="122"/>
      <c r="BO68" s="122"/>
      <c r="BP68" s="122"/>
      <c r="BQ68" s="122"/>
      <c r="BR68" s="122"/>
      <c r="BS68" s="122"/>
      <c r="BT68" s="122"/>
      <c r="BU68" s="122"/>
      <c r="BV68" s="122"/>
      <c r="BW68" s="122"/>
      <c r="BX68" s="122"/>
      <c r="BY68" s="122"/>
      <c r="BZ68" s="122"/>
      <c r="CA68" s="122"/>
      <c r="CB68" s="122"/>
      <c r="CC68" s="122"/>
      <c r="CD68" s="122"/>
      <c r="CE68" s="122"/>
      <c r="CF68" s="122"/>
      <c r="CG68" s="122"/>
      <c r="CH68" s="122"/>
      <c r="CI68" s="122"/>
      <c r="CJ68" s="122"/>
      <c r="CK68" s="122"/>
      <c r="CL68" s="122"/>
      <c r="CM68" s="122"/>
      <c r="CN68" s="122"/>
      <c r="CO68" s="122"/>
      <c r="CP68" s="122"/>
      <c r="CQ68" s="122"/>
      <c r="CR68" s="122"/>
      <c r="CS68" s="122"/>
      <c r="CT68" s="122"/>
      <c r="CU68" s="122"/>
      <c r="CV68" s="122"/>
      <c r="CW68" s="122"/>
      <c r="CX68" s="122"/>
      <c r="CY68" s="122"/>
      <c r="CZ68" s="122"/>
      <c r="DA68" s="122"/>
      <c r="DB68" s="122"/>
      <c r="DC68" s="122"/>
      <c r="DD68" s="122"/>
      <c r="DE68" s="122"/>
      <c r="DF68" s="122"/>
      <c r="DG68" s="122"/>
      <c r="DH68" s="122"/>
      <c r="DI68" s="122"/>
      <c r="DJ68" s="122"/>
      <c r="DK68" s="122"/>
      <c r="DL68" s="122"/>
      <c r="DM68" s="122"/>
      <c r="DN68" s="122"/>
      <c r="DO68" s="122"/>
      <c r="DP68" s="122"/>
      <c r="DQ68" s="122"/>
      <c r="DR68" s="122"/>
      <c r="DS68" s="122"/>
      <c r="DT68" s="122"/>
      <c r="DU68" s="122"/>
      <c r="DV68" s="122"/>
      <c r="DW68" s="122"/>
      <c r="DX68" s="122"/>
      <c r="DY68" s="122"/>
      <c r="DZ68" s="122"/>
      <c r="EA68" s="122"/>
      <c r="EB68" s="122"/>
      <c r="EC68" s="122"/>
      <c r="ED68" s="122"/>
      <c r="EE68" s="122"/>
      <c r="EF68" s="122"/>
      <c r="EG68" s="122"/>
      <c r="EH68" s="122"/>
      <c r="EI68" s="122"/>
      <c r="EJ68" s="122"/>
      <c r="EK68" s="122"/>
      <c r="EL68" s="122"/>
      <c r="EM68" s="122"/>
      <c r="EN68" s="122"/>
      <c r="EO68" s="122"/>
      <c r="EP68" s="122"/>
      <c r="EQ68" s="122"/>
      <c r="ER68" s="122"/>
      <c r="ES68" s="122"/>
      <c r="ET68" s="122"/>
      <c r="EU68" s="122"/>
      <c r="EV68" s="122"/>
      <c r="EW68" s="122"/>
      <c r="EX68" s="122"/>
      <c r="EY68" s="122"/>
      <c r="EZ68" s="122"/>
      <c r="FA68" s="122"/>
      <c r="FB68" s="122"/>
      <c r="FC68" s="122"/>
      <c r="FD68" s="122"/>
      <c r="FE68" s="122"/>
      <c r="FF68" s="122"/>
      <c r="FG68" s="122"/>
      <c r="FH68" s="122"/>
      <c r="FI68" s="122"/>
      <c r="FJ68" s="122"/>
      <c r="FK68" s="122"/>
      <c r="FL68" s="122"/>
      <c r="FM68" s="122"/>
      <c r="FN68" s="122"/>
      <c r="FO68" s="122"/>
      <c r="FP68" s="122"/>
      <c r="FQ68" s="122"/>
      <c r="FR68" s="122"/>
      <c r="FS68" s="122"/>
      <c r="FT68" s="122"/>
      <c r="FU68" s="122"/>
      <c r="FV68" s="122"/>
      <c r="FW68" s="122"/>
      <c r="FX68" s="122"/>
      <c r="FY68" s="122"/>
      <c r="FZ68" s="122"/>
      <c r="GA68" s="122"/>
      <c r="GB68" s="122"/>
      <c r="GC68" s="122"/>
    </row>
    <row r="69" spans="1:185" s="121" customFormat="1">
      <c r="A69" s="96" t="s">
        <v>1846</v>
      </c>
      <c r="B69" s="90" t="s">
        <v>2195</v>
      </c>
      <c r="C69" s="206">
        <f>SUM(E69:AG69)</f>
        <v>0</v>
      </c>
      <c r="D69" s="258">
        <v>314160000</v>
      </c>
      <c r="E69" s="195"/>
      <c r="F69" s="195"/>
      <c r="G69" s="195"/>
      <c r="H69" s="195"/>
      <c r="I69" s="195"/>
      <c r="J69" s="195"/>
      <c r="K69" s="196"/>
      <c r="L69" s="196"/>
      <c r="M69" s="196"/>
      <c r="N69" s="196"/>
      <c r="O69" s="196"/>
      <c r="P69" s="196"/>
      <c r="Q69" s="196"/>
      <c r="R69" s="196"/>
      <c r="S69" s="196"/>
      <c r="T69" s="196"/>
      <c r="U69" s="196"/>
      <c r="V69" s="196"/>
      <c r="W69" s="196"/>
      <c r="X69" s="196"/>
      <c r="Y69" s="196"/>
      <c r="Z69" s="196"/>
      <c r="AA69" s="196"/>
      <c r="AB69" s="196"/>
      <c r="AC69" s="196"/>
      <c r="AD69" s="196"/>
      <c r="AE69" s="196"/>
      <c r="AF69" s="196"/>
      <c r="AG69" s="196"/>
      <c r="AH69" s="170"/>
      <c r="AI69" s="171"/>
      <c r="AJ69" s="120"/>
      <c r="AK69" s="120"/>
      <c r="AL69" s="120"/>
      <c r="AM69" s="120"/>
      <c r="AN69" s="120"/>
      <c r="AO69" s="120"/>
      <c r="AP69" s="120"/>
      <c r="AQ69" s="120"/>
      <c r="AR69" s="120"/>
      <c r="AS69" s="120"/>
      <c r="AT69" s="120"/>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c r="EU69" s="120"/>
      <c r="EV69" s="120"/>
      <c r="EW69" s="120"/>
      <c r="EX69" s="120"/>
      <c r="EY69" s="120"/>
      <c r="EZ69" s="120"/>
      <c r="FA69" s="120"/>
      <c r="FB69" s="120"/>
      <c r="FC69" s="120"/>
      <c r="FD69" s="120"/>
      <c r="FE69" s="120"/>
      <c r="FF69" s="120"/>
      <c r="FG69" s="120"/>
      <c r="FH69" s="120"/>
      <c r="FI69" s="120"/>
      <c r="FJ69" s="120"/>
      <c r="FK69" s="120"/>
      <c r="FL69" s="120"/>
      <c r="FM69" s="120"/>
      <c r="FN69" s="120"/>
      <c r="FO69" s="120"/>
      <c r="FP69" s="120"/>
      <c r="FQ69" s="120"/>
      <c r="FR69" s="120"/>
      <c r="FS69" s="120"/>
      <c r="FT69" s="120"/>
      <c r="FU69" s="120"/>
      <c r="FV69" s="120"/>
      <c r="FW69" s="120"/>
      <c r="FX69" s="120"/>
      <c r="FY69" s="120"/>
      <c r="FZ69" s="120"/>
      <c r="GA69" s="120"/>
      <c r="GB69" s="120"/>
      <c r="GC69" s="120"/>
    </row>
    <row r="70" spans="1:185" s="121" customFormat="1">
      <c r="A70" s="96" t="s">
        <v>1850</v>
      </c>
      <c r="B70" s="90" t="s">
        <v>270</v>
      </c>
      <c r="C70" s="206">
        <f>SUM(E70:AG70)</f>
        <v>0</v>
      </c>
      <c r="D70" s="258">
        <v>31513426</v>
      </c>
      <c r="E70" s="195"/>
      <c r="F70" s="195"/>
      <c r="G70" s="195"/>
      <c r="H70" s="195"/>
      <c r="I70" s="195"/>
      <c r="J70" s="195"/>
      <c r="K70" s="196"/>
      <c r="L70" s="196"/>
      <c r="M70" s="196"/>
      <c r="N70" s="196"/>
      <c r="O70" s="196"/>
      <c r="P70" s="196"/>
      <c r="Q70" s="196"/>
      <c r="R70" s="196"/>
      <c r="S70" s="196"/>
      <c r="T70" s="196"/>
      <c r="U70" s="196"/>
      <c r="V70" s="196"/>
      <c r="W70" s="196"/>
      <c r="X70" s="196"/>
      <c r="Y70" s="196"/>
      <c r="Z70" s="196"/>
      <c r="AA70" s="196"/>
      <c r="AB70" s="196"/>
      <c r="AC70" s="196"/>
      <c r="AD70" s="196"/>
      <c r="AE70" s="196"/>
      <c r="AF70" s="196"/>
      <c r="AG70" s="196"/>
      <c r="AH70" s="170"/>
      <c r="AI70" s="171"/>
      <c r="AJ70" s="120"/>
      <c r="AK70" s="120"/>
      <c r="AL70" s="120"/>
      <c r="AM70" s="120"/>
      <c r="AN70" s="120"/>
      <c r="AO70" s="120"/>
      <c r="AP70" s="120"/>
      <c r="AQ70" s="120"/>
      <c r="AR70" s="120"/>
      <c r="AS70" s="120"/>
      <c r="AT70" s="120"/>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c r="EU70" s="120"/>
      <c r="EV70" s="120"/>
      <c r="EW70" s="120"/>
      <c r="EX70" s="120"/>
      <c r="EY70" s="120"/>
      <c r="EZ70" s="120"/>
      <c r="FA70" s="120"/>
      <c r="FB70" s="120"/>
      <c r="FC70" s="120"/>
      <c r="FD70" s="120"/>
      <c r="FE70" s="120"/>
      <c r="FF70" s="120"/>
      <c r="FG70" s="120"/>
      <c r="FH70" s="120"/>
      <c r="FI70" s="120"/>
      <c r="FJ70" s="120"/>
      <c r="FK70" s="120"/>
      <c r="FL70" s="120"/>
      <c r="FM70" s="120"/>
      <c r="FN70" s="120"/>
      <c r="FO70" s="120"/>
      <c r="FP70" s="120"/>
      <c r="FQ70" s="120"/>
      <c r="FR70" s="120"/>
      <c r="FS70" s="120"/>
      <c r="FT70" s="120"/>
      <c r="FU70" s="120"/>
      <c r="FV70" s="120"/>
      <c r="FW70" s="120"/>
      <c r="FX70" s="120"/>
      <c r="FY70" s="120"/>
      <c r="FZ70" s="120"/>
      <c r="GA70" s="120"/>
      <c r="GB70" s="120"/>
      <c r="GC70" s="120"/>
    </row>
    <row r="71" spans="1:185" s="121" customFormat="1">
      <c r="A71" s="96" t="s">
        <v>1851</v>
      </c>
      <c r="B71" s="90" t="s">
        <v>2192</v>
      </c>
      <c r="C71" s="206">
        <f>SUM(E71:AG71)</f>
        <v>0</v>
      </c>
      <c r="D71" s="258">
        <v>9096</v>
      </c>
      <c r="E71" s="195"/>
      <c r="F71" s="195"/>
      <c r="G71" s="195"/>
      <c r="H71" s="195"/>
      <c r="I71" s="195"/>
      <c r="J71" s="195"/>
      <c r="K71" s="196"/>
      <c r="L71" s="196"/>
      <c r="M71" s="196"/>
      <c r="N71" s="196"/>
      <c r="O71" s="196"/>
      <c r="P71" s="196"/>
      <c r="Q71" s="196"/>
      <c r="R71" s="196"/>
      <c r="S71" s="196"/>
      <c r="T71" s="196"/>
      <c r="U71" s="196"/>
      <c r="V71" s="196"/>
      <c r="W71" s="196"/>
      <c r="X71" s="196"/>
      <c r="Y71" s="196"/>
      <c r="Z71" s="196"/>
      <c r="AA71" s="196"/>
      <c r="AB71" s="196"/>
      <c r="AC71" s="196"/>
      <c r="AD71" s="196"/>
      <c r="AE71" s="196"/>
      <c r="AF71" s="196"/>
      <c r="AG71" s="196"/>
      <c r="AH71" s="170"/>
      <c r="AI71" s="171"/>
      <c r="AJ71" s="120"/>
      <c r="AK71" s="120"/>
      <c r="AL71" s="120"/>
      <c r="AM71" s="120"/>
      <c r="AN71" s="120"/>
      <c r="AO71" s="120"/>
      <c r="AP71" s="120"/>
      <c r="AQ71" s="120"/>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c r="EU71" s="120"/>
      <c r="EV71" s="120"/>
      <c r="EW71" s="120"/>
      <c r="EX71" s="120"/>
      <c r="EY71" s="120"/>
      <c r="EZ71" s="120"/>
      <c r="FA71" s="120"/>
      <c r="FB71" s="120"/>
      <c r="FC71" s="120"/>
      <c r="FD71" s="120"/>
      <c r="FE71" s="120"/>
      <c r="FF71" s="120"/>
      <c r="FG71" s="120"/>
      <c r="FH71" s="120"/>
      <c r="FI71" s="120"/>
      <c r="FJ71" s="120"/>
      <c r="FK71" s="120"/>
      <c r="FL71" s="120"/>
      <c r="FM71" s="120"/>
      <c r="FN71" s="120"/>
      <c r="FO71" s="120"/>
      <c r="FP71" s="120"/>
      <c r="FQ71" s="120"/>
      <c r="FR71" s="120"/>
      <c r="FS71" s="120"/>
      <c r="FT71" s="120"/>
      <c r="FU71" s="120"/>
      <c r="FV71" s="120"/>
      <c r="FW71" s="120"/>
      <c r="FX71" s="120"/>
      <c r="FY71" s="120"/>
      <c r="FZ71" s="120"/>
      <c r="GA71" s="120"/>
      <c r="GB71" s="120"/>
      <c r="GC71" s="120"/>
    </row>
    <row r="72" spans="1:185" s="121" customFormat="1">
      <c r="A72" s="96" t="s">
        <v>1852</v>
      </c>
      <c r="B72" s="90" t="s">
        <v>2193</v>
      </c>
      <c r="C72" s="206">
        <f>SUM(E72:AG72)</f>
        <v>0</v>
      </c>
      <c r="D72" s="258">
        <v>65688</v>
      </c>
      <c r="E72" s="195"/>
      <c r="F72" s="195"/>
      <c r="G72" s="195"/>
      <c r="H72" s="195"/>
      <c r="I72" s="195"/>
      <c r="J72" s="195"/>
      <c r="K72" s="196"/>
      <c r="L72" s="196"/>
      <c r="M72" s="196"/>
      <c r="N72" s="196"/>
      <c r="O72" s="196"/>
      <c r="P72" s="196"/>
      <c r="Q72" s="196"/>
      <c r="R72" s="196"/>
      <c r="S72" s="196"/>
      <c r="T72" s="196"/>
      <c r="U72" s="196"/>
      <c r="V72" s="196"/>
      <c r="W72" s="196"/>
      <c r="X72" s="196"/>
      <c r="Y72" s="196"/>
      <c r="Z72" s="196"/>
      <c r="AA72" s="196"/>
      <c r="AB72" s="196"/>
      <c r="AC72" s="196"/>
      <c r="AD72" s="196"/>
      <c r="AE72" s="196"/>
      <c r="AF72" s="196"/>
      <c r="AG72" s="196"/>
      <c r="AH72" s="170"/>
      <c r="AI72" s="171"/>
      <c r="AJ72" s="120"/>
      <c r="AK72" s="120"/>
      <c r="AL72" s="120"/>
      <c r="AM72" s="120"/>
      <c r="AN72" s="120"/>
      <c r="AO72" s="120"/>
      <c r="AP72" s="120"/>
      <c r="AQ72" s="120"/>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c r="EU72" s="120"/>
      <c r="EV72" s="120"/>
      <c r="EW72" s="120"/>
      <c r="EX72" s="120"/>
      <c r="EY72" s="120"/>
      <c r="EZ72" s="120"/>
      <c r="FA72" s="120"/>
      <c r="FB72" s="120"/>
      <c r="FC72" s="120"/>
      <c r="FD72" s="120"/>
      <c r="FE72" s="120"/>
      <c r="FF72" s="120"/>
      <c r="FG72" s="120"/>
      <c r="FH72" s="120"/>
      <c r="FI72" s="120"/>
      <c r="FJ72" s="120"/>
      <c r="FK72" s="120"/>
      <c r="FL72" s="120"/>
      <c r="FM72" s="120"/>
      <c r="FN72" s="120"/>
      <c r="FO72" s="120"/>
      <c r="FP72" s="120"/>
      <c r="FQ72" s="120"/>
      <c r="FR72" s="120"/>
      <c r="FS72" s="120"/>
      <c r="FT72" s="120"/>
      <c r="FU72" s="120"/>
      <c r="FV72" s="120"/>
      <c r="FW72" s="120"/>
      <c r="FX72" s="120"/>
      <c r="FY72" s="120"/>
      <c r="FZ72" s="120"/>
      <c r="GA72" s="120"/>
      <c r="GB72" s="120"/>
      <c r="GC72" s="120"/>
    </row>
    <row r="73" spans="1:185" s="121" customFormat="1">
      <c r="A73" s="98" t="s">
        <v>1873</v>
      </c>
      <c r="B73" s="90" t="s">
        <v>2194</v>
      </c>
      <c r="C73" s="206">
        <f>SUM(E73:AG73)</f>
        <v>0</v>
      </c>
      <c r="D73" s="258">
        <v>57120</v>
      </c>
      <c r="E73" s="195"/>
      <c r="F73" s="195"/>
      <c r="G73" s="195"/>
      <c r="H73" s="195"/>
      <c r="I73" s="195"/>
      <c r="J73" s="195"/>
      <c r="K73" s="196"/>
      <c r="L73" s="196"/>
      <c r="M73" s="196"/>
      <c r="N73" s="196"/>
      <c r="O73" s="196"/>
      <c r="P73" s="196"/>
      <c r="Q73" s="196"/>
      <c r="R73" s="196"/>
      <c r="S73" s="196"/>
      <c r="T73" s="196"/>
      <c r="U73" s="196"/>
      <c r="V73" s="196"/>
      <c r="W73" s="196"/>
      <c r="X73" s="196"/>
      <c r="Y73" s="196"/>
      <c r="Z73" s="196"/>
      <c r="AA73" s="196"/>
      <c r="AB73" s="196"/>
      <c r="AC73" s="196"/>
      <c r="AD73" s="196"/>
      <c r="AE73" s="196"/>
      <c r="AF73" s="196"/>
      <c r="AG73" s="196"/>
      <c r="AH73" s="170"/>
      <c r="AI73" s="171"/>
      <c r="AJ73" s="120"/>
      <c r="AK73" s="120"/>
      <c r="AL73" s="120"/>
      <c r="AM73" s="120"/>
      <c r="AN73" s="120"/>
      <c r="AO73" s="120"/>
      <c r="AP73" s="120"/>
      <c r="AQ73" s="120"/>
      <c r="AR73" s="120"/>
      <c r="AS73" s="120"/>
      <c r="AT73" s="120"/>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c r="EU73" s="120"/>
      <c r="EV73" s="120"/>
      <c r="EW73" s="120"/>
      <c r="EX73" s="120"/>
      <c r="EY73" s="120"/>
      <c r="EZ73" s="120"/>
      <c r="FA73" s="120"/>
      <c r="FB73" s="120"/>
      <c r="FC73" s="120"/>
      <c r="FD73" s="120"/>
      <c r="FE73" s="120"/>
      <c r="FF73" s="120"/>
      <c r="FG73" s="120"/>
      <c r="FH73" s="120"/>
      <c r="FI73" s="120"/>
      <c r="FJ73" s="120"/>
      <c r="FK73" s="120"/>
      <c r="FL73" s="120"/>
      <c r="FM73" s="120"/>
      <c r="FN73" s="120"/>
      <c r="FO73" s="120"/>
      <c r="FP73" s="120"/>
      <c r="FQ73" s="120"/>
      <c r="FR73" s="120"/>
      <c r="FS73" s="120"/>
      <c r="FT73" s="120"/>
      <c r="FU73" s="120"/>
      <c r="FV73" s="120"/>
      <c r="FW73" s="120"/>
      <c r="FX73" s="120"/>
      <c r="FY73" s="120"/>
      <c r="FZ73" s="120"/>
      <c r="GA73" s="120"/>
      <c r="GB73" s="120"/>
      <c r="GC73" s="120"/>
    </row>
    <row r="74" spans="1:185" s="124" customFormat="1">
      <c r="A74" s="98" t="s">
        <v>1874</v>
      </c>
      <c r="B74" s="91" t="s">
        <v>2190</v>
      </c>
      <c r="C74" s="201">
        <f t="array" ref="C74">IF(ISNUMBER(SUM((E73:AG73&gt;0)*(E75:AG75&gt;0)*(E73:AG73))/SUM((E73:AG73&gt;0)*(E75:AG75&gt;0)*(E75:AG75))),SUM((E73:AG73&gt;0)*(E75:AG75&gt;0)*(E73:AG73))/SUM((E73:AG73&gt;0)*(E75:AG75&gt;0)*(E75:AG75)),0)</f>
        <v>0</v>
      </c>
      <c r="D74" s="259">
        <v>13</v>
      </c>
      <c r="E74" s="202"/>
      <c r="F74" s="202"/>
      <c r="G74" s="202"/>
      <c r="H74" s="202"/>
      <c r="I74" s="202"/>
      <c r="J74" s="202"/>
      <c r="K74" s="203"/>
      <c r="L74" s="203"/>
      <c r="M74" s="203"/>
      <c r="N74" s="203"/>
      <c r="O74" s="203"/>
      <c r="P74" s="203"/>
      <c r="Q74" s="203"/>
      <c r="R74" s="203"/>
      <c r="S74" s="203"/>
      <c r="T74" s="203"/>
      <c r="U74" s="203"/>
      <c r="V74" s="203"/>
      <c r="W74" s="203"/>
      <c r="X74" s="203"/>
      <c r="Y74" s="203"/>
      <c r="Z74" s="203"/>
      <c r="AA74" s="203"/>
      <c r="AB74" s="203"/>
      <c r="AC74" s="203"/>
      <c r="AD74" s="203"/>
      <c r="AE74" s="203"/>
      <c r="AF74" s="203"/>
      <c r="AG74" s="203"/>
      <c r="AH74" s="170"/>
      <c r="AI74" s="171"/>
      <c r="AJ74" s="120"/>
      <c r="AK74" s="120"/>
      <c r="AL74" s="120"/>
      <c r="AM74" s="120"/>
      <c r="AN74" s="120"/>
      <c r="AO74" s="120"/>
      <c r="AP74" s="120"/>
      <c r="AQ74" s="120"/>
      <c r="AR74" s="120"/>
      <c r="AS74" s="120"/>
      <c r="AT74" s="120"/>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c r="EU74" s="120"/>
      <c r="EV74" s="120"/>
      <c r="EW74" s="120"/>
      <c r="EX74" s="120"/>
      <c r="EY74" s="120"/>
      <c r="EZ74" s="120"/>
      <c r="FA74" s="120"/>
      <c r="FB74" s="120"/>
      <c r="FC74" s="120"/>
      <c r="FD74" s="120"/>
      <c r="FE74" s="120"/>
      <c r="FF74" s="120"/>
      <c r="FG74" s="120"/>
      <c r="FH74" s="120"/>
      <c r="FI74" s="120"/>
      <c r="FJ74" s="120"/>
      <c r="FK74" s="120"/>
      <c r="FL74" s="120"/>
      <c r="FM74" s="120"/>
      <c r="FN74" s="120"/>
      <c r="FO74" s="120"/>
      <c r="FP74" s="120"/>
      <c r="FQ74" s="120"/>
      <c r="FR74" s="120"/>
      <c r="FS74" s="120"/>
      <c r="FT74" s="120"/>
      <c r="FU74" s="120"/>
      <c r="FV74" s="120"/>
      <c r="FW74" s="120"/>
      <c r="FX74" s="120"/>
      <c r="FY74" s="120"/>
      <c r="FZ74" s="120"/>
      <c r="GA74" s="120"/>
      <c r="GB74" s="120"/>
      <c r="GC74" s="120"/>
    </row>
    <row r="75" spans="1:185">
      <c r="A75" s="58"/>
      <c r="B75" s="91" t="s">
        <v>249</v>
      </c>
      <c r="C75" s="200">
        <f>SUM(E75:AG75)</f>
        <v>0</v>
      </c>
      <c r="D75" s="235">
        <f>IF(ISNUMBER(D73/D74),D73/D74,0)</f>
        <v>4393.8461538461543</v>
      </c>
      <c r="E75" s="200">
        <f t="shared" ref="E75:AG75" si="16">IF(ISNUMBER(E73/E74),E73/E74,0)</f>
        <v>0</v>
      </c>
      <c r="F75" s="200">
        <f t="shared" si="16"/>
        <v>0</v>
      </c>
      <c r="G75" s="200">
        <f t="shared" si="16"/>
        <v>0</v>
      </c>
      <c r="H75" s="200">
        <f t="shared" si="16"/>
        <v>0</v>
      </c>
      <c r="I75" s="200">
        <f t="shared" si="16"/>
        <v>0</v>
      </c>
      <c r="J75" s="200">
        <f t="shared" si="16"/>
        <v>0</v>
      </c>
      <c r="K75" s="200">
        <f t="shared" si="16"/>
        <v>0</v>
      </c>
      <c r="L75" s="200">
        <f t="shared" si="16"/>
        <v>0</v>
      </c>
      <c r="M75" s="200">
        <f t="shared" si="16"/>
        <v>0</v>
      </c>
      <c r="N75" s="200">
        <f t="shared" si="16"/>
        <v>0</v>
      </c>
      <c r="O75" s="200">
        <f t="shared" si="16"/>
        <v>0</v>
      </c>
      <c r="P75" s="200">
        <f t="shared" si="16"/>
        <v>0</v>
      </c>
      <c r="Q75" s="200">
        <f t="shared" si="16"/>
        <v>0</v>
      </c>
      <c r="R75" s="200">
        <f t="shared" si="16"/>
        <v>0</v>
      </c>
      <c r="S75" s="200">
        <f t="shared" si="16"/>
        <v>0</v>
      </c>
      <c r="T75" s="200">
        <f t="shared" si="16"/>
        <v>0</v>
      </c>
      <c r="U75" s="200">
        <f t="shared" si="16"/>
        <v>0</v>
      </c>
      <c r="V75" s="200">
        <f t="shared" si="16"/>
        <v>0</v>
      </c>
      <c r="W75" s="200">
        <f t="shared" si="16"/>
        <v>0</v>
      </c>
      <c r="X75" s="200">
        <f t="shared" si="16"/>
        <v>0</v>
      </c>
      <c r="Y75" s="200">
        <f t="shared" si="16"/>
        <v>0</v>
      </c>
      <c r="Z75" s="200">
        <f t="shared" si="16"/>
        <v>0</v>
      </c>
      <c r="AA75" s="200">
        <f t="shared" si="16"/>
        <v>0</v>
      </c>
      <c r="AB75" s="200">
        <f t="shared" si="16"/>
        <v>0</v>
      </c>
      <c r="AC75" s="200">
        <f t="shared" si="16"/>
        <v>0</v>
      </c>
      <c r="AD75" s="200">
        <f t="shared" si="16"/>
        <v>0</v>
      </c>
      <c r="AE75" s="200">
        <f t="shared" si="16"/>
        <v>0</v>
      </c>
      <c r="AF75" s="200">
        <f t="shared" si="16"/>
        <v>0</v>
      </c>
      <c r="AG75" s="200">
        <f t="shared" si="16"/>
        <v>0</v>
      </c>
      <c r="AH75" s="174"/>
      <c r="AI75" s="175"/>
      <c r="AJ75" s="124"/>
      <c r="AK75" s="124"/>
      <c r="AL75" s="124"/>
      <c r="AM75" s="124"/>
      <c r="AN75" s="124"/>
      <c r="AO75" s="124"/>
      <c r="AP75" s="124"/>
      <c r="AQ75" s="124"/>
      <c r="AR75" s="124"/>
      <c r="AS75" s="124"/>
      <c r="AT75" s="124"/>
      <c r="AU75" s="124"/>
      <c r="AV75" s="124"/>
      <c r="AW75" s="124"/>
      <c r="AX75" s="124"/>
      <c r="AY75" s="124"/>
      <c r="AZ75" s="124"/>
      <c r="BA75" s="124"/>
      <c r="BB75" s="124"/>
      <c r="BC75" s="124"/>
      <c r="BD75" s="124"/>
      <c r="BE75" s="124"/>
      <c r="BF75" s="124"/>
      <c r="BG75" s="124"/>
      <c r="BH75" s="124"/>
      <c r="BI75" s="124"/>
      <c r="BJ75" s="124"/>
      <c r="BK75" s="124"/>
      <c r="BL75" s="124"/>
      <c r="BM75" s="124"/>
      <c r="BN75" s="124"/>
      <c r="BO75" s="124"/>
      <c r="BP75" s="124"/>
      <c r="BQ75" s="124"/>
      <c r="BR75" s="124"/>
      <c r="BS75" s="124"/>
      <c r="BT75" s="124"/>
      <c r="BU75" s="124"/>
      <c r="BV75" s="124"/>
      <c r="BW75" s="124"/>
      <c r="BX75" s="124"/>
      <c r="BY75" s="124"/>
      <c r="BZ75" s="124"/>
      <c r="CA75" s="124"/>
      <c r="CB75" s="124"/>
      <c r="CC75" s="124"/>
      <c r="CD75" s="124"/>
      <c r="CE75" s="124"/>
      <c r="CF75" s="124"/>
      <c r="CG75" s="124"/>
      <c r="CH75" s="124"/>
      <c r="CI75" s="124"/>
      <c r="CJ75" s="124"/>
      <c r="CK75" s="124"/>
      <c r="CL75" s="124"/>
      <c r="CM75" s="124"/>
      <c r="CN75" s="124"/>
      <c r="CO75" s="124"/>
      <c r="CP75" s="124"/>
      <c r="CQ75" s="124"/>
      <c r="CR75" s="124"/>
      <c r="CS75" s="124"/>
      <c r="CT75" s="124"/>
      <c r="CU75" s="124"/>
      <c r="CV75" s="124"/>
      <c r="CW75" s="124"/>
      <c r="CX75" s="124"/>
      <c r="CY75" s="124"/>
      <c r="CZ75" s="124"/>
      <c r="DA75" s="124"/>
      <c r="DB75" s="124"/>
      <c r="DC75" s="124"/>
      <c r="DD75" s="124"/>
      <c r="DE75" s="124"/>
      <c r="DF75" s="124"/>
      <c r="DG75" s="124"/>
      <c r="DH75" s="124"/>
      <c r="DI75" s="124"/>
      <c r="DJ75" s="124"/>
      <c r="DK75" s="124"/>
      <c r="DL75" s="124"/>
      <c r="DM75" s="124"/>
      <c r="DN75" s="124"/>
      <c r="DO75" s="124"/>
      <c r="DP75" s="124"/>
      <c r="DQ75" s="124"/>
      <c r="DR75" s="124"/>
      <c r="DS75" s="124"/>
      <c r="DT75" s="124"/>
      <c r="DU75" s="124"/>
      <c r="DV75" s="124"/>
      <c r="DW75" s="124"/>
      <c r="DX75" s="124"/>
      <c r="DY75" s="124"/>
      <c r="DZ75" s="124"/>
      <c r="EA75" s="124"/>
      <c r="EB75" s="124"/>
      <c r="EC75" s="124"/>
      <c r="ED75" s="124"/>
      <c r="EE75" s="124"/>
      <c r="EF75" s="124"/>
      <c r="EG75" s="124"/>
      <c r="EH75" s="124"/>
      <c r="EI75" s="124"/>
      <c r="EJ75" s="124"/>
      <c r="EK75" s="124"/>
      <c r="EL75" s="124"/>
      <c r="EM75" s="124"/>
      <c r="EN75" s="124"/>
      <c r="EO75" s="124"/>
      <c r="EP75" s="124"/>
      <c r="EQ75" s="124"/>
      <c r="ER75" s="124"/>
      <c r="ES75" s="124"/>
      <c r="ET75" s="124"/>
      <c r="EU75" s="124"/>
      <c r="EV75" s="124"/>
      <c r="EW75" s="124"/>
      <c r="EX75" s="124"/>
      <c r="EY75" s="124"/>
      <c r="EZ75" s="124"/>
      <c r="FA75" s="124"/>
      <c r="FB75" s="124"/>
      <c r="FC75" s="124"/>
      <c r="FD75" s="124"/>
      <c r="FE75" s="124"/>
      <c r="FF75" s="124"/>
      <c r="FG75" s="124"/>
      <c r="FH75" s="124"/>
      <c r="FI75" s="124"/>
      <c r="FJ75" s="124"/>
      <c r="FK75" s="124"/>
      <c r="FL75" s="124"/>
      <c r="FM75" s="124"/>
      <c r="FN75" s="124"/>
      <c r="FO75" s="124"/>
      <c r="FP75" s="124"/>
      <c r="FQ75" s="124"/>
      <c r="FR75" s="124"/>
      <c r="FS75" s="124"/>
      <c r="FT75" s="124"/>
      <c r="FU75" s="124"/>
      <c r="FV75" s="124"/>
      <c r="FW75" s="124"/>
      <c r="FX75" s="124"/>
      <c r="FY75" s="124"/>
      <c r="FZ75" s="124"/>
      <c r="GA75" s="124"/>
      <c r="GB75" s="124"/>
      <c r="GC75" s="124"/>
    </row>
    <row r="76" spans="1:185" ht="10" customHeight="1">
      <c r="A76" s="60"/>
      <c r="B76" s="61"/>
      <c r="C76" s="62"/>
      <c r="D76" s="62"/>
      <c r="E76" s="62"/>
      <c r="F76" s="63"/>
      <c r="G76" s="59"/>
      <c r="H76" s="59"/>
      <c r="I76" s="59"/>
      <c r="J76" s="59"/>
      <c r="K76" s="59"/>
      <c r="L76" s="59"/>
      <c r="M76" s="59"/>
      <c r="N76" s="59"/>
      <c r="O76" s="59"/>
      <c r="P76" s="59"/>
      <c r="Q76" s="59"/>
      <c r="R76" s="59"/>
      <c r="S76" s="59"/>
      <c r="T76" s="59"/>
      <c r="U76" s="59"/>
      <c r="V76" s="59"/>
      <c r="W76" s="59"/>
      <c r="X76" s="59"/>
      <c r="Y76" s="59"/>
      <c r="Z76" s="59"/>
      <c r="AA76" s="59"/>
      <c r="AB76" s="59"/>
      <c r="AC76" s="59"/>
      <c r="AD76" s="59"/>
      <c r="AE76" s="59"/>
      <c r="AF76" s="59"/>
      <c r="AG76" s="59"/>
      <c r="AH76" s="119"/>
      <c r="AI76" s="126"/>
      <c r="AJ76" s="119"/>
      <c r="AK76" s="119"/>
      <c r="AL76" s="119"/>
      <c r="AM76" s="119"/>
      <c r="AN76" s="119"/>
      <c r="AO76" s="119"/>
      <c r="AP76" s="119"/>
      <c r="AQ76" s="119"/>
      <c r="AR76" s="119"/>
      <c r="AS76" s="119"/>
      <c r="AT76" s="119"/>
      <c r="AU76" s="119"/>
      <c r="AV76" s="119"/>
      <c r="AW76" s="119"/>
      <c r="AX76" s="119"/>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row>
    <row r="77" spans="1:185" s="118" customFormat="1" ht="5" customHeight="1">
      <c r="A77" s="127"/>
      <c r="B77" s="128"/>
      <c r="C77" s="127"/>
      <c r="D77" s="115"/>
      <c r="E77" s="115"/>
      <c r="F77" s="115"/>
      <c r="G77" s="115"/>
      <c r="H77" s="115"/>
      <c r="I77" s="115"/>
      <c r="J77" s="115"/>
      <c r="K77" s="115"/>
      <c r="L77" s="115"/>
      <c r="M77" s="115"/>
      <c r="N77" s="115"/>
      <c r="O77" s="115"/>
      <c r="P77" s="115"/>
      <c r="Q77" s="115"/>
      <c r="R77" s="115"/>
      <c r="S77" s="115"/>
      <c r="T77" s="115"/>
      <c r="U77" s="115"/>
      <c r="V77" s="115"/>
      <c r="W77" s="115"/>
      <c r="X77" s="115"/>
      <c r="Y77" s="115"/>
      <c r="Z77" s="115"/>
      <c r="AA77" s="115"/>
      <c r="AB77" s="115"/>
      <c r="AC77" s="115"/>
      <c r="AD77" s="115"/>
      <c r="AE77" s="115"/>
      <c r="AF77" s="115"/>
      <c r="AG77" s="115"/>
      <c r="AH77" s="126"/>
      <c r="AI77" s="126"/>
    </row>
    <row r="78" spans="1:185" hidden="1"/>
    <row r="79" spans="1:185" hidden="1"/>
    <row r="80" spans="1:185"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sheetData>
  <dataConsolidate/>
  <phoneticPr fontId="0" type="noConversion"/>
  <dataValidations count="1">
    <dataValidation type="list" allowBlank="1" showInputMessage="1" sqref="D7:AG7" xr:uid="{00000000-0002-0000-0500-000000000000}">
      <formula1>ListRoute</formula1>
    </dataValidation>
  </dataValidations>
  <printOptions horizontalCentered="1" gridLinesSet="0"/>
  <pageMargins left="0.75" right="0.75" top="0.5" bottom="0.5" header="0" footer="0.25"/>
  <pageSetup scale="17" fitToHeight="2" orientation="portrait" r:id="rId1"/>
  <headerFooter alignWithMargins="0">
    <oddFooter>&amp;L&amp;F&amp;C&amp;A&amp;R&amp;D</oddFooter>
  </headerFooter>
  <ignoredErrors>
    <ignoredError sqref="D64 E12:AG12 D12 E22:AG22 D47:D48 E64:AG64 E46:AG48 D52:D53 E52:AG52 F53:AG53" unlockedFormula="1"/>
    <ignoredError sqref="C31:C73 C75 C8:C29" formulaRange="1"/>
    <ignoredError sqref="C74" formula="1" formulaRange="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1">
    <pageSetUpPr fitToPage="1"/>
  </sheetPr>
  <dimension ref="A1:GC167"/>
  <sheetViews>
    <sheetView showGridLines="0" zoomScaleNormal="70" zoomScaleSheetLayoutView="75" workbookViewId="0">
      <pane xSplit="3" ySplit="7" topLeftCell="D8" activePane="bottomRight" state="frozen"/>
      <selection activeCell="C6" sqref="C6:D6"/>
      <selection pane="topRight" activeCell="C6" sqref="C6:D6"/>
      <selection pane="bottomLeft" activeCell="C6" sqref="C6:D6"/>
      <selection pane="bottomRight" activeCell="C6" sqref="C6:D6"/>
    </sheetView>
  </sheetViews>
  <sheetFormatPr baseColWidth="10" defaultColWidth="0" defaultRowHeight="13" zeroHeight="1"/>
  <cols>
    <col min="1" max="1" width="12.33203125" style="30" customWidth="1"/>
    <col min="2" max="2" width="60.6640625" style="31" customWidth="1"/>
    <col min="3" max="3" width="13.6640625" style="30" customWidth="1"/>
    <col min="4" max="33" width="24.6640625" style="30" customWidth="1"/>
    <col min="34" max="34" width="1.6640625" style="66" customWidth="1"/>
    <col min="35" max="35" width="0.83203125" style="118" customWidth="1"/>
    <col min="36" max="16384" width="9.1640625" style="66" hidden="1"/>
  </cols>
  <sheetData>
    <row r="1" spans="1:185" ht="42" customHeight="1" thickBot="1">
      <c r="A1" s="112"/>
      <c r="B1" s="112" t="s">
        <v>1925</v>
      </c>
      <c r="C1" s="134"/>
      <c r="D1" s="134"/>
      <c r="E1" s="131"/>
      <c r="F1" s="132"/>
      <c r="G1" s="111"/>
      <c r="H1" s="111"/>
      <c r="I1" s="132"/>
      <c r="J1" s="111"/>
      <c r="K1" s="111"/>
      <c r="L1" s="111"/>
      <c r="M1" s="135"/>
      <c r="N1" s="136"/>
      <c r="O1" s="133"/>
      <c r="P1" s="132"/>
      <c r="Q1" s="132"/>
      <c r="R1" s="132"/>
      <c r="S1" s="132"/>
      <c r="T1" s="132"/>
      <c r="U1" s="132"/>
      <c r="V1" s="132"/>
      <c r="W1" s="132"/>
      <c r="X1" s="132"/>
      <c r="Y1" s="132"/>
      <c r="Z1" s="132"/>
      <c r="AA1" s="132"/>
      <c r="AB1" s="132"/>
      <c r="AC1" s="132"/>
      <c r="AD1" s="132"/>
      <c r="AE1" s="132"/>
      <c r="AF1" s="132"/>
      <c r="AG1" s="132"/>
      <c r="AH1" s="119"/>
      <c r="AI1" s="126"/>
    </row>
    <row r="2" spans="1:185" ht="14" thickTop="1">
      <c r="A2" s="22"/>
      <c r="B2" s="23"/>
      <c r="C2" s="23"/>
      <c r="D2" s="23"/>
      <c r="E2" s="23"/>
      <c r="F2" s="10"/>
      <c r="G2" s="10"/>
      <c r="H2" s="10"/>
      <c r="I2" s="10"/>
      <c r="J2" s="10"/>
      <c r="K2" s="10"/>
      <c r="L2" s="10"/>
      <c r="N2" s="31"/>
      <c r="O2" s="84"/>
      <c r="AH2" s="119"/>
      <c r="AI2" s="126"/>
    </row>
    <row r="3" spans="1:185">
      <c r="A3" s="53" t="s">
        <v>1337</v>
      </c>
      <c r="B3" s="56"/>
      <c r="C3" s="55">
        <v>3</v>
      </c>
      <c r="D3" s="23"/>
      <c r="E3" s="119"/>
      <c r="F3" s="225"/>
      <c r="G3" s="10"/>
      <c r="J3" s="10"/>
      <c r="K3" s="10"/>
      <c r="L3" s="10"/>
      <c r="M3" s="32"/>
      <c r="N3" s="31"/>
      <c r="O3" s="84"/>
      <c r="AH3" s="119"/>
      <c r="AI3" s="126"/>
    </row>
    <row r="4" spans="1:185">
      <c r="A4" s="12"/>
      <c r="B4" s="12"/>
      <c r="C4" s="12"/>
      <c r="D4" s="23"/>
      <c r="E4" s="23"/>
      <c r="F4" s="10"/>
      <c r="G4" s="10"/>
      <c r="H4" s="10"/>
      <c r="I4" s="10"/>
      <c r="J4" s="10"/>
      <c r="K4" s="10"/>
      <c r="L4" s="10"/>
      <c r="O4" s="26"/>
      <c r="AH4" s="119"/>
      <c r="AI4" s="126"/>
    </row>
    <row r="5" spans="1:185">
      <c r="A5" s="54" t="s">
        <v>1338</v>
      </c>
      <c r="B5" s="56"/>
      <c r="C5" s="55">
        <f>DataCollectionYear-2</f>
        <v>2016</v>
      </c>
      <c r="D5" s="229" t="s">
        <v>2197</v>
      </c>
      <c r="E5" s="10"/>
      <c r="F5" s="10"/>
      <c r="G5" s="10"/>
      <c r="H5" s="10"/>
      <c r="I5" s="10"/>
      <c r="J5" s="10"/>
      <c r="K5" s="10"/>
      <c r="L5" s="10"/>
      <c r="O5" s="85"/>
      <c r="AH5" s="119"/>
      <c r="AI5" s="126"/>
    </row>
    <row r="6" spans="1:185">
      <c r="A6" s="228"/>
      <c r="B6" s="11"/>
      <c r="D6" s="168" t="str">
        <f t="shared" ref="D6:AG6" ca="1" si="0">IF(D7 = "","",VLOOKUP(D7,ListRouteNCode,2,FALSE))</f>
        <v>NA</v>
      </c>
      <c r="E6" s="168" t="str">
        <f t="shared" si="0"/>
        <v/>
      </c>
      <c r="F6" s="168" t="str">
        <f t="shared" si="0"/>
        <v/>
      </c>
      <c r="G6" s="168" t="str">
        <f t="shared" si="0"/>
        <v/>
      </c>
      <c r="H6" s="168" t="str">
        <f t="shared" si="0"/>
        <v/>
      </c>
      <c r="I6" s="168" t="str">
        <f t="shared" si="0"/>
        <v/>
      </c>
      <c r="J6" s="168" t="str">
        <f t="shared" si="0"/>
        <v/>
      </c>
      <c r="K6" s="168" t="str">
        <f t="shared" si="0"/>
        <v/>
      </c>
      <c r="L6" s="168" t="str">
        <f t="shared" si="0"/>
        <v/>
      </c>
      <c r="M6" s="168" t="str">
        <f t="shared" si="0"/>
        <v/>
      </c>
      <c r="N6" s="168" t="str">
        <f t="shared" si="0"/>
        <v/>
      </c>
      <c r="O6" s="168" t="str">
        <f t="shared" si="0"/>
        <v/>
      </c>
      <c r="P6" s="168" t="str">
        <f t="shared" si="0"/>
        <v/>
      </c>
      <c r="Q6" s="168" t="str">
        <f t="shared" si="0"/>
        <v/>
      </c>
      <c r="R6" s="168" t="str">
        <f t="shared" si="0"/>
        <v/>
      </c>
      <c r="S6" s="168" t="str">
        <f t="shared" si="0"/>
        <v/>
      </c>
      <c r="T6" s="168" t="str">
        <f t="shared" si="0"/>
        <v/>
      </c>
      <c r="U6" s="168" t="str">
        <f t="shared" si="0"/>
        <v/>
      </c>
      <c r="V6" s="168" t="str">
        <f t="shared" si="0"/>
        <v/>
      </c>
      <c r="W6" s="168" t="str">
        <f t="shared" si="0"/>
        <v/>
      </c>
      <c r="X6" s="168" t="str">
        <f t="shared" si="0"/>
        <v/>
      </c>
      <c r="Y6" s="168" t="str">
        <f t="shared" si="0"/>
        <v/>
      </c>
      <c r="Z6" s="168" t="str">
        <f t="shared" si="0"/>
        <v/>
      </c>
      <c r="AA6" s="168" t="str">
        <f t="shared" si="0"/>
        <v/>
      </c>
      <c r="AB6" s="168" t="str">
        <f t="shared" si="0"/>
        <v/>
      </c>
      <c r="AC6" s="168" t="str">
        <f t="shared" si="0"/>
        <v/>
      </c>
      <c r="AD6" s="168" t="str">
        <f t="shared" si="0"/>
        <v/>
      </c>
      <c r="AE6" s="168" t="str">
        <f t="shared" si="0"/>
        <v/>
      </c>
      <c r="AF6" s="168" t="str">
        <f t="shared" si="0"/>
        <v/>
      </c>
      <c r="AG6" s="168" t="str">
        <f t="shared" si="0"/>
        <v/>
      </c>
      <c r="AH6" s="119"/>
      <c r="AI6" s="126"/>
    </row>
    <row r="7" spans="1:185" s="246" customFormat="1" ht="14">
      <c r="A7" s="242" t="s">
        <v>2207</v>
      </c>
      <c r="B7" s="243"/>
      <c r="C7" s="248" t="s">
        <v>1849</v>
      </c>
      <c r="D7" s="260" t="s">
        <v>1279</v>
      </c>
      <c r="E7" s="230"/>
      <c r="F7" s="230"/>
      <c r="G7" s="230"/>
      <c r="H7" s="230"/>
      <c r="I7" s="230"/>
      <c r="J7" s="230"/>
      <c r="K7" s="230"/>
      <c r="L7" s="230"/>
      <c r="M7" s="230"/>
      <c r="N7" s="230"/>
      <c r="O7" s="230"/>
      <c r="P7" s="230"/>
      <c r="Q7" s="230"/>
      <c r="R7" s="230"/>
      <c r="S7" s="230"/>
      <c r="T7" s="230"/>
      <c r="U7" s="230"/>
      <c r="V7" s="231"/>
      <c r="W7" s="231"/>
      <c r="X7" s="231"/>
      <c r="Y7" s="231"/>
      <c r="Z7" s="231"/>
      <c r="AA7" s="231"/>
      <c r="AB7" s="231"/>
      <c r="AC7" s="231"/>
      <c r="AD7" s="231"/>
      <c r="AE7" s="231"/>
      <c r="AF7" s="231"/>
      <c r="AG7" s="231"/>
      <c r="AH7" s="244"/>
      <c r="AI7" s="245"/>
      <c r="AJ7" s="244"/>
      <c r="AK7" s="244"/>
      <c r="AL7" s="244"/>
      <c r="AM7" s="244"/>
      <c r="AN7" s="244"/>
      <c r="AO7" s="244"/>
      <c r="AP7" s="244"/>
      <c r="AQ7" s="244"/>
      <c r="AR7" s="244"/>
      <c r="AS7" s="244"/>
      <c r="AT7" s="244"/>
      <c r="AU7" s="244"/>
      <c r="AV7" s="244"/>
      <c r="AW7" s="244"/>
      <c r="AX7" s="244"/>
      <c r="AY7" s="244"/>
      <c r="AZ7" s="244"/>
      <c r="BA7" s="244"/>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44"/>
      <c r="CD7" s="244"/>
      <c r="CE7" s="244"/>
      <c r="CF7" s="244"/>
      <c r="CG7" s="244"/>
      <c r="CH7" s="244"/>
      <c r="CI7" s="244"/>
      <c r="CJ7" s="244"/>
      <c r="CK7" s="244"/>
      <c r="CL7" s="244"/>
      <c r="CM7" s="244"/>
      <c r="CN7" s="244"/>
      <c r="CO7" s="244"/>
      <c r="CP7" s="244"/>
      <c r="CQ7" s="244"/>
      <c r="CR7" s="244"/>
      <c r="CS7" s="244"/>
      <c r="CT7" s="244"/>
      <c r="CU7" s="244"/>
      <c r="CV7" s="244"/>
      <c r="CW7" s="244"/>
      <c r="CX7" s="244"/>
      <c r="CY7" s="244"/>
      <c r="CZ7" s="244"/>
      <c r="DA7" s="244"/>
      <c r="DB7" s="244"/>
      <c r="DC7" s="244"/>
      <c r="DD7" s="244"/>
      <c r="DE7" s="244"/>
      <c r="DF7" s="244"/>
      <c r="DG7" s="244"/>
      <c r="DH7" s="244"/>
      <c r="DI7" s="244"/>
      <c r="DJ7" s="244"/>
      <c r="DK7" s="244"/>
      <c r="DL7" s="244"/>
      <c r="DM7" s="244"/>
      <c r="DN7" s="244"/>
      <c r="DO7" s="244"/>
      <c r="DP7" s="244"/>
      <c r="DQ7" s="244"/>
      <c r="DR7" s="244"/>
      <c r="DS7" s="244"/>
      <c r="DT7" s="244"/>
      <c r="DU7" s="244"/>
      <c r="DV7" s="244"/>
      <c r="DW7" s="244"/>
      <c r="DX7" s="244"/>
      <c r="DY7" s="244"/>
      <c r="DZ7" s="244"/>
      <c r="EA7" s="244"/>
      <c r="EB7" s="244"/>
      <c r="EC7" s="244"/>
      <c r="ED7" s="244"/>
      <c r="EE7" s="244"/>
      <c r="EF7" s="244"/>
      <c r="EG7" s="244"/>
      <c r="EH7" s="244"/>
      <c r="EI7" s="244"/>
      <c r="EJ7" s="244"/>
      <c r="EK7" s="244"/>
      <c r="EL7" s="244"/>
      <c r="EM7" s="244"/>
      <c r="EN7" s="244"/>
      <c r="EO7" s="244"/>
      <c r="EP7" s="244"/>
      <c r="EQ7" s="244"/>
      <c r="ER7" s="244"/>
      <c r="ES7" s="244"/>
      <c r="ET7" s="244"/>
      <c r="EU7" s="244"/>
      <c r="EV7" s="244"/>
      <c r="EW7" s="244"/>
      <c r="EX7" s="244"/>
      <c r="EY7" s="244"/>
      <c r="EZ7" s="244"/>
      <c r="FA7" s="244"/>
      <c r="FB7" s="244"/>
      <c r="FC7" s="244"/>
      <c r="FD7" s="244"/>
      <c r="FE7" s="244"/>
      <c r="FF7" s="244"/>
      <c r="FG7" s="244"/>
      <c r="FH7" s="244"/>
      <c r="FI7" s="244"/>
      <c r="FJ7" s="244"/>
      <c r="FK7" s="244"/>
      <c r="FL7" s="244"/>
      <c r="FM7" s="244"/>
      <c r="FN7" s="244"/>
      <c r="FO7" s="244"/>
      <c r="FP7" s="244"/>
      <c r="FQ7" s="244"/>
      <c r="FR7" s="244"/>
      <c r="FS7" s="244"/>
      <c r="FT7" s="244"/>
      <c r="FU7" s="244"/>
      <c r="FV7" s="244"/>
      <c r="FW7" s="244"/>
      <c r="FX7" s="244"/>
      <c r="FY7" s="244"/>
      <c r="FZ7" s="244"/>
      <c r="GA7" s="244"/>
      <c r="GB7" s="244"/>
      <c r="GC7" s="244"/>
    </row>
    <row r="8" spans="1:185" s="123" customFormat="1">
      <c r="A8" s="14" t="s">
        <v>1798</v>
      </c>
      <c r="B8" s="15" t="s">
        <v>2085</v>
      </c>
      <c r="C8" s="206">
        <f>SUM(E8:AG8)</f>
        <v>0</v>
      </c>
      <c r="D8" s="262">
        <v>251752048</v>
      </c>
      <c r="E8" s="208"/>
      <c r="F8" s="208"/>
      <c r="G8" s="208"/>
      <c r="H8" s="208"/>
      <c r="I8" s="208"/>
      <c r="J8" s="208"/>
      <c r="K8" s="208"/>
      <c r="L8" s="208"/>
      <c r="M8" s="208"/>
      <c r="N8" s="208"/>
      <c r="O8" s="208"/>
      <c r="P8" s="208"/>
      <c r="Q8" s="208"/>
      <c r="R8" s="208"/>
      <c r="S8" s="208"/>
      <c r="T8" s="208"/>
      <c r="U8" s="208"/>
      <c r="V8" s="208"/>
      <c r="W8" s="208"/>
      <c r="X8" s="208"/>
      <c r="Y8" s="208"/>
      <c r="Z8" s="208"/>
      <c r="AA8" s="208"/>
      <c r="AB8" s="208"/>
      <c r="AC8" s="208"/>
      <c r="AD8" s="208"/>
      <c r="AE8" s="208"/>
      <c r="AF8" s="208"/>
      <c r="AG8" s="208"/>
      <c r="AH8" s="172"/>
      <c r="AI8" s="173"/>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2"/>
      <c r="BK8" s="122"/>
      <c r="BL8" s="122"/>
      <c r="BM8" s="122"/>
      <c r="BN8" s="122"/>
      <c r="BO8" s="122"/>
      <c r="BP8" s="122"/>
      <c r="BQ8" s="122"/>
      <c r="BR8" s="122"/>
      <c r="BS8" s="122"/>
      <c r="BT8" s="122"/>
      <c r="BU8" s="122"/>
      <c r="BV8" s="122"/>
      <c r="BW8" s="122"/>
      <c r="BX8" s="122"/>
      <c r="BY8" s="122"/>
      <c r="BZ8" s="122"/>
      <c r="CA8" s="122"/>
      <c r="CB8" s="122"/>
      <c r="CC8" s="122"/>
      <c r="CD8" s="122"/>
      <c r="CE8" s="122"/>
      <c r="CF8" s="122"/>
      <c r="CG8" s="122"/>
      <c r="CH8" s="122"/>
      <c r="CI8" s="122"/>
      <c r="CJ8" s="122"/>
      <c r="CK8" s="122"/>
      <c r="CL8" s="122"/>
      <c r="CM8" s="122"/>
      <c r="CN8" s="122"/>
      <c r="CO8" s="122"/>
      <c r="CP8" s="122"/>
      <c r="CQ8" s="122"/>
      <c r="CR8" s="122"/>
      <c r="CS8" s="122"/>
      <c r="CT8" s="122"/>
      <c r="CU8" s="122"/>
      <c r="CV8" s="122"/>
      <c r="CW8" s="122"/>
      <c r="CX8" s="122"/>
      <c r="CY8" s="122"/>
      <c r="CZ8" s="122"/>
      <c r="DA8" s="122"/>
      <c r="DB8" s="122"/>
      <c r="DC8" s="122"/>
      <c r="DD8" s="122"/>
      <c r="DE8" s="122"/>
      <c r="DF8" s="122"/>
      <c r="DG8" s="122"/>
      <c r="DH8" s="122"/>
      <c r="DI8" s="122"/>
      <c r="DJ8" s="122"/>
      <c r="DK8" s="122"/>
      <c r="DL8" s="122"/>
      <c r="DM8" s="122"/>
      <c r="DN8" s="122"/>
      <c r="DO8" s="122"/>
      <c r="DP8" s="122"/>
      <c r="DQ8" s="122"/>
      <c r="DR8" s="122"/>
      <c r="DS8" s="122"/>
      <c r="DT8" s="122"/>
      <c r="DU8" s="122"/>
      <c r="DV8" s="122"/>
      <c r="DW8" s="122"/>
      <c r="DX8" s="122"/>
      <c r="DY8" s="122"/>
      <c r="DZ8" s="122"/>
      <c r="EA8" s="122"/>
      <c r="EB8" s="122"/>
      <c r="EC8" s="122"/>
      <c r="ED8" s="122"/>
      <c r="EE8" s="122"/>
      <c r="EF8" s="122"/>
      <c r="EG8" s="122"/>
      <c r="EH8" s="122"/>
      <c r="EI8" s="122"/>
      <c r="EJ8" s="122"/>
      <c r="EK8" s="122"/>
      <c r="EL8" s="122"/>
      <c r="EM8" s="122"/>
      <c r="EN8" s="122"/>
      <c r="EO8" s="122"/>
      <c r="EP8" s="122"/>
      <c r="EQ8" s="122"/>
      <c r="ER8" s="122"/>
      <c r="ES8" s="122"/>
      <c r="ET8" s="122"/>
      <c r="EU8" s="122"/>
      <c r="EV8" s="122"/>
      <c r="EW8" s="122"/>
      <c r="EX8" s="122"/>
      <c r="EY8" s="122"/>
      <c r="EZ8" s="122"/>
      <c r="FA8" s="122"/>
      <c r="FB8" s="122"/>
      <c r="FC8" s="122"/>
      <c r="FD8" s="122"/>
      <c r="FE8" s="122"/>
      <c r="FF8" s="122"/>
      <c r="FG8" s="122"/>
      <c r="FH8" s="122"/>
      <c r="FI8" s="122"/>
      <c r="FJ8" s="122"/>
      <c r="FK8" s="122"/>
      <c r="FL8" s="122"/>
      <c r="FM8" s="122"/>
      <c r="FN8" s="122"/>
      <c r="FO8" s="122"/>
      <c r="FP8" s="122"/>
      <c r="FQ8" s="122"/>
      <c r="FR8" s="122"/>
      <c r="FS8" s="122"/>
      <c r="FT8" s="122"/>
      <c r="FU8" s="122"/>
      <c r="FV8" s="122"/>
      <c r="FW8" s="122"/>
      <c r="FX8" s="122"/>
      <c r="FY8" s="122"/>
      <c r="FZ8" s="122"/>
      <c r="GA8" s="122"/>
      <c r="GB8" s="122"/>
      <c r="GC8" s="122"/>
    </row>
    <row r="9" spans="1:185" s="121" customFormat="1">
      <c r="A9" s="14" t="s">
        <v>1799</v>
      </c>
      <c r="B9" s="15" t="s">
        <v>1800</v>
      </c>
      <c r="C9" s="206">
        <f>SUM(E9:AG9)</f>
        <v>0</v>
      </c>
      <c r="D9" s="261">
        <v>41465043</v>
      </c>
      <c r="E9" s="209"/>
      <c r="F9" s="209"/>
      <c r="G9" s="209"/>
      <c r="H9" s="209"/>
      <c r="I9" s="209"/>
      <c r="J9" s="209"/>
      <c r="K9" s="210"/>
      <c r="L9" s="210"/>
      <c r="M9" s="210"/>
      <c r="N9" s="210"/>
      <c r="O9" s="210"/>
      <c r="P9" s="210"/>
      <c r="Q9" s="210"/>
      <c r="R9" s="210"/>
      <c r="S9" s="210"/>
      <c r="T9" s="210"/>
      <c r="U9" s="210"/>
      <c r="V9" s="210"/>
      <c r="W9" s="210"/>
      <c r="X9" s="210"/>
      <c r="Y9" s="210"/>
      <c r="Z9" s="210"/>
      <c r="AA9" s="210"/>
      <c r="AB9" s="210"/>
      <c r="AC9" s="210"/>
      <c r="AD9" s="210"/>
      <c r="AE9" s="210"/>
      <c r="AF9" s="210"/>
      <c r="AG9" s="210"/>
      <c r="AH9" s="170"/>
      <c r="AI9" s="171"/>
      <c r="AJ9" s="120"/>
      <c r="AK9" s="120"/>
      <c r="AL9" s="120"/>
      <c r="AM9" s="120"/>
      <c r="AN9" s="120"/>
      <c r="AO9" s="120"/>
      <c r="AP9" s="120"/>
      <c r="AQ9" s="120"/>
      <c r="AR9" s="120"/>
      <c r="AS9" s="120"/>
      <c r="AT9" s="120"/>
      <c r="AU9" s="120"/>
      <c r="AV9" s="120"/>
      <c r="AW9" s="120"/>
      <c r="AX9" s="120"/>
      <c r="AY9" s="120"/>
      <c r="AZ9" s="120"/>
      <c r="BA9" s="120"/>
      <c r="BB9" s="120"/>
      <c r="BC9" s="120"/>
      <c r="BD9" s="120"/>
      <c r="BE9" s="120"/>
      <c r="BF9" s="120"/>
      <c r="BG9" s="120"/>
      <c r="BH9" s="120"/>
      <c r="BI9" s="120"/>
      <c r="BJ9" s="120"/>
      <c r="BK9" s="120"/>
      <c r="BL9" s="120"/>
      <c r="BM9" s="120"/>
      <c r="BN9" s="120"/>
      <c r="BO9" s="120"/>
      <c r="BP9" s="120"/>
      <c r="BQ9" s="120"/>
      <c r="BR9" s="120"/>
      <c r="BS9" s="120"/>
      <c r="BT9" s="120"/>
      <c r="BU9" s="120"/>
      <c r="BV9" s="120"/>
      <c r="BW9" s="120"/>
      <c r="BX9" s="120"/>
      <c r="BY9" s="120"/>
      <c r="BZ9" s="120"/>
      <c r="CA9" s="120"/>
      <c r="CB9" s="120"/>
      <c r="CC9" s="120"/>
      <c r="CD9" s="120"/>
      <c r="CE9" s="120"/>
      <c r="CF9" s="120"/>
      <c r="CG9" s="120"/>
      <c r="CH9" s="120"/>
      <c r="CI9" s="120"/>
      <c r="CJ9" s="120"/>
      <c r="CK9" s="120"/>
      <c r="CL9" s="120"/>
      <c r="CM9" s="120"/>
      <c r="CN9" s="120"/>
      <c r="CO9" s="120"/>
      <c r="CP9" s="120"/>
      <c r="CQ9" s="120"/>
      <c r="CR9" s="120"/>
      <c r="CS9" s="120"/>
      <c r="CT9" s="120"/>
      <c r="CU9" s="120"/>
      <c r="CV9" s="120"/>
      <c r="CW9" s="120"/>
      <c r="CX9" s="120"/>
      <c r="CY9" s="120"/>
      <c r="CZ9" s="120"/>
      <c r="DA9" s="120"/>
      <c r="DB9" s="120"/>
      <c r="DC9" s="120"/>
      <c r="DD9" s="120"/>
      <c r="DE9" s="120"/>
      <c r="DF9" s="120"/>
      <c r="DG9" s="120"/>
      <c r="DH9" s="120"/>
      <c r="DI9" s="120"/>
      <c r="DJ9" s="120"/>
      <c r="DK9" s="120"/>
      <c r="DL9" s="120"/>
      <c r="DM9" s="120"/>
      <c r="DN9" s="120"/>
      <c r="DO9" s="120"/>
      <c r="DP9" s="120"/>
      <c r="DQ9" s="120"/>
      <c r="DR9" s="120"/>
      <c r="DS9" s="120"/>
      <c r="DT9" s="120"/>
      <c r="DU9" s="120"/>
      <c r="DV9" s="120"/>
      <c r="DW9" s="120"/>
      <c r="DX9" s="120"/>
      <c r="DY9" s="120"/>
      <c r="DZ9" s="120"/>
      <c r="EA9" s="120"/>
      <c r="EB9" s="120"/>
      <c r="EC9" s="120"/>
      <c r="ED9" s="120"/>
      <c r="EE9" s="120"/>
      <c r="EF9" s="120"/>
      <c r="EG9" s="120"/>
      <c r="EH9" s="120"/>
      <c r="EI9" s="120"/>
      <c r="EJ9" s="120"/>
      <c r="EK9" s="120"/>
      <c r="EL9" s="120"/>
      <c r="EM9" s="120"/>
      <c r="EN9" s="120"/>
      <c r="EO9" s="120"/>
      <c r="EP9" s="120"/>
      <c r="EQ9" s="120"/>
      <c r="ER9" s="120"/>
      <c r="ES9" s="120"/>
      <c r="ET9" s="120"/>
      <c r="EU9" s="120"/>
      <c r="EV9" s="120"/>
      <c r="EW9" s="120"/>
      <c r="EX9" s="120"/>
      <c r="EY9" s="120"/>
      <c r="EZ9" s="120"/>
      <c r="FA9" s="120"/>
      <c r="FB9" s="120"/>
      <c r="FC9" s="120"/>
      <c r="FD9" s="120"/>
      <c r="FE9" s="120"/>
      <c r="FF9" s="120"/>
      <c r="FG9" s="120"/>
      <c r="FH9" s="120"/>
      <c r="FI9" s="120"/>
      <c r="FJ9" s="120"/>
      <c r="FK9" s="120"/>
      <c r="FL9" s="120"/>
      <c r="FM9" s="120"/>
      <c r="FN9" s="120"/>
      <c r="FO9" s="120"/>
      <c r="FP9" s="120"/>
      <c r="FQ9" s="120"/>
      <c r="FR9" s="120"/>
      <c r="FS9" s="120"/>
      <c r="FT9" s="120"/>
      <c r="FU9" s="120"/>
      <c r="FV9" s="120"/>
      <c r="FW9" s="120"/>
      <c r="FX9" s="120"/>
      <c r="FY9" s="120"/>
      <c r="FZ9" s="120"/>
      <c r="GA9" s="120"/>
      <c r="GB9" s="120"/>
      <c r="GC9" s="120"/>
    </row>
    <row r="10" spans="1:185" s="121" customFormat="1">
      <c r="A10" s="14" t="s">
        <v>1801</v>
      </c>
      <c r="B10" s="15" t="s">
        <v>1802</v>
      </c>
      <c r="C10" s="206">
        <f>SUM(E10:AG10)</f>
        <v>0</v>
      </c>
      <c r="D10" s="261">
        <v>2961789</v>
      </c>
      <c r="E10" s="209"/>
      <c r="F10" s="209"/>
      <c r="G10" s="209"/>
      <c r="H10" s="209"/>
      <c r="I10" s="209"/>
      <c r="J10" s="209"/>
      <c r="K10" s="210"/>
      <c r="L10" s="210"/>
      <c r="M10" s="210"/>
      <c r="N10" s="210"/>
      <c r="O10" s="210"/>
      <c r="P10" s="210"/>
      <c r="Q10" s="210"/>
      <c r="R10" s="210"/>
      <c r="S10" s="210"/>
      <c r="T10" s="210"/>
      <c r="U10" s="210"/>
      <c r="V10" s="210"/>
      <c r="W10" s="210"/>
      <c r="X10" s="210"/>
      <c r="Y10" s="210"/>
      <c r="Z10" s="210"/>
      <c r="AA10" s="210"/>
      <c r="AB10" s="210"/>
      <c r="AC10" s="210"/>
      <c r="AD10" s="210"/>
      <c r="AE10" s="210"/>
      <c r="AF10" s="210"/>
      <c r="AG10" s="210"/>
      <c r="AH10" s="170"/>
      <c r="AI10" s="171"/>
      <c r="AJ10" s="120"/>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BY10" s="120"/>
      <c r="BZ10" s="120"/>
      <c r="CA10" s="120"/>
      <c r="CB10" s="120"/>
      <c r="CC10" s="120"/>
      <c r="CD10" s="120"/>
      <c r="CE10" s="120"/>
      <c r="CF10" s="120"/>
      <c r="CG10" s="120"/>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c r="EU10" s="120"/>
      <c r="EV10" s="120"/>
      <c r="EW10" s="120"/>
      <c r="EX10" s="120"/>
      <c r="EY10" s="120"/>
      <c r="EZ10" s="120"/>
      <c r="FA10" s="120"/>
      <c r="FB10" s="120"/>
      <c r="FC10" s="120"/>
      <c r="FD10" s="120"/>
      <c r="FE10" s="120"/>
      <c r="FF10" s="120"/>
      <c r="FG10" s="120"/>
      <c r="FH10" s="120"/>
      <c r="FI10" s="120"/>
      <c r="FJ10" s="120"/>
      <c r="FK10" s="120"/>
      <c r="FL10" s="120"/>
      <c r="FM10" s="120"/>
      <c r="FN10" s="120"/>
      <c r="FO10" s="120"/>
      <c r="FP10" s="120"/>
      <c r="FQ10" s="120"/>
      <c r="FR10" s="120"/>
      <c r="FS10" s="120"/>
      <c r="FT10" s="120"/>
      <c r="FU10" s="120"/>
      <c r="FV10" s="120"/>
      <c r="FW10" s="120"/>
      <c r="FX10" s="120"/>
      <c r="FY10" s="120"/>
      <c r="FZ10" s="120"/>
      <c r="GA10" s="120"/>
      <c r="GB10" s="120"/>
      <c r="GC10" s="120"/>
    </row>
    <row r="11" spans="1:185" s="121" customFormat="1">
      <c r="A11" s="14" t="s">
        <v>1803</v>
      </c>
      <c r="B11" s="15" t="s">
        <v>1804</v>
      </c>
      <c r="C11" s="206">
        <f>SUM(E11:AG11)</f>
        <v>0</v>
      </c>
      <c r="D11" s="261">
        <v>0</v>
      </c>
      <c r="E11" s="209"/>
      <c r="F11" s="209"/>
      <c r="G11" s="209"/>
      <c r="H11" s="209"/>
      <c r="I11" s="209"/>
      <c r="J11" s="209"/>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180"/>
      <c r="AI11" s="181"/>
      <c r="AJ11" s="129"/>
      <c r="AK11" s="129"/>
      <c r="AL11" s="129"/>
      <c r="AM11" s="129"/>
      <c r="AN11" s="129"/>
      <c r="AO11" s="129"/>
      <c r="AP11" s="129"/>
      <c r="AQ11" s="129"/>
      <c r="AR11" s="129"/>
      <c r="AS11" s="129"/>
      <c r="AT11" s="129"/>
      <c r="AU11" s="129"/>
      <c r="AV11" s="129"/>
      <c r="AW11" s="129"/>
      <c r="AX11" s="129"/>
      <c r="AY11" s="129"/>
      <c r="AZ11" s="129"/>
      <c r="BA11" s="129"/>
      <c r="BB11" s="129"/>
      <c r="BC11" s="129"/>
      <c r="BD11" s="129"/>
      <c r="BE11" s="129"/>
      <c r="BF11" s="129"/>
      <c r="BG11" s="129"/>
      <c r="BH11" s="129"/>
      <c r="BI11" s="129"/>
      <c r="BJ11" s="129"/>
      <c r="BK11" s="129"/>
      <c r="BL11" s="129"/>
      <c r="BM11" s="129"/>
      <c r="BN11" s="129"/>
      <c r="BO11" s="129"/>
      <c r="BP11" s="129"/>
      <c r="BQ11" s="129"/>
      <c r="BR11" s="129"/>
      <c r="BS11" s="129"/>
      <c r="BT11" s="129"/>
      <c r="BU11" s="129"/>
      <c r="BV11" s="129"/>
      <c r="BW11" s="129"/>
      <c r="BX11" s="129"/>
      <c r="BY11" s="129"/>
      <c r="BZ11" s="129"/>
      <c r="CA11" s="129"/>
      <c r="CB11" s="129"/>
      <c r="CC11" s="129"/>
      <c r="CD11" s="129"/>
      <c r="CE11" s="129"/>
      <c r="CF11" s="129"/>
      <c r="CG11" s="129"/>
      <c r="CH11" s="129"/>
      <c r="CI11" s="129"/>
      <c r="CJ11" s="129"/>
      <c r="CK11" s="129"/>
      <c r="CL11" s="129"/>
      <c r="CM11" s="129"/>
      <c r="CN11" s="129"/>
      <c r="CO11" s="129"/>
      <c r="CP11" s="129"/>
      <c r="CQ11" s="129"/>
      <c r="CR11" s="129"/>
      <c r="CS11" s="129"/>
      <c r="CT11" s="129"/>
      <c r="CU11" s="129"/>
      <c r="CV11" s="129"/>
      <c r="CW11" s="129"/>
      <c r="CX11" s="129"/>
      <c r="CY11" s="129"/>
      <c r="CZ11" s="129"/>
      <c r="DA11" s="129"/>
      <c r="DB11" s="129"/>
      <c r="DC11" s="129"/>
      <c r="DD11" s="129"/>
      <c r="DE11" s="129"/>
      <c r="DF11" s="129"/>
      <c r="DG11" s="129"/>
      <c r="DH11" s="129"/>
      <c r="DI11" s="129"/>
      <c r="DJ11" s="129"/>
      <c r="DK11" s="129"/>
      <c r="DL11" s="129"/>
      <c r="DM11" s="129"/>
      <c r="DN11" s="129"/>
      <c r="DO11" s="129"/>
      <c r="DP11" s="129"/>
      <c r="DQ11" s="129"/>
      <c r="DR11" s="129"/>
      <c r="DS11" s="129"/>
      <c r="DT11" s="129"/>
      <c r="DU11" s="129"/>
      <c r="DV11" s="129"/>
      <c r="DW11" s="129"/>
      <c r="DX11" s="129"/>
      <c r="DY11" s="129"/>
      <c r="DZ11" s="129"/>
      <c r="EA11" s="129"/>
      <c r="EB11" s="129"/>
      <c r="EC11" s="129"/>
      <c r="ED11" s="129"/>
      <c r="EE11" s="129"/>
      <c r="EF11" s="129"/>
      <c r="EG11" s="129"/>
      <c r="EH11" s="129"/>
      <c r="EI11" s="129"/>
      <c r="EJ11" s="129"/>
      <c r="EK11" s="129"/>
      <c r="EL11" s="129"/>
      <c r="EM11" s="129"/>
      <c r="EN11" s="129"/>
      <c r="EO11" s="129"/>
      <c r="EP11" s="129"/>
      <c r="EQ11" s="129"/>
      <c r="ER11" s="129"/>
      <c r="ES11" s="129"/>
      <c r="ET11" s="129"/>
      <c r="EU11" s="129"/>
      <c r="EV11" s="129"/>
      <c r="EW11" s="129"/>
      <c r="EX11" s="129"/>
      <c r="EY11" s="129"/>
      <c r="EZ11" s="129"/>
      <c r="FA11" s="129"/>
      <c r="FB11" s="129"/>
      <c r="FC11" s="129"/>
      <c r="FD11" s="129"/>
      <c r="FE11" s="129"/>
      <c r="FF11" s="129"/>
      <c r="FG11" s="129"/>
      <c r="FH11" s="129"/>
      <c r="FI11" s="129"/>
      <c r="FJ11" s="129"/>
      <c r="FK11" s="129"/>
      <c r="FL11" s="129"/>
      <c r="FM11" s="129"/>
      <c r="FN11" s="129"/>
      <c r="FO11" s="129"/>
      <c r="FP11" s="129"/>
      <c r="FQ11" s="129"/>
      <c r="FR11" s="129"/>
      <c r="FS11" s="129"/>
      <c r="FT11" s="129"/>
      <c r="FU11" s="129"/>
      <c r="FV11" s="129"/>
      <c r="FW11" s="129"/>
      <c r="FX11" s="129"/>
      <c r="FY11" s="129"/>
      <c r="FZ11" s="129"/>
      <c r="GA11" s="129"/>
      <c r="GB11" s="129"/>
      <c r="GC11" s="129"/>
    </row>
    <row r="12" spans="1:185" s="123" customFormat="1">
      <c r="A12" s="20" t="s">
        <v>1805</v>
      </c>
      <c r="B12" s="16" t="s">
        <v>1964</v>
      </c>
      <c r="C12" s="204">
        <f>SUM(E12:AG12)</f>
        <v>0</v>
      </c>
      <c r="D12" s="236">
        <f t="shared" ref="D12:AG12" si="1">D8+D9+D10+D11</f>
        <v>296178880</v>
      </c>
      <c r="E12" s="204">
        <f t="shared" si="1"/>
        <v>0</v>
      </c>
      <c r="F12" s="204">
        <f t="shared" si="1"/>
        <v>0</v>
      </c>
      <c r="G12" s="204">
        <f t="shared" si="1"/>
        <v>0</v>
      </c>
      <c r="H12" s="204">
        <f t="shared" si="1"/>
        <v>0</v>
      </c>
      <c r="I12" s="204">
        <f t="shared" si="1"/>
        <v>0</v>
      </c>
      <c r="J12" s="204">
        <f t="shared" si="1"/>
        <v>0</v>
      </c>
      <c r="K12" s="204">
        <f t="shared" si="1"/>
        <v>0</v>
      </c>
      <c r="L12" s="204">
        <f t="shared" si="1"/>
        <v>0</v>
      </c>
      <c r="M12" s="204">
        <f t="shared" si="1"/>
        <v>0</v>
      </c>
      <c r="N12" s="204">
        <f t="shared" si="1"/>
        <v>0</v>
      </c>
      <c r="O12" s="204">
        <f t="shared" si="1"/>
        <v>0</v>
      </c>
      <c r="P12" s="204">
        <f t="shared" si="1"/>
        <v>0</v>
      </c>
      <c r="Q12" s="204">
        <f t="shared" si="1"/>
        <v>0</v>
      </c>
      <c r="R12" s="204">
        <f t="shared" si="1"/>
        <v>0</v>
      </c>
      <c r="S12" s="204">
        <f t="shared" si="1"/>
        <v>0</v>
      </c>
      <c r="T12" s="204">
        <f t="shared" si="1"/>
        <v>0</v>
      </c>
      <c r="U12" s="204">
        <f t="shared" si="1"/>
        <v>0</v>
      </c>
      <c r="V12" s="204">
        <f t="shared" si="1"/>
        <v>0</v>
      </c>
      <c r="W12" s="204">
        <f t="shared" si="1"/>
        <v>0</v>
      </c>
      <c r="X12" s="204">
        <f t="shared" si="1"/>
        <v>0</v>
      </c>
      <c r="Y12" s="204">
        <f t="shared" si="1"/>
        <v>0</v>
      </c>
      <c r="Z12" s="204">
        <f t="shared" si="1"/>
        <v>0</v>
      </c>
      <c r="AA12" s="204">
        <f t="shared" si="1"/>
        <v>0</v>
      </c>
      <c r="AB12" s="204">
        <f t="shared" si="1"/>
        <v>0</v>
      </c>
      <c r="AC12" s="204">
        <f t="shared" si="1"/>
        <v>0</v>
      </c>
      <c r="AD12" s="204">
        <f t="shared" si="1"/>
        <v>0</v>
      </c>
      <c r="AE12" s="204">
        <f t="shared" si="1"/>
        <v>0</v>
      </c>
      <c r="AF12" s="204">
        <f t="shared" si="1"/>
        <v>0</v>
      </c>
      <c r="AG12" s="204">
        <f t="shared" si="1"/>
        <v>0</v>
      </c>
      <c r="AH12" s="172"/>
      <c r="AI12" s="173"/>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c r="DA12" s="122"/>
      <c r="DB12" s="122"/>
      <c r="DC12" s="122"/>
      <c r="DD12" s="122"/>
      <c r="DE12" s="122"/>
      <c r="DF12" s="122"/>
      <c r="DG12" s="122"/>
      <c r="DH12" s="122"/>
      <c r="DI12" s="122"/>
      <c r="DJ12" s="122"/>
      <c r="DK12" s="122"/>
      <c r="DL12" s="122"/>
      <c r="DM12" s="122"/>
      <c r="DN12" s="122"/>
      <c r="DO12" s="122"/>
      <c r="DP12" s="122"/>
      <c r="DQ12" s="122"/>
      <c r="DR12" s="122"/>
      <c r="DS12" s="122"/>
      <c r="DT12" s="122"/>
      <c r="DU12" s="122"/>
      <c r="DV12" s="122"/>
      <c r="DW12" s="122"/>
      <c r="DX12" s="122"/>
      <c r="DY12" s="122"/>
      <c r="DZ12" s="122"/>
      <c r="EA12" s="122"/>
      <c r="EB12" s="122"/>
      <c r="EC12" s="122"/>
      <c r="ED12" s="122"/>
      <c r="EE12" s="122"/>
      <c r="EF12" s="122"/>
      <c r="EG12" s="122"/>
      <c r="EH12" s="122"/>
      <c r="EI12" s="122"/>
      <c r="EJ12" s="122"/>
      <c r="EK12" s="122"/>
      <c r="EL12" s="122"/>
      <c r="EM12" s="122"/>
      <c r="EN12" s="122"/>
      <c r="EO12" s="122"/>
      <c r="EP12" s="122"/>
      <c r="EQ12" s="122"/>
      <c r="ER12" s="122"/>
      <c r="ES12" s="122"/>
      <c r="ET12" s="122"/>
      <c r="EU12" s="122"/>
      <c r="EV12" s="122"/>
      <c r="EW12" s="122"/>
      <c r="EX12" s="122"/>
      <c r="EY12" s="122"/>
      <c r="EZ12" s="122"/>
      <c r="FA12" s="122"/>
      <c r="FB12" s="122"/>
      <c r="FC12" s="122"/>
      <c r="FD12" s="122"/>
      <c r="FE12" s="122"/>
      <c r="FF12" s="122"/>
      <c r="FG12" s="122"/>
      <c r="FH12" s="122"/>
      <c r="FI12" s="122"/>
      <c r="FJ12" s="122"/>
      <c r="FK12" s="122"/>
      <c r="FL12" s="122"/>
      <c r="FM12" s="122"/>
      <c r="FN12" s="122"/>
      <c r="FO12" s="122"/>
      <c r="FP12" s="122"/>
      <c r="FQ12" s="122"/>
      <c r="FR12" s="122"/>
      <c r="FS12" s="122"/>
      <c r="FT12" s="122"/>
      <c r="FU12" s="122"/>
      <c r="FV12" s="122"/>
      <c r="FW12" s="122"/>
      <c r="FX12" s="122"/>
      <c r="FY12" s="122"/>
      <c r="FZ12" s="122"/>
      <c r="GA12" s="122"/>
      <c r="GB12" s="122"/>
      <c r="GC12" s="122"/>
    </row>
    <row r="13" spans="1:185" s="121" customFormat="1">
      <c r="A13" s="18"/>
      <c r="B13" s="29"/>
      <c r="C13" s="207"/>
      <c r="D13" s="262"/>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170"/>
      <c r="AI13" s="171"/>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c r="EU13" s="120"/>
      <c r="EV13" s="120"/>
      <c r="EW13" s="120"/>
      <c r="EX13" s="120"/>
      <c r="EY13" s="120"/>
      <c r="EZ13" s="120"/>
      <c r="FA13" s="120"/>
      <c r="FB13" s="120"/>
      <c r="FC13" s="120"/>
      <c r="FD13" s="120"/>
      <c r="FE13" s="120"/>
      <c r="FF13" s="120"/>
      <c r="FG13" s="120"/>
      <c r="FH13" s="120"/>
      <c r="FI13" s="120"/>
      <c r="FJ13" s="120"/>
      <c r="FK13" s="120"/>
      <c r="FL13" s="120"/>
      <c r="FM13" s="120"/>
      <c r="FN13" s="120"/>
      <c r="FO13" s="120"/>
      <c r="FP13" s="120"/>
      <c r="FQ13" s="120"/>
      <c r="FR13" s="120"/>
      <c r="FS13" s="120"/>
      <c r="FT13" s="120"/>
      <c r="FU13" s="120"/>
      <c r="FV13" s="120"/>
      <c r="FW13" s="120"/>
      <c r="FX13" s="120"/>
      <c r="FY13" s="120"/>
      <c r="FZ13" s="120"/>
      <c r="GA13" s="120"/>
      <c r="GB13" s="120"/>
      <c r="GC13" s="120"/>
    </row>
    <row r="14" spans="1:185" s="121" customFormat="1">
      <c r="A14" s="14" t="s">
        <v>1806</v>
      </c>
      <c r="B14" s="15" t="s">
        <v>1807</v>
      </c>
      <c r="C14" s="206">
        <f t="shared" ref="C14:C22" si="2">SUM(E14:AG14)</f>
        <v>0</v>
      </c>
      <c r="D14" s="261">
        <v>12291765.441520788</v>
      </c>
      <c r="E14" s="209"/>
      <c r="F14" s="209"/>
      <c r="G14" s="209"/>
      <c r="H14" s="209"/>
      <c r="I14" s="209"/>
      <c r="J14" s="209"/>
      <c r="K14" s="210"/>
      <c r="L14" s="210"/>
      <c r="M14" s="210"/>
      <c r="N14" s="210"/>
      <c r="O14" s="210"/>
      <c r="P14" s="210"/>
      <c r="Q14" s="210"/>
      <c r="R14" s="210"/>
      <c r="S14" s="210"/>
      <c r="T14" s="210"/>
      <c r="U14" s="210"/>
      <c r="V14" s="210"/>
      <c r="W14" s="210"/>
      <c r="X14" s="210"/>
      <c r="Y14" s="210"/>
      <c r="Z14" s="210"/>
      <c r="AA14" s="210"/>
      <c r="AB14" s="210"/>
      <c r="AC14" s="210"/>
      <c r="AD14" s="210"/>
      <c r="AE14" s="210"/>
      <c r="AF14" s="210"/>
      <c r="AG14" s="210"/>
      <c r="AH14" s="170"/>
      <c r="AI14" s="171"/>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20"/>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row>
    <row r="15" spans="1:185" s="121" customFormat="1">
      <c r="A15" s="14" t="s">
        <v>1808</v>
      </c>
      <c r="B15" s="91" t="s">
        <v>1809</v>
      </c>
      <c r="C15" s="206">
        <f t="shared" si="2"/>
        <v>0</v>
      </c>
      <c r="D15" s="261">
        <v>192265920</v>
      </c>
      <c r="E15" s="209"/>
      <c r="F15" s="209"/>
      <c r="G15" s="209"/>
      <c r="H15" s="209"/>
      <c r="I15" s="209"/>
      <c r="J15" s="209"/>
      <c r="K15" s="210"/>
      <c r="L15" s="210"/>
      <c r="M15" s="210"/>
      <c r="N15" s="210"/>
      <c r="O15" s="210"/>
      <c r="P15" s="210"/>
      <c r="Q15" s="210"/>
      <c r="R15" s="210"/>
      <c r="S15" s="210"/>
      <c r="T15" s="210"/>
      <c r="U15" s="210"/>
      <c r="V15" s="210"/>
      <c r="W15" s="210"/>
      <c r="X15" s="210"/>
      <c r="Y15" s="210"/>
      <c r="Z15" s="210"/>
      <c r="AA15" s="210"/>
      <c r="AB15" s="210"/>
      <c r="AC15" s="210"/>
      <c r="AD15" s="210"/>
      <c r="AE15" s="210"/>
      <c r="AF15" s="210"/>
      <c r="AG15" s="210"/>
      <c r="AH15" s="170"/>
      <c r="AI15" s="171"/>
      <c r="AJ15" s="120"/>
      <c r="AK15" s="120"/>
      <c r="AL15" s="120"/>
      <c r="AM15" s="120"/>
      <c r="AN15" s="120"/>
      <c r="AO15" s="120"/>
      <c r="AP15" s="120"/>
      <c r="AQ15" s="120"/>
      <c r="AR15" s="120"/>
      <c r="AS15" s="120"/>
      <c r="AT15" s="120"/>
      <c r="AU15" s="120"/>
      <c r="AV15" s="120"/>
      <c r="AW15" s="120"/>
      <c r="AX15" s="120"/>
      <c r="AY15" s="120"/>
      <c r="AZ15" s="120"/>
      <c r="BA15" s="120"/>
      <c r="BB15" s="120"/>
      <c r="BC15" s="120"/>
      <c r="BD15" s="120"/>
      <c r="BE15" s="120"/>
      <c r="BF15" s="120"/>
      <c r="BG15" s="120"/>
      <c r="BH15" s="120"/>
      <c r="BI15" s="120"/>
      <c r="BJ15" s="120"/>
      <c r="BK15" s="120"/>
      <c r="BL15" s="120"/>
      <c r="BM15" s="120"/>
      <c r="BN15" s="120"/>
      <c r="BO15" s="120"/>
      <c r="BP15" s="120"/>
      <c r="BQ15" s="120"/>
      <c r="BR15" s="120"/>
      <c r="BS15" s="120"/>
      <c r="BT15" s="120"/>
      <c r="BU15" s="120"/>
      <c r="BV15" s="120"/>
      <c r="BW15" s="120"/>
      <c r="BX15" s="120"/>
      <c r="BY15" s="120"/>
      <c r="BZ15" s="120"/>
      <c r="CA15" s="120"/>
      <c r="CB15" s="120"/>
      <c r="CC15" s="120"/>
      <c r="CD15" s="120"/>
      <c r="CE15" s="120"/>
      <c r="CF15" s="120"/>
      <c r="CG15" s="120"/>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c r="EU15" s="120"/>
      <c r="EV15" s="120"/>
      <c r="EW15" s="120"/>
      <c r="EX15" s="120"/>
      <c r="EY15" s="120"/>
      <c r="EZ15" s="120"/>
      <c r="FA15" s="120"/>
      <c r="FB15" s="120"/>
      <c r="FC15" s="120"/>
      <c r="FD15" s="120"/>
      <c r="FE15" s="120"/>
      <c r="FF15" s="120"/>
      <c r="FG15" s="120"/>
      <c r="FH15" s="120"/>
      <c r="FI15" s="120"/>
      <c r="FJ15" s="120"/>
      <c r="FK15" s="120"/>
      <c r="FL15" s="120"/>
      <c r="FM15" s="120"/>
      <c r="FN15" s="120"/>
      <c r="FO15" s="120"/>
      <c r="FP15" s="120"/>
      <c r="FQ15" s="120"/>
      <c r="FR15" s="120"/>
      <c r="FS15" s="120"/>
      <c r="FT15" s="120"/>
      <c r="FU15" s="120"/>
      <c r="FV15" s="120"/>
      <c r="FW15" s="120"/>
      <c r="FX15" s="120"/>
      <c r="FY15" s="120"/>
      <c r="FZ15" s="120"/>
      <c r="GA15" s="120"/>
      <c r="GB15" s="120"/>
      <c r="GC15" s="120"/>
    </row>
    <row r="16" spans="1:185" s="121" customFormat="1">
      <c r="A16" s="96" t="s">
        <v>1810</v>
      </c>
      <c r="B16" s="90" t="s">
        <v>1796</v>
      </c>
      <c r="C16" s="206">
        <f t="shared" si="2"/>
        <v>0</v>
      </c>
      <c r="D16" s="261">
        <v>2575332.8595397808</v>
      </c>
      <c r="E16" s="209"/>
      <c r="F16" s="209"/>
      <c r="G16" s="209"/>
      <c r="H16" s="209"/>
      <c r="I16" s="209"/>
      <c r="J16" s="209"/>
      <c r="K16" s="210"/>
      <c r="L16" s="210"/>
      <c r="M16" s="210"/>
      <c r="N16" s="210"/>
      <c r="O16" s="210"/>
      <c r="P16" s="210"/>
      <c r="Q16" s="210"/>
      <c r="R16" s="210"/>
      <c r="S16" s="210"/>
      <c r="T16" s="210"/>
      <c r="U16" s="210"/>
      <c r="V16" s="210"/>
      <c r="W16" s="210"/>
      <c r="X16" s="210"/>
      <c r="Y16" s="210"/>
      <c r="Z16" s="210"/>
      <c r="AA16" s="210"/>
      <c r="AB16" s="210"/>
      <c r="AC16" s="210"/>
      <c r="AD16" s="210"/>
      <c r="AE16" s="210"/>
      <c r="AF16" s="210"/>
      <c r="AG16" s="210"/>
      <c r="AH16" s="170"/>
      <c r="AI16" s="171"/>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c r="BR16" s="120"/>
      <c r="BS16" s="120"/>
      <c r="BT16" s="120"/>
      <c r="BU16" s="120"/>
      <c r="BV16" s="120"/>
      <c r="BW16" s="120"/>
      <c r="BX16" s="120"/>
      <c r="BY16" s="120"/>
      <c r="BZ16" s="120"/>
      <c r="CA16" s="120"/>
      <c r="CB16" s="120"/>
      <c r="CC16" s="120"/>
      <c r="CD16" s="120"/>
      <c r="CE16" s="120"/>
      <c r="CF16" s="120"/>
      <c r="CG16" s="120"/>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c r="EU16" s="120"/>
      <c r="EV16" s="120"/>
      <c r="EW16" s="120"/>
      <c r="EX16" s="120"/>
      <c r="EY16" s="120"/>
      <c r="EZ16" s="120"/>
      <c r="FA16" s="120"/>
      <c r="FB16" s="120"/>
      <c r="FC16" s="120"/>
      <c r="FD16" s="120"/>
      <c r="FE16" s="120"/>
      <c r="FF16" s="120"/>
      <c r="FG16" s="120"/>
      <c r="FH16" s="120"/>
      <c r="FI16" s="120"/>
      <c r="FJ16" s="120"/>
      <c r="FK16" s="120"/>
      <c r="FL16" s="120"/>
      <c r="FM16" s="120"/>
      <c r="FN16" s="120"/>
      <c r="FO16" s="120"/>
      <c r="FP16" s="120"/>
      <c r="FQ16" s="120"/>
      <c r="FR16" s="120"/>
      <c r="FS16" s="120"/>
      <c r="FT16" s="120"/>
      <c r="FU16" s="120"/>
      <c r="FV16" s="120"/>
      <c r="FW16" s="120"/>
      <c r="FX16" s="120"/>
      <c r="FY16" s="120"/>
      <c r="FZ16" s="120"/>
      <c r="GA16" s="120"/>
      <c r="GB16" s="120"/>
      <c r="GC16" s="120"/>
    </row>
    <row r="17" spans="1:185" s="121" customFormat="1">
      <c r="A17" s="96" t="s">
        <v>1812</v>
      </c>
      <c r="B17" s="90" t="s">
        <v>1797</v>
      </c>
      <c r="C17" s="206">
        <f t="shared" si="2"/>
        <v>0</v>
      </c>
      <c r="D17" s="261">
        <v>25038519.132785276</v>
      </c>
      <c r="E17" s="209"/>
      <c r="F17" s="209"/>
      <c r="G17" s="209"/>
      <c r="H17" s="209"/>
      <c r="I17" s="209"/>
      <c r="J17" s="209"/>
      <c r="K17" s="210"/>
      <c r="L17" s="210"/>
      <c r="M17" s="210"/>
      <c r="N17" s="210"/>
      <c r="O17" s="210"/>
      <c r="P17" s="210"/>
      <c r="Q17" s="210"/>
      <c r="R17" s="210"/>
      <c r="S17" s="210"/>
      <c r="T17" s="210"/>
      <c r="U17" s="210"/>
      <c r="V17" s="210"/>
      <c r="W17" s="210"/>
      <c r="X17" s="210"/>
      <c r="Y17" s="210"/>
      <c r="Z17" s="210"/>
      <c r="AA17" s="210"/>
      <c r="AB17" s="210"/>
      <c r="AC17" s="210"/>
      <c r="AD17" s="210"/>
      <c r="AE17" s="210"/>
      <c r="AF17" s="210"/>
      <c r="AG17" s="210"/>
      <c r="AH17" s="170"/>
      <c r="AI17" s="171"/>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c r="BR17" s="120"/>
      <c r="BS17" s="120"/>
      <c r="BT17" s="120"/>
      <c r="BU17" s="120"/>
      <c r="BV17" s="120"/>
      <c r="BW17" s="120"/>
      <c r="BX17" s="120"/>
      <c r="BY17" s="120"/>
      <c r="BZ17" s="120"/>
      <c r="CA17" s="120"/>
      <c r="CB17" s="120"/>
      <c r="CC17" s="120"/>
      <c r="CD17" s="120"/>
      <c r="CE17" s="120"/>
      <c r="CF17" s="120"/>
      <c r="CG17" s="120"/>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c r="EU17" s="120"/>
      <c r="EV17" s="120"/>
      <c r="EW17" s="120"/>
      <c r="EX17" s="120"/>
      <c r="EY17" s="120"/>
      <c r="EZ17" s="120"/>
      <c r="FA17" s="120"/>
      <c r="FB17" s="120"/>
      <c r="FC17" s="120"/>
      <c r="FD17" s="120"/>
      <c r="FE17" s="120"/>
      <c r="FF17" s="120"/>
      <c r="FG17" s="120"/>
      <c r="FH17" s="120"/>
      <c r="FI17" s="120"/>
      <c r="FJ17" s="120"/>
      <c r="FK17" s="120"/>
      <c r="FL17" s="120"/>
      <c r="FM17" s="120"/>
      <c r="FN17" s="120"/>
      <c r="FO17" s="120"/>
      <c r="FP17" s="120"/>
      <c r="FQ17" s="120"/>
      <c r="FR17" s="120"/>
      <c r="FS17" s="120"/>
      <c r="FT17" s="120"/>
      <c r="FU17" s="120"/>
      <c r="FV17" s="120"/>
      <c r="FW17" s="120"/>
      <c r="FX17" s="120"/>
      <c r="FY17" s="120"/>
      <c r="FZ17" s="120"/>
      <c r="GA17" s="120"/>
      <c r="GB17" s="120"/>
      <c r="GC17" s="120"/>
    </row>
    <row r="18" spans="1:185" s="121" customFormat="1">
      <c r="A18" s="96" t="s">
        <v>1813</v>
      </c>
      <c r="B18" s="90" t="s">
        <v>1877</v>
      </c>
      <c r="C18" s="206">
        <f t="shared" si="2"/>
        <v>0</v>
      </c>
      <c r="D18" s="261">
        <v>21685379.960734908</v>
      </c>
      <c r="E18" s="209"/>
      <c r="F18" s="209"/>
      <c r="G18" s="209"/>
      <c r="H18" s="209"/>
      <c r="I18" s="209"/>
      <c r="J18" s="209"/>
      <c r="K18" s="210"/>
      <c r="L18" s="210"/>
      <c r="M18" s="210"/>
      <c r="N18" s="210"/>
      <c r="O18" s="210"/>
      <c r="P18" s="210"/>
      <c r="Q18" s="210"/>
      <c r="R18" s="210"/>
      <c r="S18" s="210"/>
      <c r="T18" s="210"/>
      <c r="U18" s="210"/>
      <c r="V18" s="210"/>
      <c r="W18" s="210"/>
      <c r="X18" s="210"/>
      <c r="Y18" s="210"/>
      <c r="Z18" s="210"/>
      <c r="AA18" s="210"/>
      <c r="AB18" s="210"/>
      <c r="AC18" s="210"/>
      <c r="AD18" s="210"/>
      <c r="AE18" s="210"/>
      <c r="AF18" s="210"/>
      <c r="AG18" s="210"/>
      <c r="AH18" s="170"/>
      <c r="AI18" s="171"/>
      <c r="AJ18" s="120"/>
      <c r="AK18" s="120"/>
      <c r="AL18" s="120"/>
      <c r="AM18" s="120"/>
      <c r="AN18" s="120"/>
      <c r="AO18" s="120"/>
      <c r="AP18" s="120"/>
      <c r="AQ18" s="120"/>
      <c r="AR18" s="120"/>
      <c r="AS18" s="120"/>
      <c r="AT18" s="120"/>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c r="BR18" s="120"/>
      <c r="BS18" s="120"/>
      <c r="BT18" s="120"/>
      <c r="BU18" s="120"/>
      <c r="BV18" s="120"/>
      <c r="BW18" s="120"/>
      <c r="BX18" s="120"/>
      <c r="BY18" s="120"/>
      <c r="BZ18" s="120"/>
      <c r="CA18" s="120"/>
      <c r="CB18" s="120"/>
      <c r="CC18" s="120"/>
      <c r="CD18" s="120"/>
      <c r="CE18" s="120"/>
      <c r="CF18" s="120"/>
      <c r="CG18" s="120"/>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c r="EU18" s="120"/>
      <c r="EV18" s="120"/>
      <c r="EW18" s="120"/>
      <c r="EX18" s="120"/>
      <c r="EY18" s="120"/>
      <c r="EZ18" s="120"/>
      <c r="FA18" s="120"/>
      <c r="FB18" s="120"/>
      <c r="FC18" s="120"/>
      <c r="FD18" s="120"/>
      <c r="FE18" s="120"/>
      <c r="FF18" s="120"/>
      <c r="FG18" s="120"/>
      <c r="FH18" s="120"/>
      <c r="FI18" s="120"/>
      <c r="FJ18" s="120"/>
      <c r="FK18" s="120"/>
      <c r="FL18" s="120"/>
      <c r="FM18" s="120"/>
      <c r="FN18" s="120"/>
      <c r="FO18" s="120"/>
      <c r="FP18" s="120"/>
      <c r="FQ18" s="120"/>
      <c r="FR18" s="120"/>
      <c r="FS18" s="120"/>
      <c r="FT18" s="120"/>
      <c r="FU18" s="120"/>
      <c r="FV18" s="120"/>
      <c r="FW18" s="120"/>
      <c r="FX18" s="120"/>
      <c r="FY18" s="120"/>
      <c r="FZ18" s="120"/>
      <c r="GA18" s="120"/>
      <c r="GB18" s="120"/>
      <c r="GC18" s="120"/>
    </row>
    <row r="19" spans="1:185" s="121" customFormat="1">
      <c r="A19" s="99" t="s">
        <v>1818</v>
      </c>
      <c r="B19" s="92" t="s">
        <v>1881</v>
      </c>
      <c r="C19" s="206">
        <f t="shared" si="2"/>
        <v>0</v>
      </c>
      <c r="D19" s="261">
        <v>7602967.540265331</v>
      </c>
      <c r="E19" s="209"/>
      <c r="F19" s="209"/>
      <c r="G19" s="209"/>
      <c r="H19" s="209"/>
      <c r="I19" s="209"/>
      <c r="J19" s="209"/>
      <c r="K19" s="210"/>
      <c r="L19" s="210"/>
      <c r="M19" s="210"/>
      <c r="N19" s="210"/>
      <c r="O19" s="210"/>
      <c r="P19" s="210"/>
      <c r="Q19" s="210"/>
      <c r="R19" s="210"/>
      <c r="S19" s="210"/>
      <c r="T19" s="210"/>
      <c r="U19" s="210"/>
      <c r="V19" s="210"/>
      <c r="W19" s="210"/>
      <c r="X19" s="210"/>
      <c r="Y19" s="210"/>
      <c r="Z19" s="210"/>
      <c r="AA19" s="210"/>
      <c r="AB19" s="210"/>
      <c r="AC19" s="210"/>
      <c r="AD19" s="210"/>
      <c r="AE19" s="210"/>
      <c r="AF19" s="210"/>
      <c r="AG19" s="210"/>
      <c r="AH19" s="170"/>
      <c r="AI19" s="171"/>
      <c r="AJ19" s="120"/>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c r="BS19" s="120"/>
      <c r="BT19" s="120"/>
      <c r="BU19" s="120"/>
      <c r="BV19" s="120"/>
      <c r="BW19" s="120"/>
      <c r="BX19" s="120"/>
      <c r="BY19" s="120"/>
      <c r="BZ19" s="120"/>
      <c r="CA19" s="120"/>
      <c r="CB19" s="120"/>
      <c r="CC19" s="120"/>
      <c r="CD19" s="120"/>
      <c r="CE19" s="120"/>
      <c r="CF19" s="120"/>
      <c r="CG19" s="120"/>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c r="EU19" s="120"/>
      <c r="EV19" s="120"/>
      <c r="EW19" s="120"/>
      <c r="EX19" s="120"/>
      <c r="EY19" s="120"/>
      <c r="EZ19" s="120"/>
      <c r="FA19" s="120"/>
      <c r="FB19" s="120"/>
      <c r="FC19" s="120"/>
      <c r="FD19" s="120"/>
      <c r="FE19" s="120"/>
      <c r="FF19" s="120"/>
      <c r="FG19" s="120"/>
      <c r="FH19" s="120"/>
      <c r="FI19" s="120"/>
      <c r="FJ19" s="120"/>
      <c r="FK19" s="120"/>
      <c r="FL19" s="120"/>
      <c r="FM19" s="120"/>
      <c r="FN19" s="120"/>
      <c r="FO19" s="120"/>
      <c r="FP19" s="120"/>
      <c r="FQ19" s="120"/>
      <c r="FR19" s="120"/>
      <c r="FS19" s="120"/>
      <c r="FT19" s="120"/>
      <c r="FU19" s="120"/>
      <c r="FV19" s="120"/>
      <c r="FW19" s="120"/>
      <c r="FX19" s="120"/>
      <c r="FY19" s="120"/>
      <c r="FZ19" s="120"/>
      <c r="GA19" s="120"/>
      <c r="GB19" s="120"/>
      <c r="GC19" s="120"/>
    </row>
    <row r="20" spans="1:185" s="121" customFormat="1">
      <c r="A20" s="99" t="s">
        <v>1819</v>
      </c>
      <c r="B20" s="92" t="s">
        <v>1882</v>
      </c>
      <c r="C20" s="206">
        <f t="shared" si="2"/>
        <v>0</v>
      </c>
      <c r="D20" s="261">
        <v>4659883.3311303649</v>
      </c>
      <c r="E20" s="209"/>
      <c r="F20" s="209"/>
      <c r="G20" s="209"/>
      <c r="H20" s="209"/>
      <c r="I20" s="209"/>
      <c r="J20" s="209"/>
      <c r="K20" s="210"/>
      <c r="L20" s="210"/>
      <c r="M20" s="210"/>
      <c r="N20" s="210"/>
      <c r="O20" s="210"/>
      <c r="P20" s="210"/>
      <c r="Q20" s="210"/>
      <c r="R20" s="210"/>
      <c r="S20" s="210"/>
      <c r="T20" s="210"/>
      <c r="U20" s="210"/>
      <c r="V20" s="210"/>
      <c r="W20" s="210"/>
      <c r="X20" s="210"/>
      <c r="Y20" s="210"/>
      <c r="Z20" s="210"/>
      <c r="AA20" s="210"/>
      <c r="AB20" s="210"/>
      <c r="AC20" s="210"/>
      <c r="AD20" s="210"/>
      <c r="AE20" s="210"/>
      <c r="AF20" s="210"/>
      <c r="AG20" s="210"/>
      <c r="AH20" s="170"/>
      <c r="AI20" s="171"/>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c r="BY20" s="120"/>
      <c r="BZ20" s="120"/>
      <c r="CA20" s="120"/>
      <c r="CB20" s="120"/>
      <c r="CC20" s="120"/>
      <c r="CD20" s="120"/>
      <c r="CE20" s="120"/>
      <c r="CF20" s="120"/>
      <c r="CG20" s="120"/>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c r="EU20" s="120"/>
      <c r="EV20" s="120"/>
      <c r="EW20" s="120"/>
      <c r="EX20" s="120"/>
      <c r="EY20" s="120"/>
      <c r="EZ20" s="120"/>
      <c r="FA20" s="120"/>
      <c r="FB20" s="120"/>
      <c r="FC20" s="120"/>
      <c r="FD20" s="120"/>
      <c r="FE20" s="120"/>
      <c r="FF20" s="120"/>
      <c r="FG20" s="120"/>
      <c r="FH20" s="120"/>
      <c r="FI20" s="120"/>
      <c r="FJ20" s="120"/>
      <c r="FK20" s="120"/>
      <c r="FL20" s="120"/>
      <c r="FM20" s="120"/>
      <c r="FN20" s="120"/>
      <c r="FO20" s="120"/>
      <c r="FP20" s="120"/>
      <c r="FQ20" s="120"/>
      <c r="FR20" s="120"/>
      <c r="FS20" s="120"/>
      <c r="FT20" s="120"/>
      <c r="FU20" s="120"/>
      <c r="FV20" s="120"/>
      <c r="FW20" s="120"/>
      <c r="FX20" s="120"/>
      <c r="FY20" s="120"/>
      <c r="FZ20" s="120"/>
      <c r="GA20" s="120"/>
      <c r="GB20" s="120"/>
      <c r="GC20" s="120"/>
    </row>
    <row r="21" spans="1:185" s="121" customFormat="1">
      <c r="A21" s="96" t="s">
        <v>1817</v>
      </c>
      <c r="B21" s="90" t="s">
        <v>1930</v>
      </c>
      <c r="C21" s="206">
        <f t="shared" si="2"/>
        <v>0</v>
      </c>
      <c r="D21" s="237">
        <f t="shared" ref="D21:AG21" si="3">D19+D20</f>
        <v>12262850.871395696</v>
      </c>
      <c r="E21" s="206">
        <f t="shared" si="3"/>
        <v>0</v>
      </c>
      <c r="F21" s="206">
        <f t="shared" si="3"/>
        <v>0</v>
      </c>
      <c r="G21" s="206">
        <f t="shared" si="3"/>
        <v>0</v>
      </c>
      <c r="H21" s="206">
        <f t="shared" si="3"/>
        <v>0</v>
      </c>
      <c r="I21" s="206">
        <f t="shared" si="3"/>
        <v>0</v>
      </c>
      <c r="J21" s="206">
        <f t="shared" si="3"/>
        <v>0</v>
      </c>
      <c r="K21" s="206">
        <f t="shared" si="3"/>
        <v>0</v>
      </c>
      <c r="L21" s="206">
        <f t="shared" si="3"/>
        <v>0</v>
      </c>
      <c r="M21" s="206">
        <f t="shared" si="3"/>
        <v>0</v>
      </c>
      <c r="N21" s="206">
        <f t="shared" si="3"/>
        <v>0</v>
      </c>
      <c r="O21" s="206">
        <f t="shared" si="3"/>
        <v>0</v>
      </c>
      <c r="P21" s="206">
        <f t="shared" si="3"/>
        <v>0</v>
      </c>
      <c r="Q21" s="206">
        <f t="shared" si="3"/>
        <v>0</v>
      </c>
      <c r="R21" s="206">
        <f t="shared" si="3"/>
        <v>0</v>
      </c>
      <c r="S21" s="206">
        <f t="shared" si="3"/>
        <v>0</v>
      </c>
      <c r="T21" s="206">
        <f t="shared" si="3"/>
        <v>0</v>
      </c>
      <c r="U21" s="206">
        <f t="shared" si="3"/>
        <v>0</v>
      </c>
      <c r="V21" s="206">
        <f t="shared" si="3"/>
        <v>0</v>
      </c>
      <c r="W21" s="206">
        <f t="shared" si="3"/>
        <v>0</v>
      </c>
      <c r="X21" s="206">
        <f t="shared" si="3"/>
        <v>0</v>
      </c>
      <c r="Y21" s="206">
        <f t="shared" si="3"/>
        <v>0</v>
      </c>
      <c r="Z21" s="206">
        <f t="shared" si="3"/>
        <v>0</v>
      </c>
      <c r="AA21" s="206">
        <f t="shared" si="3"/>
        <v>0</v>
      </c>
      <c r="AB21" s="206">
        <f t="shared" si="3"/>
        <v>0</v>
      </c>
      <c r="AC21" s="206">
        <f t="shared" si="3"/>
        <v>0</v>
      </c>
      <c r="AD21" s="206">
        <f t="shared" si="3"/>
        <v>0</v>
      </c>
      <c r="AE21" s="206">
        <f t="shared" si="3"/>
        <v>0</v>
      </c>
      <c r="AF21" s="206">
        <f t="shared" si="3"/>
        <v>0</v>
      </c>
      <c r="AG21" s="206">
        <f t="shared" si="3"/>
        <v>0</v>
      </c>
      <c r="AH21" s="170"/>
      <c r="AI21" s="171"/>
      <c r="AJ21" s="120"/>
      <c r="AK21" s="120"/>
      <c r="AL21" s="120"/>
      <c r="AM21" s="120"/>
      <c r="AN21" s="120"/>
      <c r="AO21" s="120"/>
      <c r="AP21" s="120"/>
      <c r="AQ21" s="120"/>
      <c r="AR21" s="120"/>
      <c r="AS21" s="120"/>
      <c r="AT21" s="120"/>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c r="BY21" s="120"/>
      <c r="BZ21" s="120"/>
      <c r="CA21" s="120"/>
      <c r="CB21" s="120"/>
      <c r="CC21" s="120"/>
      <c r="CD21" s="120"/>
      <c r="CE21" s="120"/>
      <c r="CF21" s="120"/>
      <c r="CG21" s="120"/>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c r="EU21" s="120"/>
      <c r="EV21" s="120"/>
      <c r="EW21" s="120"/>
      <c r="EX21" s="120"/>
      <c r="EY21" s="120"/>
      <c r="EZ21" s="120"/>
      <c r="FA21" s="120"/>
      <c r="FB21" s="120"/>
      <c r="FC21" s="120"/>
      <c r="FD21" s="120"/>
      <c r="FE21" s="120"/>
      <c r="FF21" s="120"/>
      <c r="FG21" s="120"/>
      <c r="FH21" s="120"/>
      <c r="FI21" s="120"/>
      <c r="FJ21" s="120"/>
      <c r="FK21" s="120"/>
      <c r="FL21" s="120"/>
      <c r="FM21" s="120"/>
      <c r="FN21" s="120"/>
      <c r="FO21" s="120"/>
      <c r="FP21" s="120"/>
      <c r="FQ21" s="120"/>
      <c r="FR21" s="120"/>
      <c r="FS21" s="120"/>
      <c r="FT21" s="120"/>
      <c r="FU21" s="120"/>
      <c r="FV21" s="120"/>
      <c r="FW21" s="120"/>
      <c r="FX21" s="120"/>
      <c r="FY21" s="120"/>
      <c r="FZ21" s="120"/>
      <c r="GA21" s="120"/>
      <c r="GB21" s="120"/>
      <c r="GC21" s="120"/>
    </row>
    <row r="22" spans="1:185" s="123" customFormat="1">
      <c r="A22" s="97"/>
      <c r="B22" s="93" t="s">
        <v>1962</v>
      </c>
      <c r="C22" s="204">
        <f t="shared" si="2"/>
        <v>0</v>
      </c>
      <c r="D22" s="236">
        <f t="shared" ref="D22:AG22" si="4">D14+D15+D16+D17+D18+D21</f>
        <v>266119768.26597643</v>
      </c>
      <c r="E22" s="204">
        <f t="shared" si="4"/>
        <v>0</v>
      </c>
      <c r="F22" s="204">
        <f t="shared" si="4"/>
        <v>0</v>
      </c>
      <c r="G22" s="204">
        <f t="shared" si="4"/>
        <v>0</v>
      </c>
      <c r="H22" s="204">
        <f t="shared" si="4"/>
        <v>0</v>
      </c>
      <c r="I22" s="204">
        <f t="shared" si="4"/>
        <v>0</v>
      </c>
      <c r="J22" s="204">
        <f t="shared" si="4"/>
        <v>0</v>
      </c>
      <c r="K22" s="204">
        <f t="shared" si="4"/>
        <v>0</v>
      </c>
      <c r="L22" s="204">
        <f t="shared" si="4"/>
        <v>0</v>
      </c>
      <c r="M22" s="204">
        <f t="shared" si="4"/>
        <v>0</v>
      </c>
      <c r="N22" s="204">
        <f t="shared" si="4"/>
        <v>0</v>
      </c>
      <c r="O22" s="204">
        <f t="shared" si="4"/>
        <v>0</v>
      </c>
      <c r="P22" s="204">
        <f t="shared" si="4"/>
        <v>0</v>
      </c>
      <c r="Q22" s="204">
        <f t="shared" si="4"/>
        <v>0</v>
      </c>
      <c r="R22" s="204">
        <f t="shared" si="4"/>
        <v>0</v>
      </c>
      <c r="S22" s="204">
        <f t="shared" si="4"/>
        <v>0</v>
      </c>
      <c r="T22" s="204">
        <f t="shared" si="4"/>
        <v>0</v>
      </c>
      <c r="U22" s="204">
        <f t="shared" si="4"/>
        <v>0</v>
      </c>
      <c r="V22" s="204">
        <f t="shared" si="4"/>
        <v>0</v>
      </c>
      <c r="W22" s="204">
        <f t="shared" si="4"/>
        <v>0</v>
      </c>
      <c r="X22" s="204">
        <f t="shared" si="4"/>
        <v>0</v>
      </c>
      <c r="Y22" s="204">
        <f t="shared" si="4"/>
        <v>0</v>
      </c>
      <c r="Z22" s="204">
        <f t="shared" si="4"/>
        <v>0</v>
      </c>
      <c r="AA22" s="204">
        <f t="shared" si="4"/>
        <v>0</v>
      </c>
      <c r="AB22" s="204">
        <f t="shared" si="4"/>
        <v>0</v>
      </c>
      <c r="AC22" s="204">
        <f t="shared" si="4"/>
        <v>0</v>
      </c>
      <c r="AD22" s="204">
        <f t="shared" si="4"/>
        <v>0</v>
      </c>
      <c r="AE22" s="204">
        <f t="shared" si="4"/>
        <v>0</v>
      </c>
      <c r="AF22" s="204">
        <f t="shared" si="4"/>
        <v>0</v>
      </c>
      <c r="AG22" s="204">
        <f t="shared" si="4"/>
        <v>0</v>
      </c>
      <c r="AH22" s="172"/>
      <c r="AI22" s="173"/>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2"/>
      <c r="BK22" s="122"/>
      <c r="BL22" s="122"/>
      <c r="BM22" s="122"/>
      <c r="BN22" s="122"/>
      <c r="BO22" s="122"/>
      <c r="BP22" s="122"/>
      <c r="BQ22" s="122"/>
      <c r="BR22" s="122"/>
      <c r="BS22" s="122"/>
      <c r="BT22" s="122"/>
      <c r="BU22" s="122"/>
      <c r="BV22" s="122"/>
      <c r="BW22" s="122"/>
      <c r="BX22" s="122"/>
      <c r="BY22" s="122"/>
      <c r="BZ22" s="122"/>
      <c r="CA22" s="122"/>
      <c r="CB22" s="122"/>
      <c r="CC22" s="122"/>
      <c r="CD22" s="122"/>
      <c r="CE22" s="122"/>
      <c r="CF22" s="122"/>
      <c r="CG22" s="122"/>
      <c r="CH22" s="122"/>
      <c r="CI22" s="122"/>
      <c r="CJ22" s="122"/>
      <c r="CK22" s="122"/>
      <c r="CL22" s="122"/>
      <c r="CM22" s="122"/>
      <c r="CN22" s="122"/>
      <c r="CO22" s="122"/>
      <c r="CP22" s="122"/>
      <c r="CQ22" s="122"/>
      <c r="CR22" s="122"/>
      <c r="CS22" s="122"/>
      <c r="CT22" s="122"/>
      <c r="CU22" s="122"/>
      <c r="CV22" s="122"/>
      <c r="CW22" s="122"/>
      <c r="CX22" s="122"/>
      <c r="CY22" s="122"/>
      <c r="CZ22" s="122"/>
      <c r="DA22" s="122"/>
      <c r="DB22" s="122"/>
      <c r="DC22" s="122"/>
      <c r="DD22" s="122"/>
      <c r="DE22" s="122"/>
      <c r="DF22" s="122"/>
      <c r="DG22" s="122"/>
      <c r="DH22" s="122"/>
      <c r="DI22" s="122"/>
      <c r="DJ22" s="122"/>
      <c r="DK22" s="122"/>
      <c r="DL22" s="122"/>
      <c r="DM22" s="122"/>
      <c r="DN22" s="122"/>
      <c r="DO22" s="122"/>
      <c r="DP22" s="122"/>
      <c r="DQ22" s="122"/>
      <c r="DR22" s="122"/>
      <c r="DS22" s="122"/>
      <c r="DT22" s="122"/>
      <c r="DU22" s="122"/>
      <c r="DV22" s="122"/>
      <c r="DW22" s="122"/>
      <c r="DX22" s="122"/>
      <c r="DY22" s="122"/>
      <c r="DZ22" s="122"/>
      <c r="EA22" s="122"/>
      <c r="EB22" s="122"/>
      <c r="EC22" s="122"/>
      <c r="ED22" s="122"/>
      <c r="EE22" s="122"/>
      <c r="EF22" s="122"/>
      <c r="EG22" s="122"/>
      <c r="EH22" s="122"/>
      <c r="EI22" s="122"/>
      <c r="EJ22" s="122"/>
      <c r="EK22" s="122"/>
      <c r="EL22" s="122"/>
      <c r="EM22" s="122"/>
      <c r="EN22" s="122"/>
      <c r="EO22" s="122"/>
      <c r="EP22" s="122"/>
      <c r="EQ22" s="122"/>
      <c r="ER22" s="122"/>
      <c r="ES22" s="122"/>
      <c r="ET22" s="122"/>
      <c r="EU22" s="122"/>
      <c r="EV22" s="122"/>
      <c r="EW22" s="122"/>
      <c r="EX22" s="122"/>
      <c r="EY22" s="122"/>
      <c r="EZ22" s="122"/>
      <c r="FA22" s="122"/>
      <c r="FB22" s="122"/>
      <c r="FC22" s="122"/>
      <c r="FD22" s="122"/>
      <c r="FE22" s="122"/>
      <c r="FF22" s="122"/>
      <c r="FG22" s="122"/>
      <c r="FH22" s="122"/>
      <c r="FI22" s="122"/>
      <c r="FJ22" s="122"/>
      <c r="FK22" s="122"/>
      <c r="FL22" s="122"/>
      <c r="FM22" s="122"/>
      <c r="FN22" s="122"/>
      <c r="FO22" s="122"/>
      <c r="FP22" s="122"/>
      <c r="FQ22" s="122"/>
      <c r="FR22" s="122"/>
      <c r="FS22" s="122"/>
      <c r="FT22" s="122"/>
      <c r="FU22" s="122"/>
      <c r="FV22" s="122"/>
      <c r="FW22" s="122"/>
      <c r="FX22" s="122"/>
      <c r="FY22" s="122"/>
      <c r="FZ22" s="122"/>
      <c r="GA22" s="122"/>
      <c r="GB22" s="122"/>
      <c r="GC22" s="122"/>
    </row>
    <row r="23" spans="1:185" s="121" customFormat="1">
      <c r="A23" s="96"/>
      <c r="B23" s="94"/>
      <c r="C23" s="206"/>
      <c r="D23" s="261"/>
      <c r="E23" s="209"/>
      <c r="F23" s="209"/>
      <c r="G23" s="209"/>
      <c r="H23" s="209"/>
      <c r="I23" s="209"/>
      <c r="J23" s="209"/>
      <c r="K23" s="209"/>
      <c r="L23" s="209"/>
      <c r="M23" s="209"/>
      <c r="N23" s="209"/>
      <c r="O23" s="209"/>
      <c r="P23" s="209"/>
      <c r="Q23" s="209"/>
      <c r="R23" s="209"/>
      <c r="S23" s="209"/>
      <c r="T23" s="209"/>
      <c r="U23" s="209"/>
      <c r="V23" s="209"/>
      <c r="W23" s="209"/>
      <c r="X23" s="209"/>
      <c r="Y23" s="209"/>
      <c r="Z23" s="209"/>
      <c r="AA23" s="209"/>
      <c r="AB23" s="209"/>
      <c r="AC23" s="209"/>
      <c r="AD23" s="209"/>
      <c r="AE23" s="209"/>
      <c r="AF23" s="209"/>
      <c r="AG23" s="209"/>
      <c r="AH23" s="170"/>
      <c r="AI23" s="171"/>
      <c r="AJ23" s="120"/>
      <c r="AK23" s="120"/>
      <c r="AL23" s="120"/>
      <c r="AM23" s="120"/>
      <c r="AN23" s="120"/>
      <c r="AO23" s="120"/>
      <c r="AP23" s="120"/>
      <c r="AQ23" s="120"/>
      <c r="AR23" s="120"/>
      <c r="AS23" s="120"/>
      <c r="AT23" s="120"/>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c r="BY23" s="120"/>
      <c r="BZ23" s="120"/>
      <c r="CA23" s="120"/>
      <c r="CB23" s="120"/>
      <c r="CC23" s="120"/>
      <c r="CD23" s="120"/>
      <c r="CE23" s="120"/>
      <c r="CF23" s="120"/>
      <c r="CG23" s="120"/>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c r="EU23" s="120"/>
      <c r="EV23" s="120"/>
      <c r="EW23" s="120"/>
      <c r="EX23" s="120"/>
      <c r="EY23" s="120"/>
      <c r="EZ23" s="120"/>
      <c r="FA23" s="120"/>
      <c r="FB23" s="120"/>
      <c r="FC23" s="120"/>
      <c r="FD23" s="120"/>
      <c r="FE23" s="120"/>
      <c r="FF23" s="120"/>
      <c r="FG23" s="120"/>
      <c r="FH23" s="120"/>
      <c r="FI23" s="120"/>
      <c r="FJ23" s="120"/>
      <c r="FK23" s="120"/>
      <c r="FL23" s="120"/>
      <c r="FM23" s="120"/>
      <c r="FN23" s="120"/>
      <c r="FO23" s="120"/>
      <c r="FP23" s="120"/>
      <c r="FQ23" s="120"/>
      <c r="FR23" s="120"/>
      <c r="FS23" s="120"/>
      <c r="FT23" s="120"/>
      <c r="FU23" s="120"/>
      <c r="FV23" s="120"/>
      <c r="FW23" s="120"/>
      <c r="FX23" s="120"/>
      <c r="FY23" s="120"/>
      <c r="FZ23" s="120"/>
      <c r="GA23" s="120"/>
      <c r="GB23" s="120"/>
      <c r="GC23" s="120"/>
    </row>
    <row r="24" spans="1:185" s="121" customFormat="1">
      <c r="A24" s="98" t="s">
        <v>1863</v>
      </c>
      <c r="B24" s="92" t="s">
        <v>1886</v>
      </c>
      <c r="C24" s="206">
        <f t="shared" ref="C24:C38" si="5">SUM(E24:AG24)</f>
        <v>0</v>
      </c>
      <c r="D24" s="261">
        <v>7679680</v>
      </c>
      <c r="E24" s="209"/>
      <c r="F24" s="209"/>
      <c r="G24" s="209"/>
      <c r="H24" s="209"/>
      <c r="I24" s="209"/>
      <c r="J24" s="209"/>
      <c r="K24" s="210"/>
      <c r="L24" s="210"/>
      <c r="M24" s="210"/>
      <c r="N24" s="210"/>
      <c r="O24" s="210"/>
      <c r="P24" s="210"/>
      <c r="Q24" s="210"/>
      <c r="R24" s="210"/>
      <c r="S24" s="210"/>
      <c r="T24" s="210"/>
      <c r="U24" s="210"/>
      <c r="V24" s="210"/>
      <c r="W24" s="210"/>
      <c r="X24" s="210"/>
      <c r="Y24" s="210"/>
      <c r="Z24" s="210"/>
      <c r="AA24" s="210"/>
      <c r="AB24" s="210"/>
      <c r="AC24" s="210"/>
      <c r="AD24" s="210"/>
      <c r="AE24" s="210"/>
      <c r="AF24" s="210"/>
      <c r="AG24" s="210"/>
      <c r="AH24" s="170"/>
      <c r="AI24" s="171"/>
      <c r="AJ24" s="120"/>
      <c r="AK24" s="120"/>
      <c r="AL24" s="120"/>
      <c r="AM24" s="120"/>
      <c r="AN24" s="120"/>
      <c r="AO24" s="120"/>
      <c r="AP24" s="120"/>
      <c r="AQ24" s="120"/>
      <c r="AR24" s="120"/>
      <c r="AS24" s="120"/>
      <c r="AT24" s="120"/>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c r="BY24" s="120"/>
      <c r="BZ24" s="120"/>
      <c r="CA24" s="120"/>
      <c r="CB24" s="120"/>
      <c r="CC24" s="120"/>
      <c r="CD24" s="120"/>
      <c r="CE24" s="120"/>
      <c r="CF24" s="120"/>
      <c r="CG24" s="120"/>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c r="EU24" s="120"/>
      <c r="EV24" s="120"/>
      <c r="EW24" s="120"/>
      <c r="EX24" s="120"/>
      <c r="EY24" s="120"/>
      <c r="EZ24" s="120"/>
      <c r="FA24" s="120"/>
      <c r="FB24" s="120"/>
      <c r="FC24" s="120"/>
      <c r="FD24" s="120"/>
      <c r="FE24" s="120"/>
      <c r="FF24" s="120"/>
      <c r="FG24" s="120"/>
      <c r="FH24" s="120"/>
      <c r="FI24" s="120"/>
      <c r="FJ24" s="120"/>
      <c r="FK24" s="120"/>
      <c r="FL24" s="120"/>
      <c r="FM24" s="120"/>
      <c r="FN24" s="120"/>
      <c r="FO24" s="120"/>
      <c r="FP24" s="120"/>
      <c r="FQ24" s="120"/>
      <c r="FR24" s="120"/>
      <c r="FS24" s="120"/>
      <c r="FT24" s="120"/>
      <c r="FU24" s="120"/>
      <c r="FV24" s="120"/>
      <c r="FW24" s="120"/>
      <c r="FX24" s="120"/>
      <c r="FY24" s="120"/>
      <c r="FZ24" s="120"/>
      <c r="GA24" s="120"/>
      <c r="GB24" s="120"/>
      <c r="GC24" s="120"/>
    </row>
    <row r="25" spans="1:185" s="121" customFormat="1">
      <c r="A25" s="98" t="s">
        <v>1864</v>
      </c>
      <c r="B25" s="92" t="s">
        <v>1883</v>
      </c>
      <c r="C25" s="206">
        <f t="shared" si="5"/>
        <v>0</v>
      </c>
      <c r="D25" s="261">
        <v>8542500</v>
      </c>
      <c r="E25" s="209"/>
      <c r="F25" s="209"/>
      <c r="G25" s="209"/>
      <c r="H25" s="209"/>
      <c r="I25" s="209"/>
      <c r="J25" s="209"/>
      <c r="K25" s="210"/>
      <c r="L25" s="210"/>
      <c r="M25" s="210"/>
      <c r="N25" s="210"/>
      <c r="O25" s="210"/>
      <c r="P25" s="210"/>
      <c r="Q25" s="210"/>
      <c r="R25" s="210"/>
      <c r="S25" s="210"/>
      <c r="T25" s="210"/>
      <c r="U25" s="210"/>
      <c r="V25" s="210"/>
      <c r="W25" s="210"/>
      <c r="X25" s="210"/>
      <c r="Y25" s="210"/>
      <c r="Z25" s="210"/>
      <c r="AA25" s="210"/>
      <c r="AB25" s="210"/>
      <c r="AC25" s="210"/>
      <c r="AD25" s="210"/>
      <c r="AE25" s="210"/>
      <c r="AF25" s="210"/>
      <c r="AG25" s="210"/>
      <c r="AH25" s="170"/>
      <c r="AI25" s="171"/>
      <c r="AJ25" s="120"/>
      <c r="AK25" s="120"/>
      <c r="AL25" s="120"/>
      <c r="AM25" s="120"/>
      <c r="AN25" s="120"/>
      <c r="AO25" s="120"/>
      <c r="AP25" s="120"/>
      <c r="AQ25" s="120"/>
      <c r="AR25" s="120"/>
      <c r="AS25" s="120"/>
      <c r="AT25" s="120"/>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c r="BY25" s="120"/>
      <c r="BZ25" s="120"/>
      <c r="CA25" s="120"/>
      <c r="CB25" s="120"/>
      <c r="CC25" s="120"/>
      <c r="CD25" s="120"/>
      <c r="CE25" s="120"/>
      <c r="CF25" s="120"/>
      <c r="CG25" s="120"/>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c r="EU25" s="120"/>
      <c r="EV25" s="120"/>
      <c r="EW25" s="120"/>
      <c r="EX25" s="120"/>
      <c r="EY25" s="120"/>
      <c r="EZ25" s="120"/>
      <c r="FA25" s="120"/>
      <c r="FB25" s="120"/>
      <c r="FC25" s="120"/>
      <c r="FD25" s="120"/>
      <c r="FE25" s="120"/>
      <c r="FF25" s="120"/>
      <c r="FG25" s="120"/>
      <c r="FH25" s="120"/>
      <c r="FI25" s="120"/>
      <c r="FJ25" s="120"/>
      <c r="FK25" s="120"/>
      <c r="FL25" s="120"/>
      <c r="FM25" s="120"/>
      <c r="FN25" s="120"/>
      <c r="FO25" s="120"/>
      <c r="FP25" s="120"/>
      <c r="FQ25" s="120"/>
      <c r="FR25" s="120"/>
      <c r="FS25" s="120"/>
      <c r="FT25" s="120"/>
      <c r="FU25" s="120"/>
      <c r="FV25" s="120"/>
      <c r="FW25" s="120"/>
      <c r="FX25" s="120"/>
      <c r="FY25" s="120"/>
      <c r="FZ25" s="120"/>
      <c r="GA25" s="120"/>
      <c r="GB25" s="120"/>
      <c r="GC25" s="120"/>
    </row>
    <row r="26" spans="1:185" s="121" customFormat="1">
      <c r="A26" s="98" t="s">
        <v>1865</v>
      </c>
      <c r="B26" s="92" t="s">
        <v>1887</v>
      </c>
      <c r="C26" s="206">
        <f t="shared" si="5"/>
        <v>0</v>
      </c>
      <c r="D26" s="261">
        <v>28315963</v>
      </c>
      <c r="E26" s="209"/>
      <c r="F26" s="209"/>
      <c r="G26" s="209"/>
      <c r="H26" s="209"/>
      <c r="I26" s="209"/>
      <c r="J26" s="209"/>
      <c r="K26" s="210"/>
      <c r="L26" s="210"/>
      <c r="M26" s="210"/>
      <c r="N26" s="210"/>
      <c r="O26" s="210"/>
      <c r="P26" s="210"/>
      <c r="Q26" s="210"/>
      <c r="R26" s="210"/>
      <c r="S26" s="210"/>
      <c r="T26" s="210"/>
      <c r="U26" s="210"/>
      <c r="V26" s="210"/>
      <c r="W26" s="210"/>
      <c r="X26" s="210"/>
      <c r="Y26" s="210"/>
      <c r="Z26" s="210"/>
      <c r="AA26" s="210"/>
      <c r="AB26" s="210"/>
      <c r="AC26" s="210"/>
      <c r="AD26" s="210"/>
      <c r="AE26" s="210"/>
      <c r="AF26" s="210"/>
      <c r="AG26" s="210"/>
      <c r="AH26" s="170"/>
      <c r="AI26" s="171"/>
      <c r="AJ26" s="120"/>
      <c r="AK26" s="120"/>
      <c r="AL26" s="120"/>
      <c r="AM26" s="120"/>
      <c r="AN26" s="120"/>
      <c r="AO26" s="120"/>
      <c r="AP26" s="120"/>
      <c r="AQ26" s="120"/>
      <c r="AR26" s="120"/>
      <c r="AS26" s="120"/>
      <c r="AT26" s="120"/>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c r="BY26" s="120"/>
      <c r="BZ26" s="120"/>
      <c r="CA26" s="120"/>
      <c r="CB26" s="120"/>
      <c r="CC26" s="120"/>
      <c r="CD26" s="120"/>
      <c r="CE26" s="120"/>
      <c r="CF26" s="120"/>
      <c r="CG26" s="120"/>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c r="EU26" s="120"/>
      <c r="EV26" s="120"/>
      <c r="EW26" s="120"/>
      <c r="EX26" s="120"/>
      <c r="EY26" s="120"/>
      <c r="EZ26" s="120"/>
      <c r="FA26" s="120"/>
      <c r="FB26" s="120"/>
      <c r="FC26" s="120"/>
      <c r="FD26" s="120"/>
      <c r="FE26" s="120"/>
      <c r="FF26" s="120"/>
      <c r="FG26" s="120"/>
      <c r="FH26" s="120"/>
      <c r="FI26" s="120"/>
      <c r="FJ26" s="120"/>
      <c r="FK26" s="120"/>
      <c r="FL26" s="120"/>
      <c r="FM26" s="120"/>
      <c r="FN26" s="120"/>
      <c r="FO26" s="120"/>
      <c r="FP26" s="120"/>
      <c r="FQ26" s="120"/>
      <c r="FR26" s="120"/>
      <c r="FS26" s="120"/>
      <c r="FT26" s="120"/>
      <c r="FU26" s="120"/>
      <c r="FV26" s="120"/>
      <c r="FW26" s="120"/>
      <c r="FX26" s="120"/>
      <c r="FY26" s="120"/>
      <c r="FZ26" s="120"/>
      <c r="GA26" s="120"/>
      <c r="GB26" s="120"/>
      <c r="GC26" s="120"/>
    </row>
    <row r="27" spans="1:185" s="121" customFormat="1">
      <c r="A27" s="98" t="s">
        <v>1866</v>
      </c>
      <c r="B27" s="92" t="s">
        <v>1884</v>
      </c>
      <c r="C27" s="206">
        <f t="shared" si="5"/>
        <v>0</v>
      </c>
      <c r="D27" s="261">
        <v>38384640</v>
      </c>
      <c r="E27" s="209"/>
      <c r="F27" s="209"/>
      <c r="G27" s="209"/>
      <c r="H27" s="209"/>
      <c r="I27" s="209"/>
      <c r="J27" s="209"/>
      <c r="K27" s="210"/>
      <c r="L27" s="210"/>
      <c r="M27" s="210"/>
      <c r="N27" s="210"/>
      <c r="O27" s="210"/>
      <c r="P27" s="210"/>
      <c r="Q27" s="210"/>
      <c r="R27" s="210"/>
      <c r="S27" s="210"/>
      <c r="T27" s="210"/>
      <c r="U27" s="210"/>
      <c r="V27" s="210"/>
      <c r="W27" s="210"/>
      <c r="X27" s="210"/>
      <c r="Y27" s="210"/>
      <c r="Z27" s="210"/>
      <c r="AA27" s="210"/>
      <c r="AB27" s="210"/>
      <c r="AC27" s="210"/>
      <c r="AD27" s="210"/>
      <c r="AE27" s="210"/>
      <c r="AF27" s="210"/>
      <c r="AG27" s="210"/>
      <c r="AH27" s="170"/>
      <c r="AI27" s="171"/>
      <c r="AJ27" s="120"/>
      <c r="AK27" s="120"/>
      <c r="AL27" s="120"/>
      <c r="AM27" s="120"/>
      <c r="AN27" s="120"/>
      <c r="AO27" s="120"/>
      <c r="AP27" s="120"/>
      <c r="AQ27" s="120"/>
      <c r="AR27" s="120"/>
      <c r="AS27" s="120"/>
      <c r="AT27" s="120"/>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c r="BY27" s="120"/>
      <c r="BZ27" s="120"/>
      <c r="CA27" s="120"/>
      <c r="CB27" s="120"/>
      <c r="CC27" s="120"/>
      <c r="CD27" s="120"/>
      <c r="CE27" s="120"/>
      <c r="CF27" s="120"/>
      <c r="CG27" s="120"/>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c r="EU27" s="120"/>
      <c r="EV27" s="120"/>
      <c r="EW27" s="120"/>
      <c r="EX27" s="120"/>
      <c r="EY27" s="120"/>
      <c r="EZ27" s="120"/>
      <c r="FA27" s="120"/>
      <c r="FB27" s="120"/>
      <c r="FC27" s="120"/>
      <c r="FD27" s="120"/>
      <c r="FE27" s="120"/>
      <c r="FF27" s="120"/>
      <c r="FG27" s="120"/>
      <c r="FH27" s="120"/>
      <c r="FI27" s="120"/>
      <c r="FJ27" s="120"/>
      <c r="FK27" s="120"/>
      <c r="FL27" s="120"/>
      <c r="FM27" s="120"/>
      <c r="FN27" s="120"/>
      <c r="FO27" s="120"/>
      <c r="FP27" s="120"/>
      <c r="FQ27" s="120"/>
      <c r="FR27" s="120"/>
      <c r="FS27" s="120"/>
      <c r="FT27" s="120"/>
      <c r="FU27" s="120"/>
      <c r="FV27" s="120"/>
      <c r="FW27" s="120"/>
      <c r="FX27" s="120"/>
      <c r="FY27" s="120"/>
      <c r="FZ27" s="120"/>
      <c r="GA27" s="120"/>
      <c r="GB27" s="120"/>
      <c r="GC27" s="120"/>
    </row>
    <row r="28" spans="1:185" s="121" customFormat="1">
      <c r="A28" s="98" t="s">
        <v>1867</v>
      </c>
      <c r="B28" s="92" t="s">
        <v>1885</v>
      </c>
      <c r="C28" s="206">
        <f t="shared" si="5"/>
        <v>0</v>
      </c>
      <c r="D28" s="261">
        <v>7795117</v>
      </c>
      <c r="E28" s="209"/>
      <c r="F28" s="209"/>
      <c r="G28" s="209"/>
      <c r="H28" s="209"/>
      <c r="I28" s="209"/>
      <c r="J28" s="209"/>
      <c r="K28" s="210"/>
      <c r="L28" s="210"/>
      <c r="M28" s="210"/>
      <c r="N28" s="210"/>
      <c r="O28" s="210"/>
      <c r="P28" s="210"/>
      <c r="Q28" s="210"/>
      <c r="R28" s="210"/>
      <c r="S28" s="210"/>
      <c r="T28" s="210"/>
      <c r="U28" s="210"/>
      <c r="V28" s="210"/>
      <c r="W28" s="210"/>
      <c r="X28" s="210"/>
      <c r="Y28" s="210"/>
      <c r="Z28" s="210"/>
      <c r="AA28" s="210"/>
      <c r="AB28" s="210"/>
      <c r="AC28" s="210"/>
      <c r="AD28" s="210"/>
      <c r="AE28" s="210"/>
      <c r="AF28" s="210"/>
      <c r="AG28" s="210"/>
      <c r="AH28" s="170"/>
      <c r="AI28" s="171"/>
      <c r="AJ28" s="120"/>
      <c r="AK28" s="120"/>
      <c r="AL28" s="120"/>
      <c r="AM28" s="120"/>
      <c r="AN28" s="120"/>
      <c r="AO28" s="120"/>
      <c r="AP28" s="120"/>
      <c r="AQ28" s="120"/>
      <c r="AR28" s="120"/>
      <c r="AS28" s="120"/>
      <c r="AT28" s="120"/>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c r="BR28" s="120"/>
      <c r="BS28" s="120"/>
      <c r="BT28" s="120"/>
      <c r="BU28" s="120"/>
      <c r="BV28" s="120"/>
      <c r="BW28" s="120"/>
      <c r="BX28" s="120"/>
      <c r="BY28" s="120"/>
      <c r="BZ28" s="120"/>
      <c r="CA28" s="120"/>
      <c r="CB28" s="120"/>
      <c r="CC28" s="120"/>
      <c r="CD28" s="120"/>
      <c r="CE28" s="120"/>
      <c r="CF28" s="120"/>
      <c r="CG28" s="120"/>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c r="EU28" s="120"/>
      <c r="EV28" s="120"/>
      <c r="EW28" s="120"/>
      <c r="EX28" s="120"/>
      <c r="EY28" s="120"/>
      <c r="EZ28" s="120"/>
      <c r="FA28" s="120"/>
      <c r="FB28" s="120"/>
      <c r="FC28" s="120"/>
      <c r="FD28" s="120"/>
      <c r="FE28" s="120"/>
      <c r="FF28" s="120"/>
      <c r="FG28" s="120"/>
      <c r="FH28" s="120"/>
      <c r="FI28" s="120"/>
      <c r="FJ28" s="120"/>
      <c r="FK28" s="120"/>
      <c r="FL28" s="120"/>
      <c r="FM28" s="120"/>
      <c r="FN28" s="120"/>
      <c r="FO28" s="120"/>
      <c r="FP28" s="120"/>
      <c r="FQ28" s="120"/>
      <c r="FR28" s="120"/>
      <c r="FS28" s="120"/>
      <c r="FT28" s="120"/>
      <c r="FU28" s="120"/>
      <c r="FV28" s="120"/>
      <c r="FW28" s="120"/>
      <c r="FX28" s="120"/>
      <c r="FY28" s="120"/>
      <c r="FZ28" s="120"/>
      <c r="GA28" s="120"/>
      <c r="GB28" s="120"/>
      <c r="GC28" s="120"/>
    </row>
    <row r="29" spans="1:185" s="121" customFormat="1">
      <c r="A29" s="96" t="s">
        <v>1811</v>
      </c>
      <c r="B29" s="93" t="s">
        <v>1924</v>
      </c>
      <c r="C29" s="204">
        <f t="shared" si="5"/>
        <v>0</v>
      </c>
      <c r="D29" s="236">
        <f t="shared" ref="D29:AG29" si="6">D24+D25+D26+D27+D28</f>
        <v>90717900</v>
      </c>
      <c r="E29" s="204">
        <f t="shared" si="6"/>
        <v>0</v>
      </c>
      <c r="F29" s="204">
        <f t="shared" si="6"/>
        <v>0</v>
      </c>
      <c r="G29" s="204">
        <f t="shared" si="6"/>
        <v>0</v>
      </c>
      <c r="H29" s="204">
        <f t="shared" si="6"/>
        <v>0</v>
      </c>
      <c r="I29" s="204">
        <f t="shared" si="6"/>
        <v>0</v>
      </c>
      <c r="J29" s="204">
        <f t="shared" si="6"/>
        <v>0</v>
      </c>
      <c r="K29" s="204">
        <f t="shared" si="6"/>
        <v>0</v>
      </c>
      <c r="L29" s="204">
        <f t="shared" si="6"/>
        <v>0</v>
      </c>
      <c r="M29" s="204">
        <f t="shared" si="6"/>
        <v>0</v>
      </c>
      <c r="N29" s="204">
        <f t="shared" si="6"/>
        <v>0</v>
      </c>
      <c r="O29" s="204">
        <f t="shared" si="6"/>
        <v>0</v>
      </c>
      <c r="P29" s="204">
        <f t="shared" si="6"/>
        <v>0</v>
      </c>
      <c r="Q29" s="204">
        <f t="shared" si="6"/>
        <v>0</v>
      </c>
      <c r="R29" s="204">
        <f t="shared" si="6"/>
        <v>0</v>
      </c>
      <c r="S29" s="204">
        <f t="shared" si="6"/>
        <v>0</v>
      </c>
      <c r="T29" s="204">
        <f t="shared" si="6"/>
        <v>0</v>
      </c>
      <c r="U29" s="204">
        <f t="shared" si="6"/>
        <v>0</v>
      </c>
      <c r="V29" s="204">
        <f t="shared" si="6"/>
        <v>0</v>
      </c>
      <c r="W29" s="204">
        <f t="shared" si="6"/>
        <v>0</v>
      </c>
      <c r="X29" s="204">
        <f t="shared" si="6"/>
        <v>0</v>
      </c>
      <c r="Y29" s="204">
        <f t="shared" si="6"/>
        <v>0</v>
      </c>
      <c r="Z29" s="204">
        <f t="shared" si="6"/>
        <v>0</v>
      </c>
      <c r="AA29" s="204">
        <f t="shared" si="6"/>
        <v>0</v>
      </c>
      <c r="AB29" s="204">
        <f t="shared" si="6"/>
        <v>0</v>
      </c>
      <c r="AC29" s="204">
        <f t="shared" si="6"/>
        <v>0</v>
      </c>
      <c r="AD29" s="204">
        <f t="shared" si="6"/>
        <v>0</v>
      </c>
      <c r="AE29" s="204">
        <f t="shared" si="6"/>
        <v>0</v>
      </c>
      <c r="AF29" s="204">
        <f t="shared" si="6"/>
        <v>0</v>
      </c>
      <c r="AG29" s="204">
        <f t="shared" si="6"/>
        <v>0</v>
      </c>
      <c r="AH29" s="170"/>
      <c r="AI29" s="171"/>
      <c r="AJ29" s="120"/>
      <c r="AK29" s="120"/>
      <c r="AL29" s="120"/>
      <c r="AM29" s="120"/>
      <c r="AN29" s="120"/>
      <c r="AO29" s="120"/>
      <c r="AP29" s="120"/>
      <c r="AQ29" s="120"/>
      <c r="AR29" s="120"/>
      <c r="AS29" s="120"/>
      <c r="AT29" s="120"/>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c r="BY29" s="120"/>
      <c r="BZ29" s="120"/>
      <c r="CA29" s="120"/>
      <c r="CB29" s="120"/>
      <c r="CC29" s="120"/>
      <c r="CD29" s="120"/>
      <c r="CE29" s="120"/>
      <c r="CF29" s="120"/>
      <c r="CG29" s="120"/>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c r="EU29" s="120"/>
      <c r="EV29" s="120"/>
      <c r="EW29" s="120"/>
      <c r="EX29" s="120"/>
      <c r="EY29" s="120"/>
      <c r="EZ29" s="120"/>
      <c r="FA29" s="120"/>
      <c r="FB29" s="120"/>
      <c r="FC29" s="120"/>
      <c r="FD29" s="120"/>
      <c r="FE29" s="120"/>
      <c r="FF29" s="120"/>
      <c r="FG29" s="120"/>
      <c r="FH29" s="120"/>
      <c r="FI29" s="120"/>
      <c r="FJ29" s="120"/>
      <c r="FK29" s="120"/>
      <c r="FL29" s="120"/>
      <c r="FM29" s="120"/>
      <c r="FN29" s="120"/>
      <c r="FO29" s="120"/>
      <c r="FP29" s="120"/>
      <c r="FQ29" s="120"/>
      <c r="FR29" s="120"/>
      <c r="FS29" s="120"/>
      <c r="FT29" s="120"/>
      <c r="FU29" s="120"/>
      <c r="FV29" s="120"/>
      <c r="FW29" s="120"/>
      <c r="FX29" s="120"/>
      <c r="FY29" s="120"/>
      <c r="FZ29" s="120"/>
      <c r="GA29" s="120"/>
      <c r="GB29" s="120"/>
      <c r="GC29" s="120"/>
    </row>
    <row r="30" spans="1:185" s="121" customFormat="1">
      <c r="A30" s="96"/>
      <c r="B30" s="93"/>
      <c r="C30" s="204"/>
      <c r="D30" s="261"/>
      <c r="E30" s="267"/>
      <c r="F30" s="267"/>
      <c r="G30" s="267"/>
      <c r="H30" s="267"/>
      <c r="I30" s="267"/>
      <c r="J30" s="267"/>
      <c r="K30" s="268"/>
      <c r="L30" s="268"/>
      <c r="M30" s="268"/>
      <c r="N30" s="268"/>
      <c r="O30" s="268"/>
      <c r="P30" s="268"/>
      <c r="Q30" s="268"/>
      <c r="R30" s="268"/>
      <c r="S30" s="268"/>
      <c r="T30" s="268"/>
      <c r="U30" s="268"/>
      <c r="V30" s="268"/>
      <c r="W30" s="268"/>
      <c r="X30" s="268"/>
      <c r="Y30" s="268"/>
      <c r="Z30" s="268"/>
      <c r="AA30" s="268"/>
      <c r="AB30" s="268"/>
      <c r="AC30" s="268"/>
      <c r="AD30" s="268"/>
      <c r="AE30" s="268"/>
      <c r="AF30" s="268"/>
      <c r="AG30" s="268"/>
      <c r="AH30" s="170"/>
      <c r="AI30" s="171"/>
      <c r="AJ30" s="120"/>
      <c r="AK30" s="120"/>
      <c r="AL30" s="120"/>
      <c r="AM30" s="120"/>
      <c r="AN30" s="120"/>
      <c r="AO30" s="120"/>
      <c r="AP30" s="120"/>
      <c r="AQ30" s="120"/>
      <c r="AR30" s="120"/>
      <c r="AS30" s="120"/>
      <c r="AT30" s="120"/>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c r="BY30" s="120"/>
      <c r="BZ30" s="120"/>
      <c r="CA30" s="120"/>
      <c r="CB30" s="120"/>
      <c r="CC30" s="120"/>
      <c r="CD30" s="120"/>
      <c r="CE30" s="120"/>
      <c r="CF30" s="120"/>
      <c r="CG30" s="120"/>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c r="EU30" s="120"/>
      <c r="EV30" s="120"/>
      <c r="EW30" s="120"/>
      <c r="EX30" s="120"/>
      <c r="EY30" s="120"/>
      <c r="EZ30" s="120"/>
      <c r="FA30" s="120"/>
      <c r="FB30" s="120"/>
      <c r="FC30" s="120"/>
      <c r="FD30" s="120"/>
      <c r="FE30" s="120"/>
      <c r="FF30" s="120"/>
      <c r="FG30" s="120"/>
      <c r="FH30" s="120"/>
      <c r="FI30" s="120"/>
      <c r="FJ30" s="120"/>
      <c r="FK30" s="120"/>
      <c r="FL30" s="120"/>
      <c r="FM30" s="120"/>
      <c r="FN30" s="120"/>
      <c r="FO30" s="120"/>
      <c r="FP30" s="120"/>
      <c r="FQ30" s="120"/>
      <c r="FR30" s="120"/>
      <c r="FS30" s="120"/>
      <c r="FT30" s="120"/>
      <c r="FU30" s="120"/>
      <c r="FV30" s="120"/>
      <c r="FW30" s="120"/>
      <c r="FX30" s="120"/>
      <c r="FY30" s="120"/>
      <c r="FZ30" s="120"/>
      <c r="GA30" s="120"/>
      <c r="GB30" s="120"/>
      <c r="GC30" s="120"/>
    </row>
    <row r="31" spans="1:185" s="121" customFormat="1">
      <c r="A31" s="99" t="s">
        <v>1815</v>
      </c>
      <c r="B31" s="92" t="s">
        <v>1875</v>
      </c>
      <c r="C31" s="206">
        <f t="shared" si="5"/>
        <v>0</v>
      </c>
      <c r="D31" s="261">
        <v>18128827</v>
      </c>
      <c r="E31" s="209"/>
      <c r="F31" s="209"/>
      <c r="G31" s="209"/>
      <c r="H31" s="209"/>
      <c r="I31" s="209"/>
      <c r="J31" s="209"/>
      <c r="K31" s="210"/>
      <c r="L31" s="210"/>
      <c r="M31" s="210"/>
      <c r="N31" s="210"/>
      <c r="O31" s="210"/>
      <c r="P31" s="210"/>
      <c r="Q31" s="210"/>
      <c r="R31" s="210"/>
      <c r="S31" s="210"/>
      <c r="T31" s="210"/>
      <c r="U31" s="210"/>
      <c r="V31" s="210"/>
      <c r="W31" s="210"/>
      <c r="X31" s="210"/>
      <c r="Y31" s="210"/>
      <c r="Z31" s="210"/>
      <c r="AA31" s="210"/>
      <c r="AB31" s="210"/>
      <c r="AC31" s="210"/>
      <c r="AD31" s="210"/>
      <c r="AE31" s="210"/>
      <c r="AF31" s="210"/>
      <c r="AG31" s="210"/>
      <c r="AH31" s="170"/>
      <c r="AI31" s="171"/>
      <c r="AJ31" s="120"/>
      <c r="AK31" s="120"/>
      <c r="AL31" s="120"/>
      <c r="AM31" s="120"/>
      <c r="AN31" s="120"/>
      <c r="AO31" s="120"/>
      <c r="AP31" s="120"/>
      <c r="AQ31" s="120"/>
      <c r="AR31" s="120"/>
      <c r="AS31" s="120"/>
      <c r="AT31" s="120"/>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c r="BY31" s="120"/>
      <c r="BZ31" s="120"/>
      <c r="CA31" s="120"/>
      <c r="CB31" s="120"/>
      <c r="CC31" s="120"/>
      <c r="CD31" s="120"/>
      <c r="CE31" s="120"/>
      <c r="CF31" s="120"/>
      <c r="CG31" s="120"/>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c r="EU31" s="120"/>
      <c r="EV31" s="120"/>
      <c r="EW31" s="120"/>
      <c r="EX31" s="120"/>
      <c r="EY31" s="120"/>
      <c r="EZ31" s="120"/>
      <c r="FA31" s="120"/>
      <c r="FB31" s="120"/>
      <c r="FC31" s="120"/>
      <c r="FD31" s="120"/>
      <c r="FE31" s="120"/>
      <c r="FF31" s="120"/>
      <c r="FG31" s="120"/>
      <c r="FH31" s="120"/>
      <c r="FI31" s="120"/>
      <c r="FJ31" s="120"/>
      <c r="FK31" s="120"/>
      <c r="FL31" s="120"/>
      <c r="FM31" s="120"/>
      <c r="FN31" s="120"/>
      <c r="FO31" s="120"/>
      <c r="FP31" s="120"/>
      <c r="FQ31" s="120"/>
      <c r="FR31" s="120"/>
      <c r="FS31" s="120"/>
      <c r="FT31" s="120"/>
      <c r="FU31" s="120"/>
      <c r="FV31" s="120"/>
      <c r="FW31" s="120"/>
      <c r="FX31" s="120"/>
      <c r="FY31" s="120"/>
      <c r="FZ31" s="120"/>
      <c r="GA31" s="120"/>
      <c r="GB31" s="120"/>
      <c r="GC31" s="120"/>
    </row>
    <row r="32" spans="1:185" s="121" customFormat="1">
      <c r="A32" s="99" t="s">
        <v>1816</v>
      </c>
      <c r="B32" s="92" t="s">
        <v>1876</v>
      </c>
      <c r="C32" s="206">
        <f t="shared" si="5"/>
        <v>0</v>
      </c>
      <c r="D32" s="261">
        <v>4540723</v>
      </c>
      <c r="E32" s="209"/>
      <c r="F32" s="209"/>
      <c r="G32" s="209"/>
      <c r="H32" s="209"/>
      <c r="I32" s="209"/>
      <c r="J32" s="209"/>
      <c r="K32" s="210"/>
      <c r="L32" s="210"/>
      <c r="M32" s="210"/>
      <c r="N32" s="210"/>
      <c r="O32" s="210"/>
      <c r="P32" s="210"/>
      <c r="Q32" s="210"/>
      <c r="R32" s="210"/>
      <c r="S32" s="210"/>
      <c r="T32" s="210"/>
      <c r="U32" s="210"/>
      <c r="V32" s="210"/>
      <c r="W32" s="210"/>
      <c r="X32" s="210"/>
      <c r="Y32" s="210"/>
      <c r="Z32" s="210"/>
      <c r="AA32" s="210"/>
      <c r="AB32" s="210"/>
      <c r="AC32" s="210"/>
      <c r="AD32" s="210"/>
      <c r="AE32" s="210"/>
      <c r="AF32" s="210"/>
      <c r="AG32" s="210"/>
      <c r="AH32" s="170"/>
      <c r="AI32" s="171"/>
      <c r="AJ32" s="120"/>
      <c r="AK32" s="120"/>
      <c r="AL32" s="120"/>
      <c r="AM32" s="120"/>
      <c r="AN32" s="120"/>
      <c r="AO32" s="120"/>
      <c r="AP32" s="120"/>
      <c r="AQ32" s="120"/>
      <c r="AR32" s="120"/>
      <c r="AS32" s="120"/>
      <c r="AT32" s="120"/>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c r="BY32" s="120"/>
      <c r="BZ32" s="120"/>
      <c r="CA32" s="120"/>
      <c r="CB32" s="120"/>
      <c r="CC32" s="120"/>
      <c r="CD32" s="120"/>
      <c r="CE32" s="120"/>
      <c r="CF32" s="120"/>
      <c r="CG32" s="120"/>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c r="EU32" s="120"/>
      <c r="EV32" s="120"/>
      <c r="EW32" s="120"/>
      <c r="EX32" s="120"/>
      <c r="EY32" s="120"/>
      <c r="EZ32" s="120"/>
      <c r="FA32" s="120"/>
      <c r="FB32" s="120"/>
      <c r="FC32" s="120"/>
      <c r="FD32" s="120"/>
      <c r="FE32" s="120"/>
      <c r="FF32" s="120"/>
      <c r="FG32" s="120"/>
      <c r="FH32" s="120"/>
      <c r="FI32" s="120"/>
      <c r="FJ32" s="120"/>
      <c r="FK32" s="120"/>
      <c r="FL32" s="120"/>
      <c r="FM32" s="120"/>
      <c r="FN32" s="120"/>
      <c r="FO32" s="120"/>
      <c r="FP32" s="120"/>
      <c r="FQ32" s="120"/>
      <c r="FR32" s="120"/>
      <c r="FS32" s="120"/>
      <c r="FT32" s="120"/>
      <c r="FU32" s="120"/>
      <c r="FV32" s="120"/>
      <c r="FW32" s="120"/>
      <c r="FX32" s="120"/>
      <c r="FY32" s="120"/>
      <c r="FZ32" s="120"/>
      <c r="GA32" s="120"/>
      <c r="GB32" s="120"/>
      <c r="GC32" s="120"/>
    </row>
    <row r="33" spans="1:185" s="121" customFormat="1">
      <c r="A33" s="96" t="s">
        <v>1814</v>
      </c>
      <c r="B33" s="90" t="s">
        <v>1931</v>
      </c>
      <c r="C33" s="206">
        <f t="shared" si="5"/>
        <v>0</v>
      </c>
      <c r="D33" s="237">
        <f t="shared" ref="D33:AG33" si="7">D31+D32</f>
        <v>22669550</v>
      </c>
      <c r="E33" s="206">
        <f t="shared" si="7"/>
        <v>0</v>
      </c>
      <c r="F33" s="206">
        <f t="shared" si="7"/>
        <v>0</v>
      </c>
      <c r="G33" s="206">
        <f t="shared" si="7"/>
        <v>0</v>
      </c>
      <c r="H33" s="206">
        <f t="shared" si="7"/>
        <v>0</v>
      </c>
      <c r="I33" s="206">
        <f t="shared" si="7"/>
        <v>0</v>
      </c>
      <c r="J33" s="206">
        <f t="shared" si="7"/>
        <v>0</v>
      </c>
      <c r="K33" s="206">
        <f t="shared" si="7"/>
        <v>0</v>
      </c>
      <c r="L33" s="206">
        <f t="shared" si="7"/>
        <v>0</v>
      </c>
      <c r="M33" s="206">
        <f t="shared" si="7"/>
        <v>0</v>
      </c>
      <c r="N33" s="206">
        <f t="shared" si="7"/>
        <v>0</v>
      </c>
      <c r="O33" s="206">
        <f t="shared" si="7"/>
        <v>0</v>
      </c>
      <c r="P33" s="206">
        <f t="shared" si="7"/>
        <v>0</v>
      </c>
      <c r="Q33" s="206">
        <f t="shared" si="7"/>
        <v>0</v>
      </c>
      <c r="R33" s="206">
        <f t="shared" si="7"/>
        <v>0</v>
      </c>
      <c r="S33" s="206">
        <f t="shared" si="7"/>
        <v>0</v>
      </c>
      <c r="T33" s="206">
        <f t="shared" si="7"/>
        <v>0</v>
      </c>
      <c r="U33" s="206">
        <f t="shared" si="7"/>
        <v>0</v>
      </c>
      <c r="V33" s="206">
        <f t="shared" si="7"/>
        <v>0</v>
      </c>
      <c r="W33" s="206">
        <f t="shared" si="7"/>
        <v>0</v>
      </c>
      <c r="X33" s="206">
        <f t="shared" si="7"/>
        <v>0</v>
      </c>
      <c r="Y33" s="206">
        <f t="shared" si="7"/>
        <v>0</v>
      </c>
      <c r="Z33" s="206">
        <f t="shared" si="7"/>
        <v>0</v>
      </c>
      <c r="AA33" s="206">
        <f t="shared" si="7"/>
        <v>0</v>
      </c>
      <c r="AB33" s="206">
        <f t="shared" si="7"/>
        <v>0</v>
      </c>
      <c r="AC33" s="206">
        <f t="shared" si="7"/>
        <v>0</v>
      </c>
      <c r="AD33" s="206">
        <f t="shared" si="7"/>
        <v>0</v>
      </c>
      <c r="AE33" s="206">
        <f t="shared" si="7"/>
        <v>0</v>
      </c>
      <c r="AF33" s="206">
        <f t="shared" si="7"/>
        <v>0</v>
      </c>
      <c r="AG33" s="206">
        <f t="shared" si="7"/>
        <v>0</v>
      </c>
      <c r="AH33" s="170"/>
      <c r="AI33" s="171"/>
      <c r="AJ33" s="120"/>
      <c r="AK33" s="120"/>
      <c r="AL33" s="120"/>
      <c r="AM33" s="120"/>
      <c r="AN33" s="120"/>
      <c r="AO33" s="120"/>
      <c r="AP33" s="120"/>
      <c r="AQ33" s="120"/>
      <c r="AR33" s="120"/>
      <c r="AS33" s="120"/>
      <c r="AT33" s="120"/>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c r="BY33" s="120"/>
      <c r="BZ33" s="120"/>
      <c r="CA33" s="120"/>
      <c r="CB33" s="120"/>
      <c r="CC33" s="120"/>
      <c r="CD33" s="120"/>
      <c r="CE33" s="120"/>
      <c r="CF33" s="120"/>
      <c r="CG33" s="120"/>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c r="EU33" s="120"/>
      <c r="EV33" s="120"/>
      <c r="EW33" s="120"/>
      <c r="EX33" s="120"/>
      <c r="EY33" s="120"/>
      <c r="EZ33" s="120"/>
      <c r="FA33" s="120"/>
      <c r="FB33" s="120"/>
      <c r="FC33" s="120"/>
      <c r="FD33" s="120"/>
      <c r="FE33" s="120"/>
      <c r="FF33" s="120"/>
      <c r="FG33" s="120"/>
      <c r="FH33" s="120"/>
      <c r="FI33" s="120"/>
      <c r="FJ33" s="120"/>
      <c r="FK33" s="120"/>
      <c r="FL33" s="120"/>
      <c r="FM33" s="120"/>
      <c r="FN33" s="120"/>
      <c r="FO33" s="120"/>
      <c r="FP33" s="120"/>
      <c r="FQ33" s="120"/>
      <c r="FR33" s="120"/>
      <c r="FS33" s="120"/>
      <c r="FT33" s="120"/>
      <c r="FU33" s="120"/>
      <c r="FV33" s="120"/>
      <c r="FW33" s="120"/>
      <c r="FX33" s="120"/>
      <c r="FY33" s="120"/>
      <c r="FZ33" s="120"/>
      <c r="GA33" s="120"/>
      <c r="GB33" s="120"/>
      <c r="GC33" s="120"/>
    </row>
    <row r="34" spans="1:185" s="121" customFormat="1">
      <c r="A34" s="98" t="s">
        <v>1868</v>
      </c>
      <c r="B34" s="92" t="s">
        <v>1878</v>
      </c>
      <c r="C34" s="206">
        <f t="shared" si="5"/>
        <v>0</v>
      </c>
      <c r="D34" s="261">
        <v>43602586</v>
      </c>
      <c r="E34" s="209"/>
      <c r="F34" s="209"/>
      <c r="G34" s="209"/>
      <c r="H34" s="209"/>
      <c r="I34" s="209"/>
      <c r="J34" s="209"/>
      <c r="K34" s="210"/>
      <c r="L34" s="210"/>
      <c r="M34" s="210"/>
      <c r="N34" s="210"/>
      <c r="O34" s="210"/>
      <c r="P34" s="210"/>
      <c r="Q34" s="210"/>
      <c r="R34" s="210"/>
      <c r="S34" s="210"/>
      <c r="T34" s="210"/>
      <c r="U34" s="210"/>
      <c r="V34" s="210"/>
      <c r="W34" s="210"/>
      <c r="X34" s="210"/>
      <c r="Y34" s="210"/>
      <c r="Z34" s="210"/>
      <c r="AA34" s="210"/>
      <c r="AB34" s="210"/>
      <c r="AC34" s="210"/>
      <c r="AD34" s="210"/>
      <c r="AE34" s="210"/>
      <c r="AF34" s="210"/>
      <c r="AG34" s="210"/>
      <c r="AH34" s="170"/>
      <c r="AI34" s="171"/>
      <c r="AJ34" s="120"/>
      <c r="AK34" s="120"/>
      <c r="AL34" s="120"/>
      <c r="AM34" s="120"/>
      <c r="AN34" s="120"/>
      <c r="AO34" s="120"/>
      <c r="AP34" s="120"/>
      <c r="AQ34" s="120"/>
      <c r="AR34" s="120"/>
      <c r="AS34" s="120"/>
      <c r="AT34" s="120"/>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c r="BY34" s="120"/>
      <c r="BZ34" s="120"/>
      <c r="CA34" s="120"/>
      <c r="CB34" s="120"/>
      <c r="CC34" s="120"/>
      <c r="CD34" s="120"/>
      <c r="CE34" s="120"/>
      <c r="CF34" s="120"/>
      <c r="CG34" s="120"/>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c r="EU34" s="120"/>
      <c r="EV34" s="120"/>
      <c r="EW34" s="120"/>
      <c r="EX34" s="120"/>
      <c r="EY34" s="120"/>
      <c r="EZ34" s="120"/>
      <c r="FA34" s="120"/>
      <c r="FB34" s="120"/>
      <c r="FC34" s="120"/>
      <c r="FD34" s="120"/>
      <c r="FE34" s="120"/>
      <c r="FF34" s="120"/>
      <c r="FG34" s="120"/>
      <c r="FH34" s="120"/>
      <c r="FI34" s="120"/>
      <c r="FJ34" s="120"/>
      <c r="FK34" s="120"/>
      <c r="FL34" s="120"/>
      <c r="FM34" s="120"/>
      <c r="FN34" s="120"/>
      <c r="FO34" s="120"/>
      <c r="FP34" s="120"/>
      <c r="FQ34" s="120"/>
      <c r="FR34" s="120"/>
      <c r="FS34" s="120"/>
      <c r="FT34" s="120"/>
      <c r="FU34" s="120"/>
      <c r="FV34" s="120"/>
      <c r="FW34" s="120"/>
      <c r="FX34" s="120"/>
      <c r="FY34" s="120"/>
      <c r="FZ34" s="120"/>
      <c r="GA34" s="120"/>
      <c r="GB34" s="120"/>
      <c r="GC34" s="120"/>
    </row>
    <row r="35" spans="1:185" s="121" customFormat="1">
      <c r="A35" s="98" t="s">
        <v>1869</v>
      </c>
      <c r="B35" s="92" t="s">
        <v>1879</v>
      </c>
      <c r="C35" s="206">
        <f t="shared" si="5"/>
        <v>0</v>
      </c>
      <c r="D35" s="261">
        <v>2783376</v>
      </c>
      <c r="E35" s="209"/>
      <c r="F35" s="209"/>
      <c r="G35" s="209"/>
      <c r="H35" s="209"/>
      <c r="I35" s="209"/>
      <c r="J35" s="209"/>
      <c r="K35" s="210"/>
      <c r="L35" s="210"/>
      <c r="M35" s="210"/>
      <c r="N35" s="210"/>
      <c r="O35" s="210"/>
      <c r="P35" s="210"/>
      <c r="Q35" s="210"/>
      <c r="R35" s="210"/>
      <c r="S35" s="210"/>
      <c r="T35" s="210"/>
      <c r="U35" s="210"/>
      <c r="V35" s="210"/>
      <c r="W35" s="210"/>
      <c r="X35" s="210"/>
      <c r="Y35" s="210"/>
      <c r="Z35" s="210"/>
      <c r="AA35" s="210"/>
      <c r="AB35" s="210"/>
      <c r="AC35" s="210"/>
      <c r="AD35" s="210"/>
      <c r="AE35" s="210"/>
      <c r="AF35" s="210"/>
      <c r="AG35" s="210"/>
      <c r="AH35" s="170"/>
      <c r="AI35" s="171"/>
      <c r="AJ35" s="120"/>
      <c r="AK35" s="120"/>
      <c r="AL35" s="120"/>
      <c r="AM35" s="120"/>
      <c r="AN35" s="120"/>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c r="BZ35" s="120"/>
      <c r="CA35" s="120"/>
      <c r="CB35" s="120"/>
      <c r="CC35" s="120"/>
      <c r="CD35" s="120"/>
      <c r="CE35" s="120"/>
      <c r="CF35" s="120"/>
      <c r="CG35" s="120"/>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c r="EU35" s="120"/>
      <c r="EV35" s="120"/>
      <c r="EW35" s="120"/>
      <c r="EX35" s="120"/>
      <c r="EY35" s="120"/>
      <c r="EZ35" s="120"/>
      <c r="FA35" s="120"/>
      <c r="FB35" s="120"/>
      <c r="FC35" s="120"/>
      <c r="FD35" s="120"/>
      <c r="FE35" s="120"/>
      <c r="FF35" s="120"/>
      <c r="FG35" s="120"/>
      <c r="FH35" s="120"/>
      <c r="FI35" s="120"/>
      <c r="FJ35" s="120"/>
      <c r="FK35" s="120"/>
      <c r="FL35" s="120"/>
      <c r="FM35" s="120"/>
      <c r="FN35" s="120"/>
      <c r="FO35" s="120"/>
      <c r="FP35" s="120"/>
      <c r="FQ35" s="120"/>
      <c r="FR35" s="120"/>
      <c r="FS35" s="120"/>
      <c r="FT35" s="120"/>
      <c r="FU35" s="120"/>
      <c r="FV35" s="120"/>
      <c r="FW35" s="120"/>
      <c r="FX35" s="120"/>
      <c r="FY35" s="120"/>
      <c r="FZ35" s="120"/>
      <c r="GA35" s="120"/>
      <c r="GB35" s="120"/>
      <c r="GC35" s="120"/>
    </row>
    <row r="36" spans="1:185" s="121" customFormat="1">
      <c r="A36" s="98" t="s">
        <v>1870</v>
      </c>
      <c r="B36" s="92" t="s">
        <v>1880</v>
      </c>
      <c r="C36" s="206">
        <f t="shared" si="5"/>
        <v>0</v>
      </c>
      <c r="D36" s="261">
        <v>5100000</v>
      </c>
      <c r="E36" s="209"/>
      <c r="F36" s="209"/>
      <c r="G36" s="209"/>
      <c r="H36" s="209"/>
      <c r="I36" s="209"/>
      <c r="J36" s="209"/>
      <c r="K36" s="210"/>
      <c r="L36" s="210"/>
      <c r="M36" s="210"/>
      <c r="N36" s="210"/>
      <c r="O36" s="210"/>
      <c r="P36" s="210"/>
      <c r="Q36" s="210"/>
      <c r="R36" s="210"/>
      <c r="S36" s="210"/>
      <c r="T36" s="210"/>
      <c r="U36" s="210"/>
      <c r="V36" s="210"/>
      <c r="W36" s="210"/>
      <c r="X36" s="210"/>
      <c r="Y36" s="210"/>
      <c r="Z36" s="210"/>
      <c r="AA36" s="210"/>
      <c r="AB36" s="210"/>
      <c r="AC36" s="210"/>
      <c r="AD36" s="210"/>
      <c r="AE36" s="210"/>
      <c r="AF36" s="210"/>
      <c r="AG36" s="210"/>
      <c r="AH36" s="170"/>
      <c r="AI36" s="171"/>
      <c r="AJ36" s="120"/>
      <c r="AK36" s="120"/>
      <c r="AL36" s="120"/>
      <c r="AM36" s="120"/>
      <c r="AN36" s="120"/>
      <c r="AO36" s="120"/>
      <c r="AP36" s="120"/>
      <c r="AQ36" s="120"/>
      <c r="AR36" s="120"/>
      <c r="AS36" s="120"/>
      <c r="AT36" s="120"/>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120"/>
      <c r="CF36" s="120"/>
      <c r="CG36" s="120"/>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c r="EU36" s="120"/>
      <c r="EV36" s="120"/>
      <c r="EW36" s="120"/>
      <c r="EX36" s="120"/>
      <c r="EY36" s="120"/>
      <c r="EZ36" s="120"/>
      <c r="FA36" s="120"/>
      <c r="FB36" s="120"/>
      <c r="FC36" s="120"/>
      <c r="FD36" s="120"/>
      <c r="FE36" s="120"/>
      <c r="FF36" s="120"/>
      <c r="FG36" s="120"/>
      <c r="FH36" s="120"/>
      <c r="FI36" s="120"/>
      <c r="FJ36" s="120"/>
      <c r="FK36" s="120"/>
      <c r="FL36" s="120"/>
      <c r="FM36" s="120"/>
      <c r="FN36" s="120"/>
      <c r="FO36" s="120"/>
      <c r="FP36" s="120"/>
      <c r="FQ36" s="120"/>
      <c r="FR36" s="120"/>
      <c r="FS36" s="120"/>
      <c r="FT36" s="120"/>
      <c r="FU36" s="120"/>
      <c r="FV36" s="120"/>
      <c r="FW36" s="120"/>
      <c r="FX36" s="120"/>
      <c r="FY36" s="120"/>
      <c r="FZ36" s="120"/>
      <c r="GA36" s="120"/>
      <c r="GB36" s="120"/>
      <c r="GC36" s="120"/>
    </row>
    <row r="37" spans="1:185" s="121" customFormat="1">
      <c r="A37" s="96" t="s">
        <v>1820</v>
      </c>
      <c r="B37" s="90" t="s">
        <v>1932</v>
      </c>
      <c r="C37" s="206">
        <f t="shared" si="5"/>
        <v>0</v>
      </c>
      <c r="D37" s="237">
        <f t="shared" ref="D37:AG37" si="8">D34+D35+D36</f>
        <v>51485962</v>
      </c>
      <c r="E37" s="206">
        <f t="shared" si="8"/>
        <v>0</v>
      </c>
      <c r="F37" s="206">
        <f t="shared" si="8"/>
        <v>0</v>
      </c>
      <c r="G37" s="206">
        <f t="shared" si="8"/>
        <v>0</v>
      </c>
      <c r="H37" s="206">
        <f t="shared" si="8"/>
        <v>0</v>
      </c>
      <c r="I37" s="206">
        <f t="shared" si="8"/>
        <v>0</v>
      </c>
      <c r="J37" s="206">
        <f t="shared" si="8"/>
        <v>0</v>
      </c>
      <c r="K37" s="206">
        <f t="shared" si="8"/>
        <v>0</v>
      </c>
      <c r="L37" s="206">
        <f t="shared" si="8"/>
        <v>0</v>
      </c>
      <c r="M37" s="206">
        <f t="shared" si="8"/>
        <v>0</v>
      </c>
      <c r="N37" s="206">
        <f t="shared" si="8"/>
        <v>0</v>
      </c>
      <c r="O37" s="206">
        <f t="shared" si="8"/>
        <v>0</v>
      </c>
      <c r="P37" s="206">
        <f t="shared" si="8"/>
        <v>0</v>
      </c>
      <c r="Q37" s="206">
        <f t="shared" si="8"/>
        <v>0</v>
      </c>
      <c r="R37" s="206">
        <f t="shared" si="8"/>
        <v>0</v>
      </c>
      <c r="S37" s="206">
        <f t="shared" si="8"/>
        <v>0</v>
      </c>
      <c r="T37" s="206">
        <f t="shared" si="8"/>
        <v>0</v>
      </c>
      <c r="U37" s="206">
        <f t="shared" si="8"/>
        <v>0</v>
      </c>
      <c r="V37" s="206">
        <f t="shared" si="8"/>
        <v>0</v>
      </c>
      <c r="W37" s="206">
        <f t="shared" si="8"/>
        <v>0</v>
      </c>
      <c r="X37" s="206">
        <f t="shared" si="8"/>
        <v>0</v>
      </c>
      <c r="Y37" s="206">
        <f t="shared" si="8"/>
        <v>0</v>
      </c>
      <c r="Z37" s="206">
        <f t="shared" si="8"/>
        <v>0</v>
      </c>
      <c r="AA37" s="206">
        <f t="shared" si="8"/>
        <v>0</v>
      </c>
      <c r="AB37" s="206">
        <f t="shared" si="8"/>
        <v>0</v>
      </c>
      <c r="AC37" s="206">
        <f t="shared" si="8"/>
        <v>0</v>
      </c>
      <c r="AD37" s="206">
        <f t="shared" si="8"/>
        <v>0</v>
      </c>
      <c r="AE37" s="206">
        <f t="shared" si="8"/>
        <v>0</v>
      </c>
      <c r="AF37" s="206">
        <f t="shared" si="8"/>
        <v>0</v>
      </c>
      <c r="AG37" s="206">
        <f t="shared" si="8"/>
        <v>0</v>
      </c>
      <c r="AH37" s="170"/>
      <c r="AI37" s="171"/>
      <c r="AJ37" s="120"/>
      <c r="AK37" s="120"/>
      <c r="AL37" s="120"/>
      <c r="AM37" s="120"/>
      <c r="AN37" s="120"/>
      <c r="AO37" s="120"/>
      <c r="AP37" s="120"/>
      <c r="AQ37" s="120"/>
      <c r="AR37" s="120"/>
      <c r="AS37" s="120"/>
      <c r="AT37" s="120"/>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c r="BS37" s="120"/>
      <c r="BT37" s="120"/>
      <c r="BU37" s="120"/>
      <c r="BV37" s="120"/>
      <c r="BW37" s="120"/>
      <c r="BX37" s="120"/>
      <c r="BY37" s="120"/>
      <c r="BZ37" s="120"/>
      <c r="CA37" s="120"/>
      <c r="CB37" s="120"/>
      <c r="CC37" s="120"/>
      <c r="CD37" s="120"/>
      <c r="CE37" s="120"/>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c r="EU37" s="120"/>
      <c r="EV37" s="120"/>
      <c r="EW37" s="120"/>
      <c r="EX37" s="120"/>
      <c r="EY37" s="120"/>
      <c r="EZ37" s="120"/>
      <c r="FA37" s="120"/>
      <c r="FB37" s="120"/>
      <c r="FC37" s="120"/>
      <c r="FD37" s="120"/>
      <c r="FE37" s="120"/>
      <c r="FF37" s="120"/>
      <c r="FG37" s="120"/>
      <c r="FH37" s="120"/>
      <c r="FI37" s="120"/>
      <c r="FJ37" s="120"/>
      <c r="FK37" s="120"/>
      <c r="FL37" s="120"/>
      <c r="FM37" s="120"/>
      <c r="FN37" s="120"/>
      <c r="FO37" s="120"/>
      <c r="FP37" s="120"/>
      <c r="FQ37" s="120"/>
      <c r="FR37" s="120"/>
      <c r="FS37" s="120"/>
      <c r="FT37" s="120"/>
      <c r="FU37" s="120"/>
      <c r="FV37" s="120"/>
      <c r="FW37" s="120"/>
      <c r="FX37" s="120"/>
      <c r="FY37" s="120"/>
      <c r="FZ37" s="120"/>
      <c r="GA37" s="120"/>
      <c r="GB37" s="120"/>
      <c r="GC37" s="120"/>
    </row>
    <row r="38" spans="1:185" s="123" customFormat="1">
      <c r="A38" s="97"/>
      <c r="B38" s="93" t="s">
        <v>1854</v>
      </c>
      <c r="C38" s="204">
        <f t="shared" si="5"/>
        <v>0</v>
      </c>
      <c r="D38" s="236">
        <f t="shared" ref="D38:AG38" si="9">D33+D37</f>
        <v>74155512</v>
      </c>
      <c r="E38" s="204">
        <f t="shared" si="9"/>
        <v>0</v>
      </c>
      <c r="F38" s="204">
        <f t="shared" si="9"/>
        <v>0</v>
      </c>
      <c r="G38" s="204">
        <f t="shared" si="9"/>
        <v>0</v>
      </c>
      <c r="H38" s="204">
        <f t="shared" si="9"/>
        <v>0</v>
      </c>
      <c r="I38" s="204">
        <f t="shared" si="9"/>
        <v>0</v>
      </c>
      <c r="J38" s="204">
        <f t="shared" si="9"/>
        <v>0</v>
      </c>
      <c r="K38" s="204">
        <f t="shared" si="9"/>
        <v>0</v>
      </c>
      <c r="L38" s="204">
        <f t="shared" si="9"/>
        <v>0</v>
      </c>
      <c r="M38" s="204">
        <f t="shared" si="9"/>
        <v>0</v>
      </c>
      <c r="N38" s="204">
        <f t="shared" si="9"/>
        <v>0</v>
      </c>
      <c r="O38" s="204">
        <f t="shared" si="9"/>
        <v>0</v>
      </c>
      <c r="P38" s="204">
        <f t="shared" si="9"/>
        <v>0</v>
      </c>
      <c r="Q38" s="204">
        <f t="shared" si="9"/>
        <v>0</v>
      </c>
      <c r="R38" s="204">
        <f t="shared" si="9"/>
        <v>0</v>
      </c>
      <c r="S38" s="204">
        <f t="shared" si="9"/>
        <v>0</v>
      </c>
      <c r="T38" s="204">
        <f t="shared" si="9"/>
        <v>0</v>
      </c>
      <c r="U38" s="204">
        <f t="shared" si="9"/>
        <v>0</v>
      </c>
      <c r="V38" s="204">
        <f t="shared" si="9"/>
        <v>0</v>
      </c>
      <c r="W38" s="204">
        <f t="shared" si="9"/>
        <v>0</v>
      </c>
      <c r="X38" s="204">
        <f t="shared" si="9"/>
        <v>0</v>
      </c>
      <c r="Y38" s="204">
        <f t="shared" si="9"/>
        <v>0</v>
      </c>
      <c r="Z38" s="204">
        <f t="shared" si="9"/>
        <v>0</v>
      </c>
      <c r="AA38" s="204">
        <f t="shared" si="9"/>
        <v>0</v>
      </c>
      <c r="AB38" s="204">
        <f t="shared" si="9"/>
        <v>0</v>
      </c>
      <c r="AC38" s="204">
        <f t="shared" si="9"/>
        <v>0</v>
      </c>
      <c r="AD38" s="204">
        <f t="shared" si="9"/>
        <v>0</v>
      </c>
      <c r="AE38" s="204">
        <f t="shared" si="9"/>
        <v>0</v>
      </c>
      <c r="AF38" s="204">
        <f t="shared" si="9"/>
        <v>0</v>
      </c>
      <c r="AG38" s="204">
        <f t="shared" si="9"/>
        <v>0</v>
      </c>
      <c r="AH38" s="172"/>
      <c r="AI38" s="173"/>
      <c r="AJ38" s="122"/>
      <c r="AK38" s="122"/>
      <c r="AL38" s="122"/>
      <c r="AM38" s="122"/>
      <c r="AN38" s="122"/>
      <c r="AO38" s="122"/>
      <c r="AP38" s="122"/>
      <c r="AQ38" s="122"/>
      <c r="AR38" s="122"/>
      <c r="AS38" s="122"/>
      <c r="AT38" s="122"/>
      <c r="AU38" s="122"/>
      <c r="AV38" s="122"/>
      <c r="AW38" s="122"/>
      <c r="AX38" s="122"/>
      <c r="AY38" s="122"/>
      <c r="AZ38" s="122"/>
      <c r="BA38" s="122"/>
      <c r="BB38" s="122"/>
      <c r="BC38" s="122"/>
      <c r="BD38" s="122"/>
      <c r="BE38" s="122"/>
      <c r="BF38" s="122"/>
      <c r="BG38" s="122"/>
      <c r="BH38" s="122"/>
      <c r="BI38" s="122"/>
      <c r="BJ38" s="122"/>
      <c r="BK38" s="122"/>
      <c r="BL38" s="122"/>
      <c r="BM38" s="122"/>
      <c r="BN38" s="122"/>
      <c r="BO38" s="122"/>
      <c r="BP38" s="122"/>
      <c r="BQ38" s="122"/>
      <c r="BR38" s="122"/>
      <c r="BS38" s="122"/>
      <c r="BT38" s="122"/>
      <c r="BU38" s="122"/>
      <c r="BV38" s="122"/>
      <c r="BW38" s="122"/>
      <c r="BX38" s="122"/>
      <c r="BY38" s="122"/>
      <c r="BZ38" s="122"/>
      <c r="CA38" s="122"/>
      <c r="CB38" s="122"/>
      <c r="CC38" s="122"/>
      <c r="CD38" s="122"/>
      <c r="CE38" s="122"/>
      <c r="CF38" s="122"/>
      <c r="CG38" s="122"/>
      <c r="CH38" s="122"/>
      <c r="CI38" s="122"/>
      <c r="CJ38" s="122"/>
      <c r="CK38" s="122"/>
      <c r="CL38" s="122"/>
      <c r="CM38" s="122"/>
      <c r="CN38" s="122"/>
      <c r="CO38" s="122"/>
      <c r="CP38" s="122"/>
      <c r="CQ38" s="122"/>
      <c r="CR38" s="122"/>
      <c r="CS38" s="122"/>
      <c r="CT38" s="122"/>
      <c r="CU38" s="122"/>
      <c r="CV38" s="122"/>
      <c r="CW38" s="122"/>
      <c r="CX38" s="122"/>
      <c r="CY38" s="122"/>
      <c r="CZ38" s="122"/>
      <c r="DA38" s="122"/>
      <c r="DB38" s="122"/>
      <c r="DC38" s="122"/>
      <c r="DD38" s="122"/>
      <c r="DE38" s="122"/>
      <c r="DF38" s="122"/>
      <c r="DG38" s="122"/>
      <c r="DH38" s="122"/>
      <c r="DI38" s="122"/>
      <c r="DJ38" s="122"/>
      <c r="DK38" s="122"/>
      <c r="DL38" s="122"/>
      <c r="DM38" s="122"/>
      <c r="DN38" s="122"/>
      <c r="DO38" s="122"/>
      <c r="DP38" s="122"/>
      <c r="DQ38" s="122"/>
      <c r="DR38" s="122"/>
      <c r="DS38" s="122"/>
      <c r="DT38" s="122"/>
      <c r="DU38" s="122"/>
      <c r="DV38" s="122"/>
      <c r="DW38" s="122"/>
      <c r="DX38" s="122"/>
      <c r="DY38" s="122"/>
      <c r="DZ38" s="122"/>
      <c r="EA38" s="122"/>
      <c r="EB38" s="122"/>
      <c r="EC38" s="122"/>
      <c r="ED38" s="122"/>
      <c r="EE38" s="122"/>
      <c r="EF38" s="122"/>
      <c r="EG38" s="122"/>
      <c r="EH38" s="122"/>
      <c r="EI38" s="122"/>
      <c r="EJ38" s="122"/>
      <c r="EK38" s="122"/>
      <c r="EL38" s="122"/>
      <c r="EM38" s="122"/>
      <c r="EN38" s="122"/>
      <c r="EO38" s="122"/>
      <c r="EP38" s="122"/>
      <c r="EQ38" s="122"/>
      <c r="ER38" s="122"/>
      <c r="ES38" s="122"/>
      <c r="ET38" s="122"/>
      <c r="EU38" s="122"/>
      <c r="EV38" s="122"/>
      <c r="EW38" s="122"/>
      <c r="EX38" s="122"/>
      <c r="EY38" s="122"/>
      <c r="EZ38" s="122"/>
      <c r="FA38" s="122"/>
      <c r="FB38" s="122"/>
      <c r="FC38" s="122"/>
      <c r="FD38" s="122"/>
      <c r="FE38" s="122"/>
      <c r="FF38" s="122"/>
      <c r="FG38" s="122"/>
      <c r="FH38" s="122"/>
      <c r="FI38" s="122"/>
      <c r="FJ38" s="122"/>
      <c r="FK38" s="122"/>
      <c r="FL38" s="122"/>
      <c r="FM38" s="122"/>
      <c r="FN38" s="122"/>
      <c r="FO38" s="122"/>
      <c r="FP38" s="122"/>
      <c r="FQ38" s="122"/>
      <c r="FR38" s="122"/>
      <c r="FS38" s="122"/>
      <c r="FT38" s="122"/>
      <c r="FU38" s="122"/>
      <c r="FV38" s="122"/>
      <c r="FW38" s="122"/>
      <c r="FX38" s="122"/>
      <c r="FY38" s="122"/>
      <c r="FZ38" s="122"/>
      <c r="GA38" s="122"/>
      <c r="GB38" s="122"/>
      <c r="GC38" s="122"/>
    </row>
    <row r="39" spans="1:185" s="121" customFormat="1">
      <c r="A39" s="96"/>
      <c r="B39" s="94"/>
      <c r="C39" s="206"/>
      <c r="D39" s="261"/>
      <c r="E39" s="209"/>
      <c r="F39" s="209"/>
      <c r="G39" s="209"/>
      <c r="H39" s="209"/>
      <c r="I39" s="209"/>
      <c r="J39" s="209"/>
      <c r="K39" s="210"/>
      <c r="L39" s="210"/>
      <c r="M39" s="210"/>
      <c r="N39" s="210"/>
      <c r="O39" s="210"/>
      <c r="P39" s="210"/>
      <c r="Q39" s="210"/>
      <c r="R39" s="210"/>
      <c r="S39" s="210"/>
      <c r="T39" s="210"/>
      <c r="U39" s="210"/>
      <c r="V39" s="210"/>
      <c r="W39" s="210"/>
      <c r="X39" s="210"/>
      <c r="Y39" s="210"/>
      <c r="Z39" s="210"/>
      <c r="AA39" s="210"/>
      <c r="AB39" s="210"/>
      <c r="AC39" s="210"/>
      <c r="AD39" s="210"/>
      <c r="AE39" s="210"/>
      <c r="AF39" s="210"/>
      <c r="AG39" s="210"/>
      <c r="AH39" s="170"/>
      <c r="AI39" s="171"/>
      <c r="AJ39" s="120"/>
      <c r="AK39" s="120"/>
      <c r="AL39" s="120"/>
      <c r="AM39" s="120"/>
      <c r="AN39" s="120"/>
      <c r="AO39" s="120"/>
      <c r="AP39" s="120"/>
      <c r="AQ39" s="120"/>
      <c r="AR39" s="120"/>
      <c r="AS39" s="120"/>
      <c r="AT39" s="120"/>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c r="BR39" s="120"/>
      <c r="BS39" s="120"/>
      <c r="BT39" s="120"/>
      <c r="BU39" s="120"/>
      <c r="BV39" s="120"/>
      <c r="BW39" s="120"/>
      <c r="BX39" s="120"/>
      <c r="BY39" s="120"/>
      <c r="BZ39" s="120"/>
      <c r="CA39" s="120"/>
      <c r="CB39" s="120"/>
      <c r="CC39" s="120"/>
      <c r="CD39" s="120"/>
      <c r="CE39" s="120"/>
      <c r="CF39" s="120"/>
      <c r="CG39" s="120"/>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c r="EU39" s="120"/>
      <c r="EV39" s="120"/>
      <c r="EW39" s="120"/>
      <c r="EX39" s="120"/>
      <c r="EY39" s="120"/>
      <c r="EZ39" s="120"/>
      <c r="FA39" s="120"/>
      <c r="FB39" s="120"/>
      <c r="FC39" s="120"/>
      <c r="FD39" s="120"/>
      <c r="FE39" s="120"/>
      <c r="FF39" s="120"/>
      <c r="FG39" s="120"/>
      <c r="FH39" s="120"/>
      <c r="FI39" s="120"/>
      <c r="FJ39" s="120"/>
      <c r="FK39" s="120"/>
      <c r="FL39" s="120"/>
      <c r="FM39" s="120"/>
      <c r="FN39" s="120"/>
      <c r="FO39" s="120"/>
      <c r="FP39" s="120"/>
      <c r="FQ39" s="120"/>
      <c r="FR39" s="120"/>
      <c r="FS39" s="120"/>
      <c r="FT39" s="120"/>
      <c r="FU39" s="120"/>
      <c r="FV39" s="120"/>
      <c r="FW39" s="120"/>
      <c r="FX39" s="120"/>
      <c r="FY39" s="120"/>
      <c r="FZ39" s="120"/>
      <c r="GA39" s="120"/>
      <c r="GB39" s="120"/>
      <c r="GC39" s="120"/>
    </row>
    <row r="40" spans="1:185" s="121" customFormat="1">
      <c r="A40" s="96" t="s">
        <v>1821</v>
      </c>
      <c r="B40" s="90" t="s">
        <v>1822</v>
      </c>
      <c r="C40" s="206">
        <f t="shared" ref="C40:C46" si="10">SUM(E40:AG40)</f>
        <v>0</v>
      </c>
      <c r="D40" s="261">
        <v>48660505</v>
      </c>
      <c r="E40" s="209"/>
      <c r="F40" s="209"/>
      <c r="G40" s="209"/>
      <c r="H40" s="209"/>
      <c r="I40" s="209"/>
      <c r="J40" s="209"/>
      <c r="K40" s="210"/>
      <c r="L40" s="210"/>
      <c r="M40" s="210"/>
      <c r="N40" s="210"/>
      <c r="O40" s="210"/>
      <c r="P40" s="210"/>
      <c r="Q40" s="210"/>
      <c r="R40" s="210"/>
      <c r="S40" s="210"/>
      <c r="T40" s="210"/>
      <c r="U40" s="210"/>
      <c r="V40" s="210"/>
      <c r="W40" s="210"/>
      <c r="X40" s="210"/>
      <c r="Y40" s="210"/>
      <c r="Z40" s="210"/>
      <c r="AA40" s="210"/>
      <c r="AB40" s="210"/>
      <c r="AC40" s="210"/>
      <c r="AD40" s="210"/>
      <c r="AE40" s="210"/>
      <c r="AF40" s="210"/>
      <c r="AG40" s="210"/>
      <c r="AH40" s="170"/>
      <c r="AI40" s="171"/>
      <c r="AJ40" s="120"/>
      <c r="AK40" s="120"/>
      <c r="AL40" s="120"/>
      <c r="AM40" s="120"/>
      <c r="AN40" s="120"/>
      <c r="AO40" s="120"/>
      <c r="AP40" s="120"/>
      <c r="AQ40" s="120"/>
      <c r="AR40" s="120"/>
      <c r="AS40" s="120"/>
      <c r="AT40" s="120"/>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row>
    <row r="41" spans="1:185" s="121" customFormat="1">
      <c r="A41" s="96" t="s">
        <v>1823</v>
      </c>
      <c r="B41" s="90" t="s">
        <v>1824</v>
      </c>
      <c r="C41" s="206">
        <f t="shared" si="10"/>
        <v>0</v>
      </c>
      <c r="D41" s="261">
        <v>50843505.95009885</v>
      </c>
      <c r="E41" s="209"/>
      <c r="F41" s="209"/>
      <c r="G41" s="209"/>
      <c r="H41" s="209"/>
      <c r="I41" s="209"/>
      <c r="J41" s="209"/>
      <c r="K41" s="210"/>
      <c r="L41" s="210"/>
      <c r="M41" s="210"/>
      <c r="N41" s="210"/>
      <c r="O41" s="210"/>
      <c r="P41" s="210"/>
      <c r="Q41" s="210"/>
      <c r="R41" s="210"/>
      <c r="S41" s="210"/>
      <c r="T41" s="210"/>
      <c r="U41" s="210"/>
      <c r="V41" s="210"/>
      <c r="W41" s="210"/>
      <c r="X41" s="210"/>
      <c r="Y41" s="210"/>
      <c r="Z41" s="210"/>
      <c r="AA41" s="210"/>
      <c r="AB41" s="210"/>
      <c r="AC41" s="210"/>
      <c r="AD41" s="210"/>
      <c r="AE41" s="210"/>
      <c r="AF41" s="210"/>
      <c r="AG41" s="210"/>
      <c r="AH41" s="170"/>
      <c r="AI41" s="171"/>
      <c r="AJ41" s="120"/>
      <c r="AK41" s="120"/>
      <c r="AL41" s="120"/>
      <c r="AM41" s="120"/>
      <c r="AN41" s="120"/>
      <c r="AO41" s="120"/>
      <c r="AP41" s="120"/>
      <c r="AQ41" s="120"/>
      <c r="AR41" s="120"/>
      <c r="AS41" s="120"/>
      <c r="AT41" s="120"/>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row>
    <row r="42" spans="1:185" s="121" customFormat="1">
      <c r="A42" s="96" t="s">
        <v>1825</v>
      </c>
      <c r="B42" s="90" t="s">
        <v>1826</v>
      </c>
      <c r="C42" s="206">
        <f t="shared" si="10"/>
        <v>0</v>
      </c>
      <c r="D42" s="261">
        <v>2432944.3935337574</v>
      </c>
      <c r="E42" s="209"/>
      <c r="F42" s="209"/>
      <c r="G42" s="209"/>
      <c r="H42" s="209"/>
      <c r="I42" s="209"/>
      <c r="J42" s="209"/>
      <c r="K42" s="210"/>
      <c r="L42" s="210"/>
      <c r="M42" s="210"/>
      <c r="N42" s="210"/>
      <c r="O42" s="210"/>
      <c r="P42" s="210"/>
      <c r="Q42" s="210"/>
      <c r="R42" s="210"/>
      <c r="S42" s="210"/>
      <c r="T42" s="210"/>
      <c r="U42" s="210"/>
      <c r="V42" s="210"/>
      <c r="W42" s="210"/>
      <c r="X42" s="210"/>
      <c r="Y42" s="210"/>
      <c r="Z42" s="210"/>
      <c r="AA42" s="210"/>
      <c r="AB42" s="210"/>
      <c r="AC42" s="210"/>
      <c r="AD42" s="210"/>
      <c r="AE42" s="210"/>
      <c r="AF42" s="210"/>
      <c r="AG42" s="210"/>
      <c r="AH42" s="170"/>
      <c r="AI42" s="171"/>
      <c r="AJ42" s="120"/>
      <c r="AK42" s="120"/>
      <c r="AL42" s="120"/>
      <c r="AM42" s="120"/>
      <c r="AN42" s="120"/>
      <c r="AO42" s="120"/>
      <c r="AP42" s="120"/>
      <c r="AQ42" s="120"/>
      <c r="AR42" s="120"/>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row>
    <row r="43" spans="1:185" s="121" customFormat="1">
      <c r="A43" s="96" t="s">
        <v>1827</v>
      </c>
      <c r="B43" s="90" t="s">
        <v>1829</v>
      </c>
      <c r="C43" s="206">
        <f t="shared" si="10"/>
        <v>0</v>
      </c>
      <c r="D43" s="261">
        <v>85949527.899803177</v>
      </c>
      <c r="E43" s="209"/>
      <c r="F43" s="209"/>
      <c r="G43" s="209"/>
      <c r="H43" s="209"/>
      <c r="I43" s="209"/>
      <c r="J43" s="209"/>
      <c r="K43" s="210"/>
      <c r="L43" s="210"/>
      <c r="M43" s="210"/>
      <c r="N43" s="210"/>
      <c r="O43" s="210"/>
      <c r="P43" s="210"/>
      <c r="Q43" s="210"/>
      <c r="R43" s="210"/>
      <c r="S43" s="210"/>
      <c r="T43" s="210"/>
      <c r="U43" s="210"/>
      <c r="V43" s="210"/>
      <c r="W43" s="210"/>
      <c r="X43" s="210"/>
      <c r="Y43" s="210"/>
      <c r="Z43" s="210"/>
      <c r="AA43" s="210"/>
      <c r="AB43" s="210"/>
      <c r="AC43" s="210"/>
      <c r="AD43" s="210"/>
      <c r="AE43" s="210"/>
      <c r="AF43" s="210"/>
      <c r="AG43" s="210"/>
      <c r="AH43" s="170"/>
      <c r="AI43" s="171"/>
      <c r="AJ43" s="120"/>
      <c r="AK43" s="120"/>
      <c r="AL43" s="120"/>
      <c r="AM43" s="120"/>
      <c r="AN43" s="120"/>
      <c r="AO43" s="120"/>
      <c r="AP43" s="120"/>
      <c r="AQ43" s="120"/>
      <c r="AR43" s="120"/>
      <c r="AS43" s="120"/>
      <c r="AT43" s="120"/>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row>
    <row r="44" spans="1:185" s="121" customFormat="1">
      <c r="A44" s="98" t="s">
        <v>1871</v>
      </c>
      <c r="B44" s="90" t="s">
        <v>1898</v>
      </c>
      <c r="C44" s="206">
        <f t="shared" si="10"/>
        <v>0</v>
      </c>
      <c r="D44" s="261">
        <v>1859949.0982653233</v>
      </c>
      <c r="E44" s="209"/>
      <c r="F44" s="209"/>
      <c r="G44" s="209"/>
      <c r="H44" s="209"/>
      <c r="I44" s="209"/>
      <c r="J44" s="209"/>
      <c r="K44" s="210"/>
      <c r="L44" s="210"/>
      <c r="M44" s="210"/>
      <c r="N44" s="210"/>
      <c r="O44" s="210"/>
      <c r="P44" s="210"/>
      <c r="Q44" s="210"/>
      <c r="R44" s="210"/>
      <c r="S44" s="210"/>
      <c r="T44" s="210"/>
      <c r="U44" s="210"/>
      <c r="V44" s="210"/>
      <c r="W44" s="210"/>
      <c r="X44" s="210"/>
      <c r="Y44" s="210"/>
      <c r="Z44" s="210"/>
      <c r="AA44" s="210"/>
      <c r="AB44" s="210"/>
      <c r="AC44" s="210"/>
      <c r="AD44" s="210"/>
      <c r="AE44" s="210"/>
      <c r="AF44" s="210"/>
      <c r="AG44" s="210"/>
      <c r="AH44" s="170"/>
      <c r="AI44" s="171"/>
      <c r="AJ44" s="120"/>
      <c r="AK44" s="120"/>
      <c r="AL44" s="120"/>
      <c r="AM44" s="120"/>
      <c r="AN44" s="120"/>
      <c r="AO44" s="120"/>
      <c r="AP44" s="120"/>
      <c r="AQ44" s="120"/>
      <c r="AR44" s="120"/>
      <c r="AS44" s="120"/>
      <c r="AT44" s="120"/>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row>
    <row r="45" spans="1:185" s="121" customFormat="1">
      <c r="A45" s="14" t="s">
        <v>1830</v>
      </c>
      <c r="B45" s="90" t="s">
        <v>1831</v>
      </c>
      <c r="C45" s="206">
        <f t="shared" si="10"/>
        <v>0</v>
      </c>
      <c r="D45" s="261">
        <v>86132660.741135582</v>
      </c>
      <c r="E45" s="209"/>
      <c r="F45" s="209"/>
      <c r="G45" s="209"/>
      <c r="H45" s="209"/>
      <c r="I45" s="209"/>
      <c r="J45" s="209"/>
      <c r="K45" s="210"/>
      <c r="L45" s="210"/>
      <c r="M45" s="210"/>
      <c r="N45" s="210"/>
      <c r="O45" s="210"/>
      <c r="P45" s="210"/>
      <c r="Q45" s="210"/>
      <c r="R45" s="210"/>
      <c r="S45" s="210"/>
      <c r="T45" s="210"/>
      <c r="U45" s="210"/>
      <c r="V45" s="210"/>
      <c r="W45" s="210"/>
      <c r="X45" s="210"/>
      <c r="Y45" s="210"/>
      <c r="Z45" s="210"/>
      <c r="AA45" s="210"/>
      <c r="AB45" s="210"/>
      <c r="AC45" s="210"/>
      <c r="AD45" s="210"/>
      <c r="AE45" s="210"/>
      <c r="AF45" s="210"/>
      <c r="AG45" s="210"/>
      <c r="AH45" s="170"/>
      <c r="AI45" s="171"/>
      <c r="AJ45" s="120"/>
      <c r="AK45" s="120"/>
      <c r="AL45" s="120"/>
      <c r="AM45" s="120"/>
      <c r="AN45" s="120"/>
      <c r="AO45" s="120"/>
      <c r="AP45" s="120"/>
      <c r="AQ45" s="120"/>
      <c r="AR45" s="120"/>
      <c r="AS45" s="120"/>
      <c r="AT45" s="120"/>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row>
    <row r="46" spans="1:185" s="123" customFormat="1">
      <c r="A46" s="20"/>
      <c r="B46" s="93" t="s">
        <v>1855</v>
      </c>
      <c r="C46" s="204">
        <f t="shared" si="10"/>
        <v>0</v>
      </c>
      <c r="D46" s="236">
        <f t="shared" ref="D46:AG46" si="11">SUM(D40:D45)</f>
        <v>275879093.08283669</v>
      </c>
      <c r="E46" s="204">
        <f t="shared" si="11"/>
        <v>0</v>
      </c>
      <c r="F46" s="204">
        <f t="shared" si="11"/>
        <v>0</v>
      </c>
      <c r="G46" s="204">
        <f t="shared" si="11"/>
        <v>0</v>
      </c>
      <c r="H46" s="204">
        <f t="shared" si="11"/>
        <v>0</v>
      </c>
      <c r="I46" s="204">
        <f t="shared" si="11"/>
        <v>0</v>
      </c>
      <c r="J46" s="204">
        <f t="shared" si="11"/>
        <v>0</v>
      </c>
      <c r="K46" s="204">
        <f t="shared" si="11"/>
        <v>0</v>
      </c>
      <c r="L46" s="204">
        <f t="shared" si="11"/>
        <v>0</v>
      </c>
      <c r="M46" s="204">
        <f t="shared" si="11"/>
        <v>0</v>
      </c>
      <c r="N46" s="204">
        <f t="shared" si="11"/>
        <v>0</v>
      </c>
      <c r="O46" s="204">
        <f t="shared" si="11"/>
        <v>0</v>
      </c>
      <c r="P46" s="204">
        <f t="shared" si="11"/>
        <v>0</v>
      </c>
      <c r="Q46" s="204">
        <f t="shared" si="11"/>
        <v>0</v>
      </c>
      <c r="R46" s="204">
        <f t="shared" si="11"/>
        <v>0</v>
      </c>
      <c r="S46" s="204">
        <f t="shared" si="11"/>
        <v>0</v>
      </c>
      <c r="T46" s="204">
        <f t="shared" si="11"/>
        <v>0</v>
      </c>
      <c r="U46" s="204">
        <f t="shared" si="11"/>
        <v>0</v>
      </c>
      <c r="V46" s="204">
        <f t="shared" si="11"/>
        <v>0</v>
      </c>
      <c r="W46" s="204">
        <f t="shared" si="11"/>
        <v>0</v>
      </c>
      <c r="X46" s="204">
        <f t="shared" si="11"/>
        <v>0</v>
      </c>
      <c r="Y46" s="204">
        <f t="shared" si="11"/>
        <v>0</v>
      </c>
      <c r="Z46" s="204">
        <f t="shared" si="11"/>
        <v>0</v>
      </c>
      <c r="AA46" s="204">
        <f t="shared" si="11"/>
        <v>0</v>
      </c>
      <c r="AB46" s="204">
        <f t="shared" si="11"/>
        <v>0</v>
      </c>
      <c r="AC46" s="204">
        <f t="shared" si="11"/>
        <v>0</v>
      </c>
      <c r="AD46" s="204">
        <f t="shared" si="11"/>
        <v>0</v>
      </c>
      <c r="AE46" s="204">
        <f t="shared" si="11"/>
        <v>0</v>
      </c>
      <c r="AF46" s="204">
        <f t="shared" si="11"/>
        <v>0</v>
      </c>
      <c r="AG46" s="204">
        <f t="shared" si="11"/>
        <v>0</v>
      </c>
      <c r="AH46" s="172"/>
      <c r="AI46" s="173"/>
      <c r="AJ46" s="122"/>
      <c r="AK46" s="122"/>
      <c r="AL46" s="122"/>
      <c r="AM46" s="122"/>
      <c r="AN46" s="122"/>
      <c r="AO46" s="122"/>
      <c r="AP46" s="122"/>
      <c r="AQ46" s="122"/>
      <c r="AR46" s="122"/>
      <c r="AS46" s="122"/>
      <c r="AT46" s="122"/>
      <c r="AU46" s="122"/>
      <c r="AV46" s="122"/>
      <c r="AW46" s="122"/>
      <c r="AX46" s="122"/>
      <c r="AY46" s="122"/>
      <c r="AZ46" s="122"/>
      <c r="BA46" s="122"/>
      <c r="BB46" s="122"/>
      <c r="BC46" s="122"/>
      <c r="BD46" s="122"/>
      <c r="BE46" s="122"/>
      <c r="BF46" s="122"/>
      <c r="BG46" s="122"/>
      <c r="BH46" s="122"/>
      <c r="BI46" s="122"/>
      <c r="BJ46" s="122"/>
      <c r="BK46" s="122"/>
      <c r="BL46" s="122"/>
      <c r="BM46" s="122"/>
      <c r="BN46" s="122"/>
      <c r="BO46" s="122"/>
      <c r="BP46" s="122"/>
      <c r="BQ46" s="122"/>
      <c r="BR46" s="122"/>
      <c r="BS46" s="122"/>
      <c r="BT46" s="122"/>
      <c r="BU46" s="122"/>
      <c r="BV46" s="122"/>
      <c r="BW46" s="122"/>
      <c r="BX46" s="122"/>
      <c r="BY46" s="122"/>
      <c r="BZ46" s="122"/>
      <c r="CA46" s="122"/>
      <c r="CB46" s="122"/>
      <c r="CC46" s="122"/>
      <c r="CD46" s="122"/>
      <c r="CE46" s="122"/>
      <c r="CF46" s="122"/>
      <c r="CG46" s="122"/>
      <c r="CH46" s="122"/>
      <c r="CI46" s="122"/>
      <c r="CJ46" s="122"/>
      <c r="CK46" s="122"/>
      <c r="CL46" s="122"/>
      <c r="CM46" s="122"/>
      <c r="CN46" s="122"/>
      <c r="CO46" s="122"/>
      <c r="CP46" s="122"/>
      <c r="CQ46" s="122"/>
      <c r="CR46" s="122"/>
      <c r="CS46" s="122"/>
      <c r="CT46" s="122"/>
      <c r="CU46" s="122"/>
      <c r="CV46" s="122"/>
      <c r="CW46" s="122"/>
      <c r="CX46" s="122"/>
      <c r="CY46" s="122"/>
      <c r="CZ46" s="122"/>
      <c r="DA46" s="122"/>
      <c r="DB46" s="122"/>
      <c r="DC46" s="122"/>
      <c r="DD46" s="122"/>
      <c r="DE46" s="122"/>
      <c r="DF46" s="122"/>
      <c r="DG46" s="122"/>
      <c r="DH46" s="122"/>
      <c r="DI46" s="122"/>
      <c r="DJ46" s="122"/>
      <c r="DK46" s="122"/>
      <c r="DL46" s="122"/>
      <c r="DM46" s="122"/>
      <c r="DN46" s="122"/>
      <c r="DO46" s="122"/>
      <c r="DP46" s="122"/>
      <c r="DQ46" s="122"/>
      <c r="DR46" s="122"/>
      <c r="DS46" s="122"/>
      <c r="DT46" s="122"/>
      <c r="DU46" s="122"/>
      <c r="DV46" s="122"/>
      <c r="DW46" s="122"/>
      <c r="DX46" s="122"/>
      <c r="DY46" s="122"/>
      <c r="DZ46" s="122"/>
      <c r="EA46" s="122"/>
      <c r="EB46" s="122"/>
      <c r="EC46" s="122"/>
      <c r="ED46" s="122"/>
      <c r="EE46" s="122"/>
      <c r="EF46" s="122"/>
      <c r="EG46" s="122"/>
      <c r="EH46" s="122"/>
      <c r="EI46" s="122"/>
      <c r="EJ46" s="122"/>
      <c r="EK46" s="122"/>
      <c r="EL46" s="122"/>
      <c r="EM46" s="122"/>
      <c r="EN46" s="122"/>
      <c r="EO46" s="122"/>
      <c r="EP46" s="122"/>
      <c r="EQ46" s="122"/>
      <c r="ER46" s="122"/>
      <c r="ES46" s="122"/>
      <c r="ET46" s="122"/>
      <c r="EU46" s="122"/>
      <c r="EV46" s="122"/>
      <c r="EW46" s="122"/>
      <c r="EX46" s="122"/>
      <c r="EY46" s="122"/>
      <c r="EZ46" s="122"/>
      <c r="FA46" s="122"/>
      <c r="FB46" s="122"/>
      <c r="FC46" s="122"/>
      <c r="FD46" s="122"/>
      <c r="FE46" s="122"/>
      <c r="FF46" s="122"/>
      <c r="FG46" s="122"/>
      <c r="FH46" s="122"/>
      <c r="FI46" s="122"/>
      <c r="FJ46" s="122"/>
      <c r="FK46" s="122"/>
      <c r="FL46" s="122"/>
      <c r="FM46" s="122"/>
      <c r="FN46" s="122"/>
      <c r="FO46" s="122"/>
      <c r="FP46" s="122"/>
      <c r="FQ46" s="122"/>
      <c r="FR46" s="122"/>
      <c r="FS46" s="122"/>
      <c r="FT46" s="122"/>
      <c r="FU46" s="122"/>
      <c r="FV46" s="122"/>
      <c r="FW46" s="122"/>
      <c r="FX46" s="122"/>
      <c r="FY46" s="122"/>
      <c r="FZ46" s="122"/>
      <c r="GA46" s="122"/>
      <c r="GB46" s="122"/>
      <c r="GC46" s="122"/>
    </row>
    <row r="47" spans="1:185" s="121" customFormat="1">
      <c r="A47" s="14"/>
      <c r="B47" s="17"/>
      <c r="C47" s="206"/>
      <c r="D47" s="261"/>
      <c r="E47" s="209"/>
      <c r="F47" s="209"/>
      <c r="G47" s="209"/>
      <c r="H47" s="209"/>
      <c r="I47" s="209"/>
      <c r="J47" s="209"/>
      <c r="K47" s="209"/>
      <c r="L47" s="209"/>
      <c r="M47" s="209"/>
      <c r="N47" s="209"/>
      <c r="O47" s="209"/>
      <c r="P47" s="209"/>
      <c r="Q47" s="209"/>
      <c r="R47" s="209"/>
      <c r="S47" s="209"/>
      <c r="T47" s="209"/>
      <c r="U47" s="209"/>
      <c r="V47" s="209"/>
      <c r="W47" s="209"/>
      <c r="X47" s="209"/>
      <c r="Y47" s="209"/>
      <c r="Z47" s="209"/>
      <c r="AA47" s="209"/>
      <c r="AB47" s="209"/>
      <c r="AC47" s="209"/>
      <c r="AD47" s="209"/>
      <c r="AE47" s="209"/>
      <c r="AF47" s="209"/>
      <c r="AG47" s="209"/>
      <c r="AH47" s="170"/>
      <c r="AI47" s="171"/>
      <c r="AJ47" s="120"/>
      <c r="AK47" s="120"/>
      <c r="AL47" s="120"/>
      <c r="AM47" s="120"/>
      <c r="AN47" s="120"/>
      <c r="AO47" s="120"/>
      <c r="AP47" s="120"/>
      <c r="AQ47" s="120"/>
      <c r="AR47" s="120"/>
      <c r="AS47" s="120"/>
      <c r="AT47" s="120"/>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row>
    <row r="48" spans="1:185" s="123" customFormat="1">
      <c r="A48" s="21" t="s">
        <v>1832</v>
      </c>
      <c r="B48" s="19" t="s">
        <v>1963</v>
      </c>
      <c r="C48" s="211">
        <f>SUM(E48:AG48)</f>
        <v>0</v>
      </c>
      <c r="D48" s="238">
        <f t="shared" ref="D48:AG48" si="12">D22+D38+D46</f>
        <v>616154373.34881306</v>
      </c>
      <c r="E48" s="211">
        <f t="shared" si="12"/>
        <v>0</v>
      </c>
      <c r="F48" s="211">
        <f t="shared" si="12"/>
        <v>0</v>
      </c>
      <c r="G48" s="211">
        <f t="shared" si="12"/>
        <v>0</v>
      </c>
      <c r="H48" s="211">
        <f t="shared" si="12"/>
        <v>0</v>
      </c>
      <c r="I48" s="211">
        <f t="shared" si="12"/>
        <v>0</v>
      </c>
      <c r="J48" s="211">
        <f t="shared" si="12"/>
        <v>0</v>
      </c>
      <c r="K48" s="211">
        <f t="shared" si="12"/>
        <v>0</v>
      </c>
      <c r="L48" s="211">
        <f t="shared" si="12"/>
        <v>0</v>
      </c>
      <c r="M48" s="211">
        <f t="shared" si="12"/>
        <v>0</v>
      </c>
      <c r="N48" s="211">
        <f t="shared" si="12"/>
        <v>0</v>
      </c>
      <c r="O48" s="211">
        <f t="shared" si="12"/>
        <v>0</v>
      </c>
      <c r="P48" s="211">
        <f t="shared" si="12"/>
        <v>0</v>
      </c>
      <c r="Q48" s="211">
        <f t="shared" si="12"/>
        <v>0</v>
      </c>
      <c r="R48" s="211">
        <f t="shared" si="12"/>
        <v>0</v>
      </c>
      <c r="S48" s="211">
        <f t="shared" si="12"/>
        <v>0</v>
      </c>
      <c r="T48" s="211">
        <f t="shared" si="12"/>
        <v>0</v>
      </c>
      <c r="U48" s="211">
        <f t="shared" si="12"/>
        <v>0</v>
      </c>
      <c r="V48" s="211">
        <f t="shared" si="12"/>
        <v>0</v>
      </c>
      <c r="W48" s="211">
        <f t="shared" si="12"/>
        <v>0</v>
      </c>
      <c r="X48" s="211">
        <f t="shared" si="12"/>
        <v>0</v>
      </c>
      <c r="Y48" s="211">
        <f t="shared" si="12"/>
        <v>0</v>
      </c>
      <c r="Z48" s="211">
        <f t="shared" si="12"/>
        <v>0</v>
      </c>
      <c r="AA48" s="211">
        <f t="shared" si="12"/>
        <v>0</v>
      </c>
      <c r="AB48" s="211">
        <f t="shared" si="12"/>
        <v>0</v>
      </c>
      <c r="AC48" s="211">
        <f t="shared" si="12"/>
        <v>0</v>
      </c>
      <c r="AD48" s="211">
        <f t="shared" si="12"/>
        <v>0</v>
      </c>
      <c r="AE48" s="211">
        <f t="shared" si="12"/>
        <v>0</v>
      </c>
      <c r="AF48" s="211">
        <f t="shared" si="12"/>
        <v>0</v>
      </c>
      <c r="AG48" s="211">
        <f t="shared" si="12"/>
        <v>0</v>
      </c>
      <c r="AH48" s="172"/>
      <c r="AI48" s="173"/>
      <c r="AJ48" s="122"/>
      <c r="AK48" s="122"/>
      <c r="AL48" s="122"/>
      <c r="AM48" s="122"/>
      <c r="AN48" s="122"/>
      <c r="AO48" s="122"/>
      <c r="AP48" s="122"/>
      <c r="AQ48" s="122"/>
      <c r="AR48" s="122"/>
      <c r="AS48" s="122"/>
      <c r="AT48" s="122"/>
      <c r="AU48" s="122"/>
      <c r="AV48" s="122"/>
      <c r="AW48" s="122"/>
      <c r="AX48" s="122"/>
      <c r="AY48" s="122"/>
      <c r="AZ48" s="122"/>
      <c r="BA48" s="122"/>
      <c r="BB48" s="122"/>
      <c r="BC48" s="122"/>
      <c r="BD48" s="122"/>
      <c r="BE48" s="122"/>
      <c r="BF48" s="122"/>
      <c r="BG48" s="122"/>
      <c r="BH48" s="122"/>
      <c r="BI48" s="122"/>
      <c r="BJ48" s="122"/>
      <c r="BK48" s="122"/>
      <c r="BL48" s="122"/>
      <c r="BM48" s="122"/>
      <c r="BN48" s="122"/>
      <c r="BO48" s="122"/>
      <c r="BP48" s="122"/>
      <c r="BQ48" s="122"/>
      <c r="BR48" s="122"/>
      <c r="BS48" s="122"/>
      <c r="BT48" s="122"/>
      <c r="BU48" s="122"/>
      <c r="BV48" s="122"/>
      <c r="BW48" s="122"/>
      <c r="BX48" s="122"/>
      <c r="BY48" s="122"/>
      <c r="BZ48" s="122"/>
      <c r="CA48" s="122"/>
      <c r="CB48" s="122"/>
      <c r="CC48" s="122"/>
      <c r="CD48" s="122"/>
      <c r="CE48" s="122"/>
      <c r="CF48" s="122"/>
      <c r="CG48" s="122"/>
      <c r="CH48" s="122"/>
      <c r="CI48" s="122"/>
      <c r="CJ48" s="122"/>
      <c r="CK48" s="122"/>
      <c r="CL48" s="122"/>
      <c r="CM48" s="122"/>
      <c r="CN48" s="122"/>
      <c r="CO48" s="122"/>
      <c r="CP48" s="122"/>
      <c r="CQ48" s="122"/>
      <c r="CR48" s="122"/>
      <c r="CS48" s="122"/>
      <c r="CT48" s="122"/>
      <c r="CU48" s="122"/>
      <c r="CV48" s="122"/>
      <c r="CW48" s="122"/>
      <c r="CX48" s="122"/>
      <c r="CY48" s="122"/>
      <c r="CZ48" s="122"/>
      <c r="DA48" s="122"/>
      <c r="DB48" s="122"/>
      <c r="DC48" s="122"/>
      <c r="DD48" s="122"/>
      <c r="DE48" s="122"/>
      <c r="DF48" s="122"/>
      <c r="DG48" s="122"/>
      <c r="DH48" s="122"/>
      <c r="DI48" s="122"/>
      <c r="DJ48" s="122"/>
      <c r="DK48" s="122"/>
      <c r="DL48" s="122"/>
      <c r="DM48" s="122"/>
      <c r="DN48" s="122"/>
      <c r="DO48" s="122"/>
      <c r="DP48" s="122"/>
      <c r="DQ48" s="122"/>
      <c r="DR48" s="122"/>
      <c r="DS48" s="122"/>
      <c r="DT48" s="122"/>
      <c r="DU48" s="122"/>
      <c r="DV48" s="122"/>
      <c r="DW48" s="122"/>
      <c r="DX48" s="122"/>
      <c r="DY48" s="122"/>
      <c r="DZ48" s="122"/>
      <c r="EA48" s="122"/>
      <c r="EB48" s="122"/>
      <c r="EC48" s="122"/>
      <c r="ED48" s="122"/>
      <c r="EE48" s="122"/>
      <c r="EF48" s="122"/>
      <c r="EG48" s="122"/>
      <c r="EH48" s="122"/>
      <c r="EI48" s="122"/>
      <c r="EJ48" s="122"/>
      <c r="EK48" s="122"/>
      <c r="EL48" s="122"/>
      <c r="EM48" s="122"/>
      <c r="EN48" s="122"/>
      <c r="EO48" s="122"/>
      <c r="EP48" s="122"/>
      <c r="EQ48" s="122"/>
      <c r="ER48" s="122"/>
      <c r="ES48" s="122"/>
      <c r="ET48" s="122"/>
      <c r="EU48" s="122"/>
      <c r="EV48" s="122"/>
      <c r="EW48" s="122"/>
      <c r="EX48" s="122"/>
      <c r="EY48" s="122"/>
      <c r="EZ48" s="122"/>
      <c r="FA48" s="122"/>
      <c r="FB48" s="122"/>
      <c r="FC48" s="122"/>
      <c r="FD48" s="122"/>
      <c r="FE48" s="122"/>
      <c r="FF48" s="122"/>
      <c r="FG48" s="122"/>
      <c r="FH48" s="122"/>
      <c r="FI48" s="122"/>
      <c r="FJ48" s="122"/>
      <c r="FK48" s="122"/>
      <c r="FL48" s="122"/>
      <c r="FM48" s="122"/>
      <c r="FN48" s="122"/>
      <c r="FO48" s="122"/>
      <c r="FP48" s="122"/>
      <c r="FQ48" s="122"/>
      <c r="FR48" s="122"/>
      <c r="FS48" s="122"/>
      <c r="FT48" s="122"/>
      <c r="FU48" s="122"/>
      <c r="FV48" s="122"/>
      <c r="FW48" s="122"/>
      <c r="FX48" s="122"/>
      <c r="FY48" s="122"/>
      <c r="FZ48" s="122"/>
      <c r="GA48" s="122"/>
      <c r="GB48" s="122"/>
      <c r="GC48" s="122"/>
    </row>
    <row r="49" spans="1:185" s="121" customFormat="1">
      <c r="A49" s="14"/>
      <c r="B49" s="16"/>
      <c r="C49" s="207"/>
      <c r="D49" s="261"/>
      <c r="E49" s="209"/>
      <c r="F49" s="209"/>
      <c r="G49" s="209"/>
      <c r="H49" s="209"/>
      <c r="I49" s="209"/>
      <c r="J49" s="209"/>
      <c r="K49" s="209"/>
      <c r="L49" s="209"/>
      <c r="M49" s="209"/>
      <c r="N49" s="209"/>
      <c r="O49" s="209"/>
      <c r="P49" s="209"/>
      <c r="Q49" s="209"/>
      <c r="R49" s="209"/>
      <c r="S49" s="209"/>
      <c r="T49" s="209"/>
      <c r="U49" s="209"/>
      <c r="V49" s="209"/>
      <c r="W49" s="209"/>
      <c r="X49" s="209"/>
      <c r="Y49" s="209"/>
      <c r="Z49" s="209"/>
      <c r="AA49" s="209"/>
      <c r="AB49" s="209"/>
      <c r="AC49" s="209"/>
      <c r="AD49" s="209"/>
      <c r="AE49" s="209"/>
      <c r="AF49" s="209"/>
      <c r="AG49" s="209"/>
      <c r="AH49" s="170"/>
      <c r="AI49" s="171"/>
      <c r="AJ49" s="120"/>
      <c r="AK49" s="120"/>
      <c r="AL49" s="120"/>
      <c r="AM49" s="120"/>
      <c r="AN49" s="120"/>
      <c r="AO49" s="120"/>
      <c r="AP49" s="120"/>
      <c r="AQ49" s="120"/>
      <c r="AR49" s="120"/>
      <c r="AS49" s="120"/>
      <c r="AT49" s="120"/>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c r="EU49" s="120"/>
      <c r="EV49" s="120"/>
      <c r="EW49" s="120"/>
      <c r="EX49" s="120"/>
      <c r="EY49" s="120"/>
      <c r="EZ49" s="120"/>
      <c r="FA49" s="120"/>
      <c r="FB49" s="120"/>
      <c r="FC49" s="120"/>
      <c r="FD49" s="120"/>
      <c r="FE49" s="120"/>
      <c r="FF49" s="120"/>
      <c r="FG49" s="120"/>
      <c r="FH49" s="120"/>
      <c r="FI49" s="120"/>
      <c r="FJ49" s="120"/>
      <c r="FK49" s="120"/>
      <c r="FL49" s="120"/>
      <c r="FM49" s="120"/>
      <c r="FN49" s="120"/>
      <c r="FO49" s="120"/>
      <c r="FP49" s="120"/>
      <c r="FQ49" s="120"/>
      <c r="FR49" s="120"/>
      <c r="FS49" s="120"/>
      <c r="FT49" s="120"/>
      <c r="FU49" s="120"/>
      <c r="FV49" s="120"/>
      <c r="FW49" s="120"/>
      <c r="FX49" s="120"/>
      <c r="FY49" s="120"/>
      <c r="FZ49" s="120"/>
      <c r="GA49" s="120"/>
      <c r="GB49" s="120"/>
      <c r="GC49" s="120"/>
    </row>
    <row r="50" spans="1:185" s="121" customFormat="1">
      <c r="A50" s="14" t="s">
        <v>1833</v>
      </c>
      <c r="B50" s="15" t="s">
        <v>1834</v>
      </c>
      <c r="C50" s="206">
        <f>SUM(E50:AG50)</f>
        <v>0</v>
      </c>
      <c r="D50" s="261"/>
      <c r="E50" s="209"/>
      <c r="F50" s="209"/>
      <c r="G50" s="209"/>
      <c r="H50" s="209"/>
      <c r="I50" s="209"/>
      <c r="J50" s="209"/>
      <c r="K50" s="210"/>
      <c r="L50" s="210"/>
      <c r="M50" s="210"/>
      <c r="N50" s="210"/>
      <c r="O50" s="210"/>
      <c r="P50" s="210"/>
      <c r="Q50" s="210"/>
      <c r="R50" s="210"/>
      <c r="S50" s="210"/>
      <c r="T50" s="210"/>
      <c r="U50" s="210"/>
      <c r="V50" s="210"/>
      <c r="W50" s="210"/>
      <c r="X50" s="210"/>
      <c r="Y50" s="210"/>
      <c r="Z50" s="210"/>
      <c r="AA50" s="210"/>
      <c r="AB50" s="210"/>
      <c r="AC50" s="210"/>
      <c r="AD50" s="210"/>
      <c r="AE50" s="210"/>
      <c r="AF50" s="210"/>
      <c r="AG50" s="210"/>
      <c r="AH50" s="170"/>
      <c r="AI50" s="171"/>
      <c r="AJ50" s="120"/>
      <c r="AK50" s="120"/>
      <c r="AL50" s="120"/>
      <c r="AM50" s="120"/>
      <c r="AN50" s="120"/>
      <c r="AO50" s="120"/>
      <c r="AP50" s="120"/>
      <c r="AQ50" s="120"/>
      <c r="AR50" s="120"/>
      <c r="AS50" s="120"/>
      <c r="AT50" s="120"/>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c r="EU50" s="120"/>
      <c r="EV50" s="120"/>
      <c r="EW50" s="120"/>
      <c r="EX50" s="120"/>
      <c r="EY50" s="120"/>
      <c r="EZ50" s="120"/>
      <c r="FA50" s="120"/>
      <c r="FB50" s="120"/>
      <c r="FC50" s="120"/>
      <c r="FD50" s="120"/>
      <c r="FE50" s="120"/>
      <c r="FF50" s="120"/>
      <c r="FG50" s="120"/>
      <c r="FH50" s="120"/>
      <c r="FI50" s="120"/>
      <c r="FJ50" s="120"/>
      <c r="FK50" s="120"/>
      <c r="FL50" s="120"/>
      <c r="FM50" s="120"/>
      <c r="FN50" s="120"/>
      <c r="FO50" s="120"/>
      <c r="FP50" s="120"/>
      <c r="FQ50" s="120"/>
      <c r="FR50" s="120"/>
      <c r="FS50" s="120"/>
      <c r="FT50" s="120"/>
      <c r="FU50" s="120"/>
      <c r="FV50" s="120"/>
      <c r="FW50" s="120"/>
      <c r="FX50" s="120"/>
      <c r="FY50" s="120"/>
      <c r="FZ50" s="120"/>
      <c r="GA50" s="120"/>
      <c r="GB50" s="120"/>
      <c r="GC50" s="120"/>
    </row>
    <row r="51" spans="1:185" s="121" customFormat="1">
      <c r="A51" s="14" t="s">
        <v>1835</v>
      </c>
      <c r="B51" s="15" t="s">
        <v>1836</v>
      </c>
      <c r="C51" s="206">
        <f>SUM(E51:AG51)</f>
        <v>0</v>
      </c>
      <c r="D51" s="261"/>
      <c r="E51" s="209"/>
      <c r="F51" s="209"/>
      <c r="G51" s="209"/>
      <c r="H51" s="209"/>
      <c r="I51" s="209"/>
      <c r="J51" s="209"/>
      <c r="K51" s="210"/>
      <c r="L51" s="210"/>
      <c r="M51" s="210"/>
      <c r="N51" s="210"/>
      <c r="O51" s="210"/>
      <c r="P51" s="210"/>
      <c r="Q51" s="210"/>
      <c r="R51" s="210"/>
      <c r="S51" s="210"/>
      <c r="T51" s="210"/>
      <c r="U51" s="210"/>
      <c r="V51" s="210"/>
      <c r="W51" s="210"/>
      <c r="X51" s="210"/>
      <c r="Y51" s="210"/>
      <c r="Z51" s="210"/>
      <c r="AA51" s="210"/>
      <c r="AB51" s="210"/>
      <c r="AC51" s="210"/>
      <c r="AD51" s="210"/>
      <c r="AE51" s="210"/>
      <c r="AF51" s="210"/>
      <c r="AG51" s="210"/>
      <c r="AH51" s="170"/>
      <c r="AI51" s="171"/>
      <c r="AJ51" s="120"/>
      <c r="AK51" s="120"/>
      <c r="AL51" s="120"/>
      <c r="AM51" s="120"/>
      <c r="AN51" s="120"/>
      <c r="AO51" s="120"/>
      <c r="AP51" s="120"/>
      <c r="AQ51" s="120"/>
      <c r="AR51" s="120"/>
      <c r="AS51" s="120"/>
      <c r="AT51" s="120"/>
      <c r="AU51" s="120"/>
      <c r="AV51" s="120"/>
      <c r="AW51" s="120"/>
      <c r="AX51" s="120"/>
      <c r="AY51" s="120"/>
      <c r="AZ51" s="120"/>
      <c r="BA51" s="120"/>
      <c r="BB51" s="120"/>
      <c r="BC51" s="120"/>
      <c r="BD51" s="120"/>
      <c r="BE51" s="120"/>
      <c r="BF51" s="120"/>
      <c r="BG51" s="120"/>
      <c r="BH51" s="120"/>
      <c r="BI51" s="120"/>
      <c r="BJ51" s="120"/>
      <c r="BK51" s="120"/>
      <c r="BL51" s="120"/>
      <c r="BM51" s="120"/>
      <c r="BN51" s="120"/>
      <c r="BO51" s="120"/>
      <c r="BP51" s="120"/>
      <c r="BQ51" s="120"/>
      <c r="BR51" s="120"/>
      <c r="BS51" s="120"/>
      <c r="BT51" s="120"/>
      <c r="BU51" s="120"/>
      <c r="BV51" s="120"/>
      <c r="BW51" s="120"/>
      <c r="BX51" s="120"/>
      <c r="BY51" s="120"/>
      <c r="BZ51" s="120"/>
      <c r="CA51" s="120"/>
      <c r="CB51" s="120"/>
      <c r="CC51" s="120"/>
      <c r="CD51" s="120"/>
      <c r="CE51" s="120"/>
      <c r="CF51" s="120"/>
      <c r="CG51" s="120"/>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c r="EU51" s="120"/>
      <c r="EV51" s="120"/>
      <c r="EW51" s="120"/>
      <c r="EX51" s="120"/>
      <c r="EY51" s="120"/>
      <c r="EZ51" s="120"/>
      <c r="FA51" s="120"/>
      <c r="FB51" s="120"/>
      <c r="FC51" s="120"/>
      <c r="FD51" s="120"/>
      <c r="FE51" s="120"/>
      <c r="FF51" s="120"/>
      <c r="FG51" s="120"/>
      <c r="FH51" s="120"/>
      <c r="FI51" s="120"/>
      <c r="FJ51" s="120"/>
      <c r="FK51" s="120"/>
      <c r="FL51" s="120"/>
      <c r="FM51" s="120"/>
      <c r="FN51" s="120"/>
      <c r="FO51" s="120"/>
      <c r="FP51" s="120"/>
      <c r="FQ51" s="120"/>
      <c r="FR51" s="120"/>
      <c r="FS51" s="120"/>
      <c r="FT51" s="120"/>
      <c r="FU51" s="120"/>
      <c r="FV51" s="120"/>
      <c r="FW51" s="120"/>
      <c r="FX51" s="120"/>
      <c r="FY51" s="120"/>
      <c r="FZ51" s="120"/>
      <c r="GA51" s="120"/>
      <c r="GB51" s="120"/>
      <c r="GC51" s="120"/>
    </row>
    <row r="52" spans="1:185" s="123" customFormat="1">
      <c r="A52" s="20" t="s">
        <v>1837</v>
      </c>
      <c r="B52" s="16" t="s">
        <v>1897</v>
      </c>
      <c r="C52" s="204">
        <f>SUM(E52:AG52)</f>
        <v>0</v>
      </c>
      <c r="D52" s="236">
        <f t="shared" ref="D52:AG52" si="13">D50-D51</f>
        <v>0</v>
      </c>
      <c r="E52" s="204">
        <f t="shared" si="13"/>
        <v>0</v>
      </c>
      <c r="F52" s="204">
        <f t="shared" si="13"/>
        <v>0</v>
      </c>
      <c r="G52" s="204">
        <f t="shared" si="13"/>
        <v>0</v>
      </c>
      <c r="H52" s="204">
        <f t="shared" si="13"/>
        <v>0</v>
      </c>
      <c r="I52" s="204">
        <f t="shared" si="13"/>
        <v>0</v>
      </c>
      <c r="J52" s="204">
        <f t="shared" si="13"/>
        <v>0</v>
      </c>
      <c r="K52" s="204">
        <f t="shared" si="13"/>
        <v>0</v>
      </c>
      <c r="L52" s="204">
        <f t="shared" si="13"/>
        <v>0</v>
      </c>
      <c r="M52" s="204">
        <f t="shared" si="13"/>
        <v>0</v>
      </c>
      <c r="N52" s="204">
        <f t="shared" si="13"/>
        <v>0</v>
      </c>
      <c r="O52" s="204">
        <f t="shared" si="13"/>
        <v>0</v>
      </c>
      <c r="P52" s="204">
        <f t="shared" si="13"/>
        <v>0</v>
      </c>
      <c r="Q52" s="204">
        <f t="shared" si="13"/>
        <v>0</v>
      </c>
      <c r="R52" s="204">
        <f t="shared" si="13"/>
        <v>0</v>
      </c>
      <c r="S52" s="204">
        <f t="shared" si="13"/>
        <v>0</v>
      </c>
      <c r="T52" s="204">
        <f t="shared" si="13"/>
        <v>0</v>
      </c>
      <c r="U52" s="204">
        <f t="shared" si="13"/>
        <v>0</v>
      </c>
      <c r="V52" s="204">
        <f t="shared" si="13"/>
        <v>0</v>
      </c>
      <c r="W52" s="204">
        <f t="shared" si="13"/>
        <v>0</v>
      </c>
      <c r="X52" s="204">
        <f t="shared" si="13"/>
        <v>0</v>
      </c>
      <c r="Y52" s="204">
        <f t="shared" si="13"/>
        <v>0</v>
      </c>
      <c r="Z52" s="204">
        <f t="shared" si="13"/>
        <v>0</v>
      </c>
      <c r="AA52" s="204">
        <f t="shared" si="13"/>
        <v>0</v>
      </c>
      <c r="AB52" s="204">
        <f t="shared" si="13"/>
        <v>0</v>
      </c>
      <c r="AC52" s="204">
        <f t="shared" si="13"/>
        <v>0</v>
      </c>
      <c r="AD52" s="204">
        <f t="shared" si="13"/>
        <v>0</v>
      </c>
      <c r="AE52" s="204">
        <f t="shared" si="13"/>
        <v>0</v>
      </c>
      <c r="AF52" s="204">
        <f t="shared" si="13"/>
        <v>0</v>
      </c>
      <c r="AG52" s="204">
        <f t="shared" si="13"/>
        <v>0</v>
      </c>
      <c r="AH52" s="172"/>
      <c r="AI52" s="173"/>
      <c r="AJ52" s="122"/>
      <c r="AK52" s="122"/>
      <c r="AL52" s="122"/>
      <c r="AM52" s="122"/>
      <c r="AN52" s="122"/>
      <c r="AO52" s="122"/>
      <c r="AP52" s="122"/>
      <c r="AQ52" s="122"/>
      <c r="AR52" s="122"/>
      <c r="AS52" s="122"/>
      <c r="AT52" s="122"/>
      <c r="AU52" s="122"/>
      <c r="AV52" s="122"/>
      <c r="AW52" s="122"/>
      <c r="AX52" s="122"/>
      <c r="AY52" s="122"/>
      <c r="AZ52" s="122"/>
      <c r="BA52" s="122"/>
      <c r="BB52" s="122"/>
      <c r="BC52" s="122"/>
      <c r="BD52" s="122"/>
      <c r="BE52" s="122"/>
      <c r="BF52" s="122"/>
      <c r="BG52" s="122"/>
      <c r="BH52" s="122"/>
      <c r="BI52" s="122"/>
      <c r="BJ52" s="122"/>
      <c r="BK52" s="122"/>
      <c r="BL52" s="122"/>
      <c r="BM52" s="122"/>
      <c r="BN52" s="122"/>
      <c r="BO52" s="122"/>
      <c r="BP52" s="122"/>
      <c r="BQ52" s="122"/>
      <c r="BR52" s="122"/>
      <c r="BS52" s="122"/>
      <c r="BT52" s="122"/>
      <c r="BU52" s="122"/>
      <c r="BV52" s="122"/>
      <c r="BW52" s="122"/>
      <c r="BX52" s="122"/>
      <c r="BY52" s="122"/>
      <c r="BZ52" s="122"/>
      <c r="CA52" s="122"/>
      <c r="CB52" s="122"/>
      <c r="CC52" s="122"/>
      <c r="CD52" s="122"/>
      <c r="CE52" s="122"/>
      <c r="CF52" s="122"/>
      <c r="CG52" s="122"/>
      <c r="CH52" s="122"/>
      <c r="CI52" s="122"/>
      <c r="CJ52" s="122"/>
      <c r="CK52" s="122"/>
      <c r="CL52" s="122"/>
      <c r="CM52" s="122"/>
      <c r="CN52" s="122"/>
      <c r="CO52" s="122"/>
      <c r="CP52" s="122"/>
      <c r="CQ52" s="122"/>
      <c r="CR52" s="122"/>
      <c r="CS52" s="122"/>
      <c r="CT52" s="122"/>
      <c r="CU52" s="122"/>
      <c r="CV52" s="122"/>
      <c r="CW52" s="122"/>
      <c r="CX52" s="122"/>
      <c r="CY52" s="122"/>
      <c r="CZ52" s="122"/>
      <c r="DA52" s="122"/>
      <c r="DB52" s="122"/>
      <c r="DC52" s="122"/>
      <c r="DD52" s="122"/>
      <c r="DE52" s="122"/>
      <c r="DF52" s="122"/>
      <c r="DG52" s="122"/>
      <c r="DH52" s="122"/>
      <c r="DI52" s="122"/>
      <c r="DJ52" s="122"/>
      <c r="DK52" s="122"/>
      <c r="DL52" s="122"/>
      <c r="DM52" s="122"/>
      <c r="DN52" s="122"/>
      <c r="DO52" s="122"/>
      <c r="DP52" s="122"/>
      <c r="DQ52" s="122"/>
      <c r="DR52" s="122"/>
      <c r="DS52" s="122"/>
      <c r="DT52" s="122"/>
      <c r="DU52" s="122"/>
      <c r="DV52" s="122"/>
      <c r="DW52" s="122"/>
      <c r="DX52" s="122"/>
      <c r="DY52" s="122"/>
      <c r="DZ52" s="122"/>
      <c r="EA52" s="122"/>
      <c r="EB52" s="122"/>
      <c r="EC52" s="122"/>
      <c r="ED52" s="122"/>
      <c r="EE52" s="122"/>
      <c r="EF52" s="122"/>
      <c r="EG52" s="122"/>
      <c r="EH52" s="122"/>
      <c r="EI52" s="122"/>
      <c r="EJ52" s="122"/>
      <c r="EK52" s="122"/>
      <c r="EL52" s="122"/>
      <c r="EM52" s="122"/>
      <c r="EN52" s="122"/>
      <c r="EO52" s="122"/>
      <c r="EP52" s="122"/>
      <c r="EQ52" s="122"/>
      <c r="ER52" s="122"/>
      <c r="ES52" s="122"/>
      <c r="ET52" s="122"/>
      <c r="EU52" s="122"/>
      <c r="EV52" s="122"/>
      <c r="EW52" s="122"/>
      <c r="EX52" s="122"/>
      <c r="EY52" s="122"/>
      <c r="EZ52" s="122"/>
      <c r="FA52" s="122"/>
      <c r="FB52" s="122"/>
      <c r="FC52" s="122"/>
      <c r="FD52" s="122"/>
      <c r="FE52" s="122"/>
      <c r="FF52" s="122"/>
      <c r="FG52" s="122"/>
      <c r="FH52" s="122"/>
      <c r="FI52" s="122"/>
      <c r="FJ52" s="122"/>
      <c r="FK52" s="122"/>
      <c r="FL52" s="122"/>
      <c r="FM52" s="122"/>
      <c r="FN52" s="122"/>
      <c r="FO52" s="122"/>
      <c r="FP52" s="122"/>
      <c r="FQ52" s="122"/>
      <c r="FR52" s="122"/>
      <c r="FS52" s="122"/>
      <c r="FT52" s="122"/>
      <c r="FU52" s="122"/>
      <c r="FV52" s="122"/>
      <c r="FW52" s="122"/>
      <c r="FX52" s="122"/>
      <c r="FY52" s="122"/>
      <c r="FZ52" s="122"/>
      <c r="GA52" s="122"/>
      <c r="GB52" s="122"/>
      <c r="GC52" s="122"/>
    </row>
    <row r="53" spans="1:185" s="123" customFormat="1">
      <c r="A53" s="20" t="s">
        <v>1847</v>
      </c>
      <c r="B53" s="16" t="s">
        <v>1848</v>
      </c>
      <c r="C53" s="211">
        <f>SUM(E53:AG53)</f>
        <v>0</v>
      </c>
      <c r="D53" s="236">
        <f t="shared" ref="D53:AG53" si="14">D12-D48</f>
        <v>-319975493.34881306</v>
      </c>
      <c r="E53" s="204">
        <f t="shared" si="14"/>
        <v>0</v>
      </c>
      <c r="F53" s="204">
        <f t="shared" si="14"/>
        <v>0</v>
      </c>
      <c r="G53" s="204">
        <f t="shared" si="14"/>
        <v>0</v>
      </c>
      <c r="H53" s="204">
        <f t="shared" si="14"/>
        <v>0</v>
      </c>
      <c r="I53" s="204">
        <f t="shared" si="14"/>
        <v>0</v>
      </c>
      <c r="J53" s="204">
        <f t="shared" si="14"/>
        <v>0</v>
      </c>
      <c r="K53" s="204">
        <f t="shared" si="14"/>
        <v>0</v>
      </c>
      <c r="L53" s="204">
        <f t="shared" si="14"/>
        <v>0</v>
      </c>
      <c r="M53" s="204">
        <f t="shared" si="14"/>
        <v>0</v>
      </c>
      <c r="N53" s="204">
        <f t="shared" si="14"/>
        <v>0</v>
      </c>
      <c r="O53" s="204">
        <f t="shared" si="14"/>
        <v>0</v>
      </c>
      <c r="P53" s="204">
        <f t="shared" si="14"/>
        <v>0</v>
      </c>
      <c r="Q53" s="204">
        <f t="shared" si="14"/>
        <v>0</v>
      </c>
      <c r="R53" s="204">
        <f t="shared" si="14"/>
        <v>0</v>
      </c>
      <c r="S53" s="204">
        <f t="shared" si="14"/>
        <v>0</v>
      </c>
      <c r="T53" s="204">
        <f t="shared" si="14"/>
        <v>0</v>
      </c>
      <c r="U53" s="204">
        <f t="shared" si="14"/>
        <v>0</v>
      </c>
      <c r="V53" s="204">
        <f t="shared" si="14"/>
        <v>0</v>
      </c>
      <c r="W53" s="204">
        <f t="shared" si="14"/>
        <v>0</v>
      </c>
      <c r="X53" s="204">
        <f t="shared" si="14"/>
        <v>0</v>
      </c>
      <c r="Y53" s="204">
        <f t="shared" si="14"/>
        <v>0</v>
      </c>
      <c r="Z53" s="204">
        <f t="shared" si="14"/>
        <v>0</v>
      </c>
      <c r="AA53" s="204">
        <f t="shared" si="14"/>
        <v>0</v>
      </c>
      <c r="AB53" s="204">
        <f t="shared" si="14"/>
        <v>0</v>
      </c>
      <c r="AC53" s="204">
        <f t="shared" si="14"/>
        <v>0</v>
      </c>
      <c r="AD53" s="204">
        <f t="shared" si="14"/>
        <v>0</v>
      </c>
      <c r="AE53" s="204">
        <f t="shared" si="14"/>
        <v>0</v>
      </c>
      <c r="AF53" s="204">
        <f t="shared" si="14"/>
        <v>0</v>
      </c>
      <c r="AG53" s="204">
        <f t="shared" si="14"/>
        <v>0</v>
      </c>
      <c r="AH53" s="172"/>
      <c r="AI53" s="173"/>
      <c r="AJ53" s="122"/>
      <c r="AK53" s="122"/>
      <c r="AL53" s="122"/>
      <c r="AM53" s="122"/>
      <c r="AN53" s="122"/>
      <c r="AO53" s="122"/>
      <c r="AP53" s="122"/>
      <c r="AQ53" s="122"/>
      <c r="AR53" s="122"/>
      <c r="AS53" s="122"/>
      <c r="AT53" s="122"/>
      <c r="AU53" s="122"/>
      <c r="AV53" s="122"/>
      <c r="AW53" s="122"/>
      <c r="AX53" s="122"/>
      <c r="AY53" s="122"/>
      <c r="AZ53" s="122"/>
      <c r="BA53" s="122"/>
      <c r="BB53" s="122"/>
      <c r="BC53" s="122"/>
      <c r="BD53" s="122"/>
      <c r="BE53" s="122"/>
      <c r="BF53" s="122"/>
      <c r="BG53" s="122"/>
      <c r="BH53" s="122"/>
      <c r="BI53" s="122"/>
      <c r="BJ53" s="122"/>
      <c r="BK53" s="122"/>
      <c r="BL53" s="122"/>
      <c r="BM53" s="122"/>
      <c r="BN53" s="122"/>
      <c r="BO53" s="122"/>
      <c r="BP53" s="122"/>
      <c r="BQ53" s="122"/>
      <c r="BR53" s="122"/>
      <c r="BS53" s="122"/>
      <c r="BT53" s="122"/>
      <c r="BU53" s="122"/>
      <c r="BV53" s="122"/>
      <c r="BW53" s="122"/>
      <c r="BX53" s="122"/>
      <c r="BY53" s="122"/>
      <c r="BZ53" s="122"/>
      <c r="CA53" s="122"/>
      <c r="CB53" s="122"/>
      <c r="CC53" s="122"/>
      <c r="CD53" s="122"/>
      <c r="CE53" s="122"/>
      <c r="CF53" s="122"/>
      <c r="CG53" s="122"/>
      <c r="CH53" s="122"/>
      <c r="CI53" s="122"/>
      <c r="CJ53" s="122"/>
      <c r="CK53" s="122"/>
      <c r="CL53" s="122"/>
      <c r="CM53" s="122"/>
      <c r="CN53" s="122"/>
      <c r="CO53" s="122"/>
      <c r="CP53" s="122"/>
      <c r="CQ53" s="122"/>
      <c r="CR53" s="122"/>
      <c r="CS53" s="122"/>
      <c r="CT53" s="122"/>
      <c r="CU53" s="122"/>
      <c r="CV53" s="122"/>
      <c r="CW53" s="122"/>
      <c r="CX53" s="122"/>
      <c r="CY53" s="122"/>
      <c r="CZ53" s="122"/>
      <c r="DA53" s="122"/>
      <c r="DB53" s="122"/>
      <c r="DC53" s="122"/>
      <c r="DD53" s="122"/>
      <c r="DE53" s="122"/>
      <c r="DF53" s="122"/>
      <c r="DG53" s="122"/>
      <c r="DH53" s="122"/>
      <c r="DI53" s="122"/>
      <c r="DJ53" s="122"/>
      <c r="DK53" s="122"/>
      <c r="DL53" s="122"/>
      <c r="DM53" s="122"/>
      <c r="DN53" s="122"/>
      <c r="DO53" s="122"/>
      <c r="DP53" s="122"/>
      <c r="DQ53" s="122"/>
      <c r="DR53" s="122"/>
      <c r="DS53" s="122"/>
      <c r="DT53" s="122"/>
      <c r="DU53" s="122"/>
      <c r="DV53" s="122"/>
      <c r="DW53" s="122"/>
      <c r="DX53" s="122"/>
      <c r="DY53" s="122"/>
      <c r="DZ53" s="122"/>
      <c r="EA53" s="122"/>
      <c r="EB53" s="122"/>
      <c r="EC53" s="122"/>
      <c r="ED53" s="122"/>
      <c r="EE53" s="122"/>
      <c r="EF53" s="122"/>
      <c r="EG53" s="122"/>
      <c r="EH53" s="122"/>
      <c r="EI53" s="122"/>
      <c r="EJ53" s="122"/>
      <c r="EK53" s="122"/>
      <c r="EL53" s="122"/>
      <c r="EM53" s="122"/>
      <c r="EN53" s="122"/>
      <c r="EO53" s="122"/>
      <c r="EP53" s="122"/>
      <c r="EQ53" s="122"/>
      <c r="ER53" s="122"/>
      <c r="ES53" s="122"/>
      <c r="ET53" s="122"/>
      <c r="EU53" s="122"/>
      <c r="EV53" s="122"/>
      <c r="EW53" s="122"/>
      <c r="EX53" s="122"/>
      <c r="EY53" s="122"/>
      <c r="EZ53" s="122"/>
      <c r="FA53" s="122"/>
      <c r="FB53" s="122"/>
      <c r="FC53" s="122"/>
      <c r="FD53" s="122"/>
      <c r="FE53" s="122"/>
      <c r="FF53" s="122"/>
      <c r="FG53" s="122"/>
      <c r="FH53" s="122"/>
      <c r="FI53" s="122"/>
      <c r="FJ53" s="122"/>
      <c r="FK53" s="122"/>
      <c r="FL53" s="122"/>
      <c r="FM53" s="122"/>
      <c r="FN53" s="122"/>
      <c r="FO53" s="122"/>
      <c r="FP53" s="122"/>
      <c r="FQ53" s="122"/>
      <c r="FR53" s="122"/>
      <c r="FS53" s="122"/>
      <c r="FT53" s="122"/>
      <c r="FU53" s="122"/>
      <c r="FV53" s="122"/>
      <c r="FW53" s="122"/>
      <c r="FX53" s="122"/>
      <c r="FY53" s="122"/>
      <c r="FZ53" s="122"/>
      <c r="GA53" s="122"/>
      <c r="GB53" s="122"/>
      <c r="GC53" s="122"/>
    </row>
    <row r="54" spans="1:185" s="121" customFormat="1">
      <c r="A54" s="18"/>
      <c r="B54" s="95"/>
      <c r="C54" s="207"/>
      <c r="D54" s="262"/>
      <c r="E54" s="208"/>
      <c r="F54" s="208"/>
      <c r="G54" s="208"/>
      <c r="H54" s="208"/>
      <c r="I54" s="208"/>
      <c r="J54" s="208"/>
      <c r="K54" s="212"/>
      <c r="L54" s="212"/>
      <c r="M54" s="212"/>
      <c r="N54" s="212"/>
      <c r="O54" s="212"/>
      <c r="P54" s="212"/>
      <c r="Q54" s="212"/>
      <c r="R54" s="212"/>
      <c r="S54" s="212"/>
      <c r="T54" s="212"/>
      <c r="U54" s="212"/>
      <c r="V54" s="212"/>
      <c r="W54" s="212"/>
      <c r="X54" s="212"/>
      <c r="Y54" s="212"/>
      <c r="Z54" s="212"/>
      <c r="AA54" s="212"/>
      <c r="AB54" s="212"/>
      <c r="AC54" s="212"/>
      <c r="AD54" s="212"/>
      <c r="AE54" s="212"/>
      <c r="AF54" s="212"/>
      <c r="AG54" s="212"/>
      <c r="AH54" s="170"/>
      <c r="AI54" s="171"/>
      <c r="AJ54" s="120"/>
      <c r="AK54" s="120"/>
      <c r="AL54" s="120"/>
      <c r="AM54" s="120"/>
      <c r="AN54" s="120"/>
      <c r="AO54" s="120"/>
      <c r="AP54" s="120"/>
      <c r="AQ54" s="120"/>
      <c r="AR54" s="120"/>
      <c r="AS54" s="120"/>
      <c r="AT54" s="120"/>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c r="BR54" s="120"/>
      <c r="BS54" s="120"/>
      <c r="BT54" s="120"/>
      <c r="BU54" s="120"/>
      <c r="BV54" s="120"/>
      <c r="BW54" s="120"/>
      <c r="BX54" s="120"/>
      <c r="BY54" s="120"/>
      <c r="BZ54" s="120"/>
      <c r="CA54" s="120"/>
      <c r="CB54" s="120"/>
      <c r="CC54" s="120"/>
      <c r="CD54" s="120"/>
      <c r="CE54" s="120"/>
      <c r="CF54" s="120"/>
      <c r="CG54" s="120"/>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c r="EU54" s="120"/>
      <c r="EV54" s="120"/>
      <c r="EW54" s="120"/>
      <c r="EX54" s="120"/>
      <c r="EY54" s="120"/>
      <c r="EZ54" s="120"/>
      <c r="FA54" s="120"/>
      <c r="FB54" s="120"/>
      <c r="FC54" s="120"/>
      <c r="FD54" s="120"/>
      <c r="FE54" s="120"/>
      <c r="FF54" s="120"/>
      <c r="FG54" s="120"/>
      <c r="FH54" s="120"/>
      <c r="FI54" s="120"/>
      <c r="FJ54" s="120"/>
      <c r="FK54" s="120"/>
      <c r="FL54" s="120"/>
      <c r="FM54" s="120"/>
      <c r="FN54" s="120"/>
      <c r="FO54" s="120"/>
      <c r="FP54" s="120"/>
      <c r="FQ54" s="120"/>
      <c r="FR54" s="120"/>
      <c r="FS54" s="120"/>
      <c r="FT54" s="120"/>
      <c r="FU54" s="120"/>
      <c r="FV54" s="120"/>
      <c r="FW54" s="120"/>
      <c r="FX54" s="120"/>
      <c r="FY54" s="120"/>
      <c r="FZ54" s="120"/>
      <c r="GA54" s="120"/>
      <c r="GB54" s="120"/>
      <c r="GC54" s="120"/>
    </row>
    <row r="55" spans="1:185" s="123" customFormat="1">
      <c r="A55" s="98" t="s">
        <v>1872</v>
      </c>
      <c r="B55" s="93" t="s">
        <v>2179</v>
      </c>
      <c r="C55" s="204">
        <f>SUM(E55:AG55)</f>
        <v>0</v>
      </c>
      <c r="D55" s="263">
        <v>2379514</v>
      </c>
      <c r="E55" s="205"/>
      <c r="F55" s="205"/>
      <c r="G55" s="205"/>
      <c r="H55" s="205"/>
      <c r="I55" s="205"/>
      <c r="J55" s="205"/>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172"/>
      <c r="AI55" s="173"/>
      <c r="AJ55" s="122"/>
      <c r="AK55" s="122"/>
      <c r="AL55" s="122"/>
      <c r="AM55" s="122"/>
      <c r="AN55" s="122"/>
      <c r="AO55" s="122"/>
      <c r="AP55" s="122"/>
      <c r="AQ55" s="122"/>
      <c r="AR55" s="122"/>
      <c r="AS55" s="122"/>
      <c r="AT55" s="122"/>
      <c r="AU55" s="122"/>
      <c r="AV55" s="122"/>
      <c r="AW55" s="122"/>
      <c r="AX55" s="122"/>
      <c r="AY55" s="122"/>
      <c r="AZ55" s="122"/>
      <c r="BA55" s="122"/>
      <c r="BB55" s="122"/>
      <c r="BC55" s="122"/>
      <c r="BD55" s="122"/>
      <c r="BE55" s="122"/>
      <c r="BF55" s="122"/>
      <c r="BG55" s="122"/>
      <c r="BH55" s="122"/>
      <c r="BI55" s="122"/>
      <c r="BJ55" s="122"/>
      <c r="BK55" s="122"/>
      <c r="BL55" s="122"/>
      <c r="BM55" s="122"/>
      <c r="BN55" s="122"/>
      <c r="BO55" s="122"/>
      <c r="BP55" s="122"/>
      <c r="BQ55" s="122"/>
      <c r="BR55" s="122"/>
      <c r="BS55" s="122"/>
      <c r="BT55" s="122"/>
      <c r="BU55" s="122"/>
      <c r="BV55" s="122"/>
      <c r="BW55" s="122"/>
      <c r="BX55" s="122"/>
      <c r="BY55" s="122"/>
      <c r="BZ55" s="122"/>
      <c r="CA55" s="122"/>
      <c r="CB55" s="122"/>
      <c r="CC55" s="122"/>
      <c r="CD55" s="122"/>
      <c r="CE55" s="122"/>
      <c r="CF55" s="122"/>
      <c r="CG55" s="122"/>
      <c r="CH55" s="122"/>
      <c r="CI55" s="122"/>
      <c r="CJ55" s="122"/>
      <c r="CK55" s="122"/>
      <c r="CL55" s="122"/>
      <c r="CM55" s="122"/>
      <c r="CN55" s="122"/>
      <c r="CO55" s="122"/>
      <c r="CP55" s="122"/>
      <c r="CQ55" s="122"/>
      <c r="CR55" s="122"/>
      <c r="CS55" s="122"/>
      <c r="CT55" s="122"/>
      <c r="CU55" s="122"/>
      <c r="CV55" s="122"/>
      <c r="CW55" s="122"/>
      <c r="CX55" s="122"/>
      <c r="CY55" s="122"/>
      <c r="CZ55" s="122"/>
      <c r="DA55" s="122"/>
      <c r="DB55" s="122"/>
      <c r="DC55" s="122"/>
      <c r="DD55" s="122"/>
      <c r="DE55" s="122"/>
      <c r="DF55" s="122"/>
      <c r="DG55" s="122"/>
      <c r="DH55" s="122"/>
      <c r="DI55" s="122"/>
      <c r="DJ55" s="122"/>
      <c r="DK55" s="122"/>
      <c r="DL55" s="122"/>
      <c r="DM55" s="122"/>
      <c r="DN55" s="122"/>
      <c r="DO55" s="122"/>
      <c r="DP55" s="122"/>
      <c r="DQ55" s="122"/>
      <c r="DR55" s="122"/>
      <c r="DS55" s="122"/>
      <c r="DT55" s="122"/>
      <c r="DU55" s="122"/>
      <c r="DV55" s="122"/>
      <c r="DW55" s="122"/>
      <c r="DX55" s="122"/>
      <c r="DY55" s="122"/>
      <c r="DZ55" s="122"/>
      <c r="EA55" s="122"/>
      <c r="EB55" s="122"/>
      <c r="EC55" s="122"/>
      <c r="ED55" s="122"/>
      <c r="EE55" s="122"/>
      <c r="EF55" s="122"/>
      <c r="EG55" s="122"/>
      <c r="EH55" s="122"/>
      <c r="EI55" s="122"/>
      <c r="EJ55" s="122"/>
      <c r="EK55" s="122"/>
      <c r="EL55" s="122"/>
      <c r="EM55" s="122"/>
      <c r="EN55" s="122"/>
      <c r="EO55" s="122"/>
      <c r="EP55" s="122"/>
      <c r="EQ55" s="122"/>
      <c r="ER55" s="122"/>
      <c r="ES55" s="122"/>
      <c r="ET55" s="122"/>
      <c r="EU55" s="122"/>
      <c r="EV55" s="122"/>
      <c r="EW55" s="122"/>
      <c r="EX55" s="122"/>
      <c r="EY55" s="122"/>
      <c r="EZ55" s="122"/>
      <c r="FA55" s="122"/>
      <c r="FB55" s="122"/>
      <c r="FC55" s="122"/>
      <c r="FD55" s="122"/>
      <c r="FE55" s="122"/>
      <c r="FF55" s="122"/>
      <c r="FG55" s="122"/>
      <c r="FH55" s="122"/>
      <c r="FI55" s="122"/>
      <c r="FJ55" s="122"/>
      <c r="FK55" s="122"/>
      <c r="FL55" s="122"/>
      <c r="FM55" s="122"/>
      <c r="FN55" s="122"/>
      <c r="FO55" s="122"/>
      <c r="FP55" s="122"/>
      <c r="FQ55" s="122"/>
      <c r="FR55" s="122"/>
      <c r="FS55" s="122"/>
      <c r="FT55" s="122"/>
      <c r="FU55" s="122"/>
      <c r="FV55" s="122"/>
      <c r="FW55" s="122"/>
      <c r="FX55" s="122"/>
      <c r="FY55" s="122"/>
      <c r="FZ55" s="122"/>
      <c r="GA55" s="122"/>
      <c r="GB55" s="122"/>
      <c r="GC55" s="122"/>
    </row>
    <row r="56" spans="1:185" s="121" customFormat="1">
      <c r="A56" s="96"/>
      <c r="B56" s="90"/>
      <c r="C56" s="206"/>
      <c r="D56" s="261"/>
      <c r="E56" s="209"/>
      <c r="F56" s="209"/>
      <c r="G56" s="209"/>
      <c r="H56" s="209"/>
      <c r="I56" s="209"/>
      <c r="J56" s="209"/>
      <c r="K56" s="210"/>
      <c r="L56" s="210"/>
      <c r="M56" s="210"/>
      <c r="N56" s="210"/>
      <c r="O56" s="210"/>
      <c r="P56" s="210"/>
      <c r="Q56" s="210"/>
      <c r="R56" s="210"/>
      <c r="S56" s="210"/>
      <c r="T56" s="210"/>
      <c r="U56" s="210"/>
      <c r="V56" s="210"/>
      <c r="W56" s="210"/>
      <c r="X56" s="210"/>
      <c r="Y56" s="210"/>
      <c r="Z56" s="210"/>
      <c r="AA56" s="210"/>
      <c r="AB56" s="210"/>
      <c r="AC56" s="210"/>
      <c r="AD56" s="210"/>
      <c r="AE56" s="210"/>
      <c r="AF56" s="210"/>
      <c r="AG56" s="210"/>
      <c r="AH56" s="170"/>
      <c r="AI56" s="171"/>
      <c r="AJ56" s="120"/>
      <c r="AK56" s="120"/>
      <c r="AL56" s="120"/>
      <c r="AM56" s="120"/>
      <c r="AN56" s="120"/>
      <c r="AO56" s="120"/>
      <c r="AP56" s="120"/>
      <c r="AQ56" s="120"/>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c r="EU56" s="120"/>
      <c r="EV56" s="120"/>
      <c r="EW56" s="120"/>
      <c r="EX56" s="120"/>
      <c r="EY56" s="120"/>
      <c r="EZ56" s="120"/>
      <c r="FA56" s="120"/>
      <c r="FB56" s="120"/>
      <c r="FC56" s="120"/>
      <c r="FD56" s="120"/>
      <c r="FE56" s="120"/>
      <c r="FF56" s="120"/>
      <c r="FG56" s="120"/>
      <c r="FH56" s="120"/>
      <c r="FI56" s="120"/>
      <c r="FJ56" s="120"/>
      <c r="FK56" s="120"/>
      <c r="FL56" s="120"/>
      <c r="FM56" s="120"/>
      <c r="FN56" s="120"/>
      <c r="FO56" s="120"/>
      <c r="FP56" s="120"/>
      <c r="FQ56" s="120"/>
      <c r="FR56" s="120"/>
      <c r="FS56" s="120"/>
      <c r="FT56" s="120"/>
      <c r="FU56" s="120"/>
      <c r="FV56" s="120"/>
      <c r="FW56" s="120"/>
      <c r="FX56" s="120"/>
      <c r="FY56" s="120"/>
      <c r="FZ56" s="120"/>
      <c r="GA56" s="120"/>
      <c r="GB56" s="120"/>
      <c r="GC56" s="120"/>
    </row>
    <row r="57" spans="1:185" s="123" customFormat="1">
      <c r="A57" s="97" t="s">
        <v>1838</v>
      </c>
      <c r="B57" s="226" t="s">
        <v>2084</v>
      </c>
      <c r="C57" s="204">
        <f>SUM(E57:AG57)</f>
        <v>0</v>
      </c>
      <c r="D57" s="263">
        <v>7459415</v>
      </c>
      <c r="E57" s="205"/>
      <c r="F57" s="205"/>
      <c r="G57" s="205"/>
      <c r="H57" s="205"/>
      <c r="I57" s="205"/>
      <c r="J57" s="205"/>
      <c r="K57" s="205"/>
      <c r="L57" s="205"/>
      <c r="M57" s="205"/>
      <c r="N57" s="205"/>
      <c r="O57" s="205"/>
      <c r="P57" s="205"/>
      <c r="Q57" s="205"/>
      <c r="R57" s="205"/>
      <c r="S57" s="205"/>
      <c r="T57" s="205"/>
      <c r="U57" s="205"/>
      <c r="V57" s="205"/>
      <c r="W57" s="205"/>
      <c r="X57" s="205"/>
      <c r="Y57" s="205"/>
      <c r="Z57" s="205"/>
      <c r="AA57" s="205"/>
      <c r="AB57" s="205"/>
      <c r="AC57" s="205"/>
      <c r="AD57" s="205"/>
      <c r="AE57" s="205"/>
      <c r="AF57" s="205"/>
      <c r="AG57" s="205"/>
      <c r="AH57" s="172"/>
      <c r="AI57" s="173"/>
      <c r="AJ57" s="122"/>
      <c r="AK57" s="122"/>
      <c r="AL57" s="122"/>
      <c r="AM57" s="122"/>
      <c r="AN57" s="122"/>
      <c r="AO57" s="122"/>
      <c r="AP57" s="122"/>
      <c r="AQ57" s="122"/>
      <c r="AR57" s="122"/>
      <c r="AS57" s="122"/>
      <c r="AT57" s="122"/>
      <c r="AU57" s="122"/>
      <c r="AV57" s="122"/>
      <c r="AW57" s="122"/>
      <c r="AX57" s="122"/>
      <c r="AY57" s="122"/>
      <c r="AZ57" s="122"/>
      <c r="BA57" s="122"/>
      <c r="BB57" s="122"/>
      <c r="BC57" s="122"/>
      <c r="BD57" s="122"/>
      <c r="BE57" s="122"/>
      <c r="BF57" s="122"/>
      <c r="BG57" s="122"/>
      <c r="BH57" s="122"/>
      <c r="BI57" s="122"/>
      <c r="BJ57" s="122"/>
      <c r="BK57" s="122"/>
      <c r="BL57" s="122"/>
      <c r="BM57" s="122"/>
      <c r="BN57" s="122"/>
      <c r="BO57" s="122"/>
      <c r="BP57" s="122"/>
      <c r="BQ57" s="122"/>
      <c r="BR57" s="122"/>
      <c r="BS57" s="122"/>
      <c r="BT57" s="122"/>
      <c r="BU57" s="122"/>
      <c r="BV57" s="122"/>
      <c r="BW57" s="122"/>
      <c r="BX57" s="122"/>
      <c r="BY57" s="122"/>
      <c r="BZ57" s="122"/>
      <c r="CA57" s="122"/>
      <c r="CB57" s="122"/>
      <c r="CC57" s="122"/>
      <c r="CD57" s="122"/>
      <c r="CE57" s="122"/>
      <c r="CF57" s="122"/>
      <c r="CG57" s="122"/>
      <c r="CH57" s="122"/>
      <c r="CI57" s="122"/>
      <c r="CJ57" s="122"/>
      <c r="CK57" s="122"/>
      <c r="CL57" s="122"/>
      <c r="CM57" s="122"/>
      <c r="CN57" s="122"/>
      <c r="CO57" s="122"/>
      <c r="CP57" s="122"/>
      <c r="CQ57" s="122"/>
      <c r="CR57" s="122"/>
      <c r="CS57" s="122"/>
      <c r="CT57" s="122"/>
      <c r="CU57" s="122"/>
      <c r="CV57" s="122"/>
      <c r="CW57" s="122"/>
      <c r="CX57" s="122"/>
      <c r="CY57" s="122"/>
      <c r="CZ57" s="122"/>
      <c r="DA57" s="122"/>
      <c r="DB57" s="122"/>
      <c r="DC57" s="122"/>
      <c r="DD57" s="122"/>
      <c r="DE57" s="122"/>
      <c r="DF57" s="122"/>
      <c r="DG57" s="122"/>
      <c r="DH57" s="122"/>
      <c r="DI57" s="122"/>
      <c r="DJ57" s="122"/>
      <c r="DK57" s="122"/>
      <c r="DL57" s="122"/>
      <c r="DM57" s="122"/>
      <c r="DN57" s="122"/>
      <c r="DO57" s="122"/>
      <c r="DP57" s="122"/>
      <c r="DQ57" s="122"/>
      <c r="DR57" s="122"/>
      <c r="DS57" s="122"/>
      <c r="DT57" s="122"/>
      <c r="DU57" s="122"/>
      <c r="DV57" s="122"/>
      <c r="DW57" s="122"/>
      <c r="DX57" s="122"/>
      <c r="DY57" s="122"/>
      <c r="DZ57" s="122"/>
      <c r="EA57" s="122"/>
      <c r="EB57" s="122"/>
      <c r="EC57" s="122"/>
      <c r="ED57" s="122"/>
      <c r="EE57" s="122"/>
      <c r="EF57" s="122"/>
      <c r="EG57" s="122"/>
      <c r="EH57" s="122"/>
      <c r="EI57" s="122"/>
      <c r="EJ57" s="122"/>
      <c r="EK57" s="122"/>
      <c r="EL57" s="122"/>
      <c r="EM57" s="122"/>
      <c r="EN57" s="122"/>
      <c r="EO57" s="122"/>
      <c r="EP57" s="122"/>
      <c r="EQ57" s="122"/>
      <c r="ER57" s="122"/>
      <c r="ES57" s="122"/>
      <c r="ET57" s="122"/>
      <c r="EU57" s="122"/>
      <c r="EV57" s="122"/>
      <c r="EW57" s="122"/>
      <c r="EX57" s="122"/>
      <c r="EY57" s="122"/>
      <c r="EZ57" s="122"/>
      <c r="FA57" s="122"/>
      <c r="FB57" s="122"/>
      <c r="FC57" s="122"/>
      <c r="FD57" s="122"/>
      <c r="FE57" s="122"/>
      <c r="FF57" s="122"/>
      <c r="FG57" s="122"/>
      <c r="FH57" s="122"/>
      <c r="FI57" s="122"/>
      <c r="FJ57" s="122"/>
      <c r="FK57" s="122"/>
      <c r="FL57" s="122"/>
      <c r="FM57" s="122"/>
      <c r="FN57" s="122"/>
      <c r="FO57" s="122"/>
      <c r="FP57" s="122"/>
      <c r="FQ57" s="122"/>
      <c r="FR57" s="122"/>
      <c r="FS57" s="122"/>
      <c r="FT57" s="122"/>
      <c r="FU57" s="122"/>
      <c r="FV57" s="122"/>
      <c r="FW57" s="122"/>
      <c r="FX57" s="122"/>
      <c r="FY57" s="122"/>
      <c r="FZ57" s="122"/>
      <c r="GA57" s="122"/>
      <c r="GB57" s="122"/>
      <c r="GC57" s="122"/>
    </row>
    <row r="58" spans="1:185" s="121" customFormat="1">
      <c r="A58" s="96"/>
      <c r="B58" s="226"/>
      <c r="C58" s="206"/>
      <c r="D58" s="261"/>
      <c r="E58" s="209"/>
      <c r="F58" s="209"/>
      <c r="G58" s="209"/>
      <c r="H58" s="209"/>
      <c r="I58" s="209"/>
      <c r="J58" s="209"/>
      <c r="K58" s="210"/>
      <c r="L58" s="210"/>
      <c r="M58" s="210"/>
      <c r="N58" s="210"/>
      <c r="O58" s="210"/>
      <c r="P58" s="210"/>
      <c r="Q58" s="210"/>
      <c r="R58" s="210"/>
      <c r="S58" s="210"/>
      <c r="T58" s="210"/>
      <c r="U58" s="210"/>
      <c r="V58" s="210"/>
      <c r="W58" s="210"/>
      <c r="X58" s="210"/>
      <c r="Y58" s="210"/>
      <c r="Z58" s="210"/>
      <c r="AA58" s="210"/>
      <c r="AB58" s="210"/>
      <c r="AC58" s="210"/>
      <c r="AD58" s="210"/>
      <c r="AE58" s="210"/>
      <c r="AF58" s="210"/>
      <c r="AG58" s="210"/>
      <c r="AH58" s="170"/>
      <c r="AI58" s="171"/>
      <c r="AJ58" s="120"/>
      <c r="AK58" s="120"/>
      <c r="AL58" s="120"/>
      <c r="AM58" s="120"/>
      <c r="AN58" s="120"/>
      <c r="AO58" s="120"/>
      <c r="AP58" s="120"/>
      <c r="AQ58" s="120"/>
      <c r="AR58" s="120"/>
      <c r="AS58" s="120"/>
      <c r="AT58" s="120"/>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c r="EU58" s="120"/>
      <c r="EV58" s="120"/>
      <c r="EW58" s="120"/>
      <c r="EX58" s="120"/>
      <c r="EY58" s="120"/>
      <c r="EZ58" s="120"/>
      <c r="FA58" s="120"/>
      <c r="FB58" s="120"/>
      <c r="FC58" s="120"/>
      <c r="FD58" s="120"/>
      <c r="FE58" s="120"/>
      <c r="FF58" s="120"/>
      <c r="FG58" s="120"/>
      <c r="FH58" s="120"/>
      <c r="FI58" s="120"/>
      <c r="FJ58" s="120"/>
      <c r="FK58" s="120"/>
      <c r="FL58" s="120"/>
      <c r="FM58" s="120"/>
      <c r="FN58" s="120"/>
      <c r="FO58" s="120"/>
      <c r="FP58" s="120"/>
      <c r="FQ58" s="120"/>
      <c r="FR58" s="120"/>
      <c r="FS58" s="120"/>
      <c r="FT58" s="120"/>
      <c r="FU58" s="120"/>
      <c r="FV58" s="120"/>
      <c r="FW58" s="120"/>
      <c r="FX58" s="120"/>
      <c r="FY58" s="120"/>
      <c r="FZ58" s="120"/>
      <c r="GA58" s="120"/>
      <c r="GB58" s="120"/>
      <c r="GC58" s="120"/>
    </row>
    <row r="59" spans="1:185" s="123" customFormat="1">
      <c r="A59" s="97" t="s">
        <v>1839</v>
      </c>
      <c r="B59" s="226" t="s">
        <v>2180</v>
      </c>
      <c r="C59" s="204">
        <f>SUM(E59:AG59)</f>
        <v>0</v>
      </c>
      <c r="D59" s="263">
        <v>9236304</v>
      </c>
      <c r="E59" s="205"/>
      <c r="F59" s="205"/>
      <c r="G59" s="205"/>
      <c r="H59" s="205"/>
      <c r="I59" s="205"/>
      <c r="J59" s="205"/>
      <c r="K59" s="205"/>
      <c r="L59" s="205"/>
      <c r="M59" s="205"/>
      <c r="N59" s="205"/>
      <c r="O59" s="205"/>
      <c r="P59" s="205"/>
      <c r="Q59" s="205"/>
      <c r="R59" s="205"/>
      <c r="S59" s="205"/>
      <c r="T59" s="205"/>
      <c r="U59" s="205"/>
      <c r="V59" s="205"/>
      <c r="W59" s="205"/>
      <c r="X59" s="205"/>
      <c r="Y59" s="205"/>
      <c r="Z59" s="205"/>
      <c r="AA59" s="205"/>
      <c r="AB59" s="205"/>
      <c r="AC59" s="205"/>
      <c r="AD59" s="205"/>
      <c r="AE59" s="205"/>
      <c r="AF59" s="205"/>
      <c r="AG59" s="205"/>
      <c r="AH59" s="172"/>
      <c r="AI59" s="173"/>
      <c r="AJ59" s="122"/>
      <c r="AK59" s="122"/>
      <c r="AL59" s="122"/>
      <c r="AM59" s="122"/>
      <c r="AN59" s="122"/>
      <c r="AO59" s="122"/>
      <c r="AP59" s="122"/>
      <c r="AQ59" s="122"/>
      <c r="AR59" s="122"/>
      <c r="AS59" s="122"/>
      <c r="AT59" s="122"/>
      <c r="AU59" s="122"/>
      <c r="AV59" s="122"/>
      <c r="AW59" s="122"/>
      <c r="AX59" s="122"/>
      <c r="AY59" s="122"/>
      <c r="AZ59" s="122"/>
      <c r="BA59" s="122"/>
      <c r="BB59" s="122"/>
      <c r="BC59" s="122"/>
      <c r="BD59" s="122"/>
      <c r="BE59" s="122"/>
      <c r="BF59" s="122"/>
      <c r="BG59" s="122"/>
      <c r="BH59" s="122"/>
      <c r="BI59" s="122"/>
      <c r="BJ59" s="122"/>
      <c r="BK59" s="122"/>
      <c r="BL59" s="122"/>
      <c r="BM59" s="122"/>
      <c r="BN59" s="122"/>
      <c r="BO59" s="122"/>
      <c r="BP59" s="122"/>
      <c r="BQ59" s="122"/>
      <c r="BR59" s="122"/>
      <c r="BS59" s="122"/>
      <c r="BT59" s="122"/>
      <c r="BU59" s="122"/>
      <c r="BV59" s="122"/>
      <c r="BW59" s="122"/>
      <c r="BX59" s="122"/>
      <c r="BY59" s="122"/>
      <c r="BZ59" s="122"/>
      <c r="CA59" s="122"/>
      <c r="CB59" s="122"/>
      <c r="CC59" s="122"/>
      <c r="CD59" s="122"/>
      <c r="CE59" s="122"/>
      <c r="CF59" s="122"/>
      <c r="CG59" s="122"/>
      <c r="CH59" s="122"/>
      <c r="CI59" s="122"/>
      <c r="CJ59" s="122"/>
      <c r="CK59" s="122"/>
      <c r="CL59" s="122"/>
      <c r="CM59" s="122"/>
      <c r="CN59" s="122"/>
      <c r="CO59" s="122"/>
      <c r="CP59" s="122"/>
      <c r="CQ59" s="122"/>
      <c r="CR59" s="122"/>
      <c r="CS59" s="122"/>
      <c r="CT59" s="122"/>
      <c r="CU59" s="122"/>
      <c r="CV59" s="122"/>
      <c r="CW59" s="122"/>
      <c r="CX59" s="122"/>
      <c r="CY59" s="122"/>
      <c r="CZ59" s="122"/>
      <c r="DA59" s="122"/>
      <c r="DB59" s="122"/>
      <c r="DC59" s="122"/>
      <c r="DD59" s="122"/>
      <c r="DE59" s="122"/>
      <c r="DF59" s="122"/>
      <c r="DG59" s="122"/>
      <c r="DH59" s="122"/>
      <c r="DI59" s="122"/>
      <c r="DJ59" s="122"/>
      <c r="DK59" s="122"/>
      <c r="DL59" s="122"/>
      <c r="DM59" s="122"/>
      <c r="DN59" s="122"/>
      <c r="DO59" s="122"/>
      <c r="DP59" s="122"/>
      <c r="DQ59" s="122"/>
      <c r="DR59" s="122"/>
      <c r="DS59" s="122"/>
      <c r="DT59" s="122"/>
      <c r="DU59" s="122"/>
      <c r="DV59" s="122"/>
      <c r="DW59" s="122"/>
      <c r="DX59" s="122"/>
      <c r="DY59" s="122"/>
      <c r="DZ59" s="122"/>
      <c r="EA59" s="122"/>
      <c r="EB59" s="122"/>
      <c r="EC59" s="122"/>
      <c r="ED59" s="122"/>
      <c r="EE59" s="122"/>
      <c r="EF59" s="122"/>
      <c r="EG59" s="122"/>
      <c r="EH59" s="122"/>
      <c r="EI59" s="122"/>
      <c r="EJ59" s="122"/>
      <c r="EK59" s="122"/>
      <c r="EL59" s="122"/>
      <c r="EM59" s="122"/>
      <c r="EN59" s="122"/>
      <c r="EO59" s="122"/>
      <c r="EP59" s="122"/>
      <c r="EQ59" s="122"/>
      <c r="ER59" s="122"/>
      <c r="ES59" s="122"/>
      <c r="ET59" s="122"/>
      <c r="EU59" s="122"/>
      <c r="EV59" s="122"/>
      <c r="EW59" s="122"/>
      <c r="EX59" s="122"/>
      <c r="EY59" s="122"/>
      <c r="EZ59" s="122"/>
      <c r="FA59" s="122"/>
      <c r="FB59" s="122"/>
      <c r="FC59" s="122"/>
      <c r="FD59" s="122"/>
      <c r="FE59" s="122"/>
      <c r="FF59" s="122"/>
      <c r="FG59" s="122"/>
      <c r="FH59" s="122"/>
      <c r="FI59" s="122"/>
      <c r="FJ59" s="122"/>
      <c r="FK59" s="122"/>
      <c r="FL59" s="122"/>
      <c r="FM59" s="122"/>
      <c r="FN59" s="122"/>
      <c r="FO59" s="122"/>
      <c r="FP59" s="122"/>
      <c r="FQ59" s="122"/>
      <c r="FR59" s="122"/>
      <c r="FS59" s="122"/>
      <c r="FT59" s="122"/>
      <c r="FU59" s="122"/>
      <c r="FV59" s="122"/>
      <c r="FW59" s="122"/>
      <c r="FX59" s="122"/>
      <c r="FY59" s="122"/>
      <c r="FZ59" s="122"/>
      <c r="GA59" s="122"/>
      <c r="GB59" s="122"/>
      <c r="GC59" s="122"/>
    </row>
    <row r="60" spans="1:185" s="121" customFormat="1">
      <c r="A60" s="96"/>
      <c r="B60" s="226"/>
      <c r="C60" s="206"/>
      <c r="D60" s="261"/>
      <c r="E60" s="209"/>
      <c r="F60" s="209"/>
      <c r="G60" s="209"/>
      <c r="H60" s="209"/>
      <c r="I60" s="209"/>
      <c r="J60" s="209"/>
      <c r="K60" s="210"/>
      <c r="L60" s="210"/>
      <c r="M60" s="210"/>
      <c r="N60" s="210"/>
      <c r="O60" s="210"/>
      <c r="P60" s="210"/>
      <c r="Q60" s="210"/>
      <c r="R60" s="210"/>
      <c r="S60" s="210"/>
      <c r="T60" s="210"/>
      <c r="U60" s="210"/>
      <c r="V60" s="210"/>
      <c r="W60" s="210"/>
      <c r="X60" s="210"/>
      <c r="Y60" s="210"/>
      <c r="Z60" s="210"/>
      <c r="AA60" s="210"/>
      <c r="AB60" s="210"/>
      <c r="AC60" s="210"/>
      <c r="AD60" s="210"/>
      <c r="AE60" s="210"/>
      <c r="AF60" s="210"/>
      <c r="AG60" s="210"/>
      <c r="AH60" s="170"/>
      <c r="AI60" s="171"/>
      <c r="AJ60" s="120"/>
      <c r="AK60" s="120"/>
      <c r="AL60" s="120"/>
      <c r="AM60" s="120"/>
      <c r="AN60" s="120"/>
      <c r="AO60" s="120"/>
      <c r="AP60" s="120"/>
      <c r="AQ60" s="120"/>
      <c r="AR60" s="120"/>
      <c r="AS60" s="120"/>
      <c r="AT60" s="120"/>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c r="EU60" s="120"/>
      <c r="EV60" s="120"/>
      <c r="EW60" s="120"/>
      <c r="EX60" s="120"/>
      <c r="EY60" s="120"/>
      <c r="EZ60" s="120"/>
      <c r="FA60" s="120"/>
      <c r="FB60" s="120"/>
      <c r="FC60" s="120"/>
      <c r="FD60" s="120"/>
      <c r="FE60" s="120"/>
      <c r="FF60" s="120"/>
      <c r="FG60" s="120"/>
      <c r="FH60" s="120"/>
      <c r="FI60" s="120"/>
      <c r="FJ60" s="120"/>
      <c r="FK60" s="120"/>
      <c r="FL60" s="120"/>
      <c r="FM60" s="120"/>
      <c r="FN60" s="120"/>
      <c r="FO60" s="120"/>
      <c r="FP60" s="120"/>
      <c r="FQ60" s="120"/>
      <c r="FR60" s="120"/>
      <c r="FS60" s="120"/>
      <c r="FT60" s="120"/>
      <c r="FU60" s="120"/>
      <c r="FV60" s="120"/>
      <c r="FW60" s="120"/>
      <c r="FX60" s="120"/>
      <c r="FY60" s="120"/>
      <c r="FZ60" s="120"/>
      <c r="GA60" s="120"/>
      <c r="GB60" s="120"/>
      <c r="GC60" s="120"/>
    </row>
    <row r="61" spans="1:185" s="121" customFormat="1">
      <c r="A61" s="96" t="s">
        <v>1840</v>
      </c>
      <c r="B61" s="227" t="s">
        <v>2181</v>
      </c>
      <c r="C61" s="206">
        <f>SUM(E61:AG61)</f>
        <v>0</v>
      </c>
      <c r="D61" s="261">
        <v>760015872</v>
      </c>
      <c r="E61" s="209"/>
      <c r="F61" s="209"/>
      <c r="G61" s="209"/>
      <c r="H61" s="209"/>
      <c r="I61" s="209"/>
      <c r="J61" s="209"/>
      <c r="K61" s="210"/>
      <c r="L61" s="210"/>
      <c r="M61" s="210"/>
      <c r="N61" s="210"/>
      <c r="O61" s="210"/>
      <c r="P61" s="210"/>
      <c r="Q61" s="210"/>
      <c r="R61" s="210"/>
      <c r="S61" s="210"/>
      <c r="T61" s="210"/>
      <c r="U61" s="210"/>
      <c r="V61" s="210"/>
      <c r="W61" s="210"/>
      <c r="X61" s="210"/>
      <c r="Y61" s="210"/>
      <c r="Z61" s="210"/>
      <c r="AA61" s="210"/>
      <c r="AB61" s="210"/>
      <c r="AC61" s="210"/>
      <c r="AD61" s="210"/>
      <c r="AE61" s="210"/>
      <c r="AF61" s="210"/>
      <c r="AG61" s="210"/>
      <c r="AH61" s="170"/>
      <c r="AI61" s="171"/>
      <c r="AJ61" s="120"/>
      <c r="AK61" s="120"/>
      <c r="AL61" s="120"/>
      <c r="AM61" s="120"/>
      <c r="AN61" s="120"/>
      <c r="AO61" s="120"/>
      <c r="AP61" s="120"/>
      <c r="AQ61" s="120"/>
      <c r="AR61" s="120"/>
      <c r="AS61" s="120"/>
      <c r="AT61" s="120"/>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c r="EU61" s="120"/>
      <c r="EV61" s="120"/>
      <c r="EW61" s="120"/>
      <c r="EX61" s="120"/>
      <c r="EY61" s="120"/>
      <c r="EZ61" s="120"/>
      <c r="FA61" s="120"/>
      <c r="FB61" s="120"/>
      <c r="FC61" s="120"/>
      <c r="FD61" s="120"/>
      <c r="FE61" s="120"/>
      <c r="FF61" s="120"/>
      <c r="FG61" s="120"/>
      <c r="FH61" s="120"/>
      <c r="FI61" s="120"/>
      <c r="FJ61" s="120"/>
      <c r="FK61" s="120"/>
      <c r="FL61" s="120"/>
      <c r="FM61" s="120"/>
      <c r="FN61" s="120"/>
      <c r="FO61" s="120"/>
      <c r="FP61" s="120"/>
      <c r="FQ61" s="120"/>
      <c r="FR61" s="120"/>
      <c r="FS61" s="120"/>
      <c r="FT61" s="120"/>
      <c r="FU61" s="120"/>
      <c r="FV61" s="120"/>
      <c r="FW61" s="120"/>
      <c r="FX61" s="120"/>
      <c r="FY61" s="120"/>
      <c r="FZ61" s="120"/>
      <c r="GA61" s="120"/>
      <c r="GB61" s="120"/>
      <c r="GC61" s="120"/>
    </row>
    <row r="62" spans="1:185" s="121" customFormat="1">
      <c r="A62" s="96" t="s">
        <v>1841</v>
      </c>
      <c r="B62" s="227" t="s">
        <v>2182</v>
      </c>
      <c r="C62" s="206">
        <f>SUM(E62:AG62)</f>
        <v>0</v>
      </c>
      <c r="D62" s="261">
        <v>83617900</v>
      </c>
      <c r="E62" s="209"/>
      <c r="F62" s="209"/>
      <c r="G62" s="209"/>
      <c r="H62" s="209"/>
      <c r="I62" s="209"/>
      <c r="J62" s="209"/>
      <c r="K62" s="210"/>
      <c r="L62" s="210"/>
      <c r="M62" s="210"/>
      <c r="N62" s="210"/>
      <c r="O62" s="210"/>
      <c r="P62" s="210"/>
      <c r="Q62" s="210"/>
      <c r="R62" s="210"/>
      <c r="S62" s="210"/>
      <c r="T62" s="210"/>
      <c r="U62" s="210"/>
      <c r="V62" s="210"/>
      <c r="W62" s="210"/>
      <c r="X62" s="210"/>
      <c r="Y62" s="210"/>
      <c r="Z62" s="210"/>
      <c r="AA62" s="210"/>
      <c r="AB62" s="210"/>
      <c r="AC62" s="210"/>
      <c r="AD62" s="210"/>
      <c r="AE62" s="210"/>
      <c r="AF62" s="210"/>
      <c r="AG62" s="210"/>
      <c r="AH62" s="170"/>
      <c r="AI62" s="171"/>
      <c r="AJ62" s="120"/>
      <c r="AK62" s="120"/>
      <c r="AL62" s="120"/>
      <c r="AM62" s="120"/>
      <c r="AN62" s="120"/>
      <c r="AO62" s="120"/>
      <c r="AP62" s="120"/>
      <c r="AQ62" s="120"/>
      <c r="AR62" s="120"/>
      <c r="AS62" s="120"/>
      <c r="AT62" s="120"/>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0"/>
      <c r="FA62" s="120"/>
      <c r="FB62" s="120"/>
      <c r="FC62" s="120"/>
      <c r="FD62" s="120"/>
      <c r="FE62" s="120"/>
      <c r="FF62" s="120"/>
      <c r="FG62" s="120"/>
      <c r="FH62" s="120"/>
      <c r="FI62" s="120"/>
      <c r="FJ62" s="120"/>
      <c r="FK62" s="120"/>
      <c r="FL62" s="120"/>
      <c r="FM62" s="120"/>
      <c r="FN62" s="120"/>
      <c r="FO62" s="120"/>
      <c r="FP62" s="120"/>
      <c r="FQ62" s="120"/>
      <c r="FR62" s="120"/>
      <c r="FS62" s="120"/>
      <c r="FT62" s="120"/>
      <c r="FU62" s="120"/>
      <c r="FV62" s="120"/>
      <c r="FW62" s="120"/>
      <c r="FX62" s="120"/>
      <c r="FY62" s="120"/>
      <c r="FZ62" s="120"/>
      <c r="GA62" s="120"/>
      <c r="GB62" s="120"/>
      <c r="GC62" s="120"/>
    </row>
    <row r="63" spans="1:185" s="121" customFormat="1">
      <c r="A63" s="96" t="s">
        <v>1842</v>
      </c>
      <c r="B63" s="227" t="s">
        <v>2183</v>
      </c>
      <c r="C63" s="206">
        <f>SUM(E63:AG63)</f>
        <v>0</v>
      </c>
      <c r="D63" s="261">
        <v>40567100</v>
      </c>
      <c r="E63" s="209"/>
      <c r="F63" s="209"/>
      <c r="G63" s="209"/>
      <c r="H63" s="209"/>
      <c r="I63" s="209"/>
      <c r="J63" s="209"/>
      <c r="K63" s="210"/>
      <c r="L63" s="210"/>
      <c r="M63" s="210"/>
      <c r="N63" s="210"/>
      <c r="O63" s="210"/>
      <c r="P63" s="210"/>
      <c r="Q63" s="210"/>
      <c r="R63" s="210"/>
      <c r="S63" s="210"/>
      <c r="T63" s="210"/>
      <c r="U63" s="210"/>
      <c r="V63" s="210"/>
      <c r="W63" s="210"/>
      <c r="X63" s="210"/>
      <c r="Y63" s="210"/>
      <c r="Z63" s="210"/>
      <c r="AA63" s="210"/>
      <c r="AB63" s="210"/>
      <c r="AC63" s="210"/>
      <c r="AD63" s="210"/>
      <c r="AE63" s="210"/>
      <c r="AF63" s="210"/>
      <c r="AG63" s="210"/>
      <c r="AH63" s="170"/>
      <c r="AI63" s="171"/>
      <c r="AJ63" s="120"/>
      <c r="AK63" s="120"/>
      <c r="AL63" s="120"/>
      <c r="AM63" s="120"/>
      <c r="AN63" s="120"/>
      <c r="AO63" s="120"/>
      <c r="AP63" s="120"/>
      <c r="AQ63" s="120"/>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c r="EU63" s="120"/>
      <c r="EV63" s="120"/>
      <c r="EW63" s="120"/>
      <c r="EX63" s="120"/>
      <c r="EY63" s="120"/>
      <c r="EZ63" s="120"/>
      <c r="FA63" s="120"/>
      <c r="FB63" s="120"/>
      <c r="FC63" s="120"/>
      <c r="FD63" s="120"/>
      <c r="FE63" s="120"/>
      <c r="FF63" s="120"/>
      <c r="FG63" s="120"/>
      <c r="FH63" s="120"/>
      <c r="FI63" s="120"/>
      <c r="FJ63" s="120"/>
      <c r="FK63" s="120"/>
      <c r="FL63" s="120"/>
      <c r="FM63" s="120"/>
      <c r="FN63" s="120"/>
      <c r="FO63" s="120"/>
      <c r="FP63" s="120"/>
      <c r="FQ63" s="120"/>
      <c r="FR63" s="120"/>
      <c r="FS63" s="120"/>
      <c r="FT63" s="120"/>
      <c r="FU63" s="120"/>
      <c r="FV63" s="120"/>
      <c r="FW63" s="120"/>
      <c r="FX63" s="120"/>
      <c r="FY63" s="120"/>
      <c r="FZ63" s="120"/>
      <c r="GA63" s="120"/>
      <c r="GB63" s="120"/>
      <c r="GC63" s="120"/>
    </row>
    <row r="64" spans="1:185" s="123" customFormat="1">
      <c r="A64" s="97" t="s">
        <v>1843</v>
      </c>
      <c r="B64" s="226" t="s">
        <v>2184</v>
      </c>
      <c r="C64" s="204">
        <f>SUM(E64:AG64)</f>
        <v>0</v>
      </c>
      <c r="D64" s="236">
        <f t="shared" ref="D64:AG64" si="15">SUM(D61:D63)</f>
        <v>884200872</v>
      </c>
      <c r="E64" s="214">
        <f t="shared" si="15"/>
        <v>0</v>
      </c>
      <c r="F64" s="214">
        <f t="shared" si="15"/>
        <v>0</v>
      </c>
      <c r="G64" s="214">
        <f t="shared" si="15"/>
        <v>0</v>
      </c>
      <c r="H64" s="214">
        <f t="shared" si="15"/>
        <v>0</v>
      </c>
      <c r="I64" s="214">
        <f t="shared" si="15"/>
        <v>0</v>
      </c>
      <c r="J64" s="214">
        <f t="shared" si="15"/>
        <v>0</v>
      </c>
      <c r="K64" s="214">
        <f t="shared" si="15"/>
        <v>0</v>
      </c>
      <c r="L64" s="214">
        <f t="shared" si="15"/>
        <v>0</v>
      </c>
      <c r="M64" s="214">
        <f t="shared" si="15"/>
        <v>0</v>
      </c>
      <c r="N64" s="214">
        <f t="shared" si="15"/>
        <v>0</v>
      </c>
      <c r="O64" s="214">
        <f t="shared" si="15"/>
        <v>0</v>
      </c>
      <c r="P64" s="214">
        <f t="shared" si="15"/>
        <v>0</v>
      </c>
      <c r="Q64" s="214">
        <f t="shared" si="15"/>
        <v>0</v>
      </c>
      <c r="R64" s="214">
        <f t="shared" si="15"/>
        <v>0</v>
      </c>
      <c r="S64" s="214">
        <f t="shared" si="15"/>
        <v>0</v>
      </c>
      <c r="T64" s="214">
        <f t="shared" si="15"/>
        <v>0</v>
      </c>
      <c r="U64" s="214">
        <f t="shared" si="15"/>
        <v>0</v>
      </c>
      <c r="V64" s="214">
        <f t="shared" si="15"/>
        <v>0</v>
      </c>
      <c r="W64" s="214">
        <f t="shared" si="15"/>
        <v>0</v>
      </c>
      <c r="X64" s="214">
        <f t="shared" si="15"/>
        <v>0</v>
      </c>
      <c r="Y64" s="214">
        <f t="shared" si="15"/>
        <v>0</v>
      </c>
      <c r="Z64" s="214">
        <f t="shared" si="15"/>
        <v>0</v>
      </c>
      <c r="AA64" s="214">
        <f t="shared" si="15"/>
        <v>0</v>
      </c>
      <c r="AB64" s="214">
        <f t="shared" si="15"/>
        <v>0</v>
      </c>
      <c r="AC64" s="214">
        <f t="shared" si="15"/>
        <v>0</v>
      </c>
      <c r="AD64" s="214">
        <f t="shared" si="15"/>
        <v>0</v>
      </c>
      <c r="AE64" s="214">
        <f t="shared" si="15"/>
        <v>0</v>
      </c>
      <c r="AF64" s="214">
        <f t="shared" si="15"/>
        <v>0</v>
      </c>
      <c r="AG64" s="214">
        <f t="shared" si="15"/>
        <v>0</v>
      </c>
      <c r="AH64" s="172"/>
      <c r="AI64" s="173"/>
      <c r="AJ64" s="122"/>
      <c r="AK64" s="122"/>
      <c r="AL64" s="122"/>
      <c r="AM64" s="122"/>
      <c r="AN64" s="122"/>
      <c r="AO64" s="122"/>
      <c r="AP64" s="122"/>
      <c r="AQ64" s="122"/>
      <c r="AR64" s="122"/>
      <c r="AS64" s="122"/>
      <c r="AT64" s="122"/>
      <c r="AU64" s="122"/>
      <c r="AV64" s="122"/>
      <c r="AW64" s="122"/>
      <c r="AX64" s="122"/>
      <c r="AY64" s="122"/>
      <c r="AZ64" s="122"/>
      <c r="BA64" s="122"/>
      <c r="BB64" s="122"/>
      <c r="BC64" s="122"/>
      <c r="BD64" s="122"/>
      <c r="BE64" s="122"/>
      <c r="BF64" s="122"/>
      <c r="BG64" s="122"/>
      <c r="BH64" s="122"/>
      <c r="BI64" s="122"/>
      <c r="BJ64" s="122"/>
      <c r="BK64" s="122"/>
      <c r="BL64" s="122"/>
      <c r="BM64" s="122"/>
      <c r="BN64" s="122"/>
      <c r="BO64" s="122"/>
      <c r="BP64" s="122"/>
      <c r="BQ64" s="122"/>
      <c r="BR64" s="122"/>
      <c r="BS64" s="122"/>
      <c r="BT64" s="122"/>
      <c r="BU64" s="122"/>
      <c r="BV64" s="122"/>
      <c r="BW64" s="122"/>
      <c r="BX64" s="122"/>
      <c r="BY64" s="122"/>
      <c r="BZ64" s="122"/>
      <c r="CA64" s="122"/>
      <c r="CB64" s="122"/>
      <c r="CC64" s="122"/>
      <c r="CD64" s="122"/>
      <c r="CE64" s="122"/>
      <c r="CF64" s="122"/>
      <c r="CG64" s="122"/>
      <c r="CH64" s="122"/>
      <c r="CI64" s="122"/>
      <c r="CJ64" s="122"/>
      <c r="CK64" s="122"/>
      <c r="CL64" s="122"/>
      <c r="CM64" s="122"/>
      <c r="CN64" s="122"/>
      <c r="CO64" s="122"/>
      <c r="CP64" s="122"/>
      <c r="CQ64" s="122"/>
      <c r="CR64" s="122"/>
      <c r="CS64" s="122"/>
      <c r="CT64" s="122"/>
      <c r="CU64" s="122"/>
      <c r="CV64" s="122"/>
      <c r="CW64" s="122"/>
      <c r="CX64" s="122"/>
      <c r="CY64" s="122"/>
      <c r="CZ64" s="122"/>
      <c r="DA64" s="122"/>
      <c r="DB64" s="122"/>
      <c r="DC64" s="122"/>
      <c r="DD64" s="122"/>
      <c r="DE64" s="122"/>
      <c r="DF64" s="122"/>
      <c r="DG64" s="122"/>
      <c r="DH64" s="122"/>
      <c r="DI64" s="122"/>
      <c r="DJ64" s="122"/>
      <c r="DK64" s="122"/>
      <c r="DL64" s="122"/>
      <c r="DM64" s="122"/>
      <c r="DN64" s="122"/>
      <c r="DO64" s="122"/>
      <c r="DP64" s="122"/>
      <c r="DQ64" s="122"/>
      <c r="DR64" s="122"/>
      <c r="DS64" s="122"/>
      <c r="DT64" s="122"/>
      <c r="DU64" s="122"/>
      <c r="DV64" s="122"/>
      <c r="DW64" s="122"/>
      <c r="DX64" s="122"/>
      <c r="DY64" s="122"/>
      <c r="DZ64" s="122"/>
      <c r="EA64" s="122"/>
      <c r="EB64" s="122"/>
      <c r="EC64" s="122"/>
      <c r="ED64" s="122"/>
      <c r="EE64" s="122"/>
      <c r="EF64" s="122"/>
      <c r="EG64" s="122"/>
      <c r="EH64" s="122"/>
      <c r="EI64" s="122"/>
      <c r="EJ64" s="122"/>
      <c r="EK64" s="122"/>
      <c r="EL64" s="122"/>
      <c r="EM64" s="122"/>
      <c r="EN64" s="122"/>
      <c r="EO64" s="122"/>
      <c r="EP64" s="122"/>
      <c r="EQ64" s="122"/>
      <c r="ER64" s="122"/>
      <c r="ES64" s="122"/>
      <c r="ET64" s="122"/>
      <c r="EU64" s="122"/>
      <c r="EV64" s="122"/>
      <c r="EW64" s="122"/>
      <c r="EX64" s="122"/>
      <c r="EY64" s="122"/>
      <c r="EZ64" s="122"/>
      <c r="FA64" s="122"/>
      <c r="FB64" s="122"/>
      <c r="FC64" s="122"/>
      <c r="FD64" s="122"/>
      <c r="FE64" s="122"/>
      <c r="FF64" s="122"/>
      <c r="FG64" s="122"/>
      <c r="FH64" s="122"/>
      <c r="FI64" s="122"/>
      <c r="FJ64" s="122"/>
      <c r="FK64" s="122"/>
      <c r="FL64" s="122"/>
      <c r="FM64" s="122"/>
      <c r="FN64" s="122"/>
      <c r="FO64" s="122"/>
      <c r="FP64" s="122"/>
      <c r="FQ64" s="122"/>
      <c r="FR64" s="122"/>
      <c r="FS64" s="122"/>
      <c r="FT64" s="122"/>
      <c r="FU64" s="122"/>
      <c r="FV64" s="122"/>
      <c r="FW64" s="122"/>
      <c r="FX64" s="122"/>
      <c r="FY64" s="122"/>
      <c r="FZ64" s="122"/>
      <c r="GA64" s="122"/>
      <c r="GB64" s="122"/>
      <c r="GC64" s="122"/>
    </row>
    <row r="65" spans="1:185" s="121" customFormat="1">
      <c r="A65" s="96"/>
      <c r="B65" s="226"/>
      <c r="C65" s="206"/>
      <c r="D65" s="261"/>
      <c r="E65" s="209"/>
      <c r="F65" s="209"/>
      <c r="G65" s="209"/>
      <c r="H65" s="209"/>
      <c r="I65" s="209"/>
      <c r="J65" s="209"/>
      <c r="K65" s="209"/>
      <c r="L65" s="209"/>
      <c r="M65" s="210"/>
      <c r="N65" s="210"/>
      <c r="O65" s="210"/>
      <c r="P65" s="210"/>
      <c r="Q65" s="210"/>
      <c r="R65" s="210"/>
      <c r="S65" s="210"/>
      <c r="T65" s="210"/>
      <c r="U65" s="210"/>
      <c r="V65" s="210"/>
      <c r="W65" s="210"/>
      <c r="X65" s="210"/>
      <c r="Y65" s="210"/>
      <c r="Z65" s="210"/>
      <c r="AA65" s="210"/>
      <c r="AB65" s="210"/>
      <c r="AC65" s="210"/>
      <c r="AD65" s="210"/>
      <c r="AE65" s="210"/>
      <c r="AF65" s="210"/>
      <c r="AG65" s="210"/>
      <c r="AH65" s="170"/>
      <c r="AI65" s="171"/>
      <c r="AJ65" s="120"/>
      <c r="AK65" s="120"/>
      <c r="AL65" s="120"/>
      <c r="AM65" s="120"/>
      <c r="AN65" s="120"/>
      <c r="AO65" s="120"/>
      <c r="AP65" s="120"/>
      <c r="AQ65" s="120"/>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c r="EU65" s="120"/>
      <c r="EV65" s="120"/>
      <c r="EW65" s="120"/>
      <c r="EX65" s="120"/>
      <c r="EY65" s="120"/>
      <c r="EZ65" s="120"/>
      <c r="FA65" s="120"/>
      <c r="FB65" s="120"/>
      <c r="FC65" s="120"/>
      <c r="FD65" s="120"/>
      <c r="FE65" s="120"/>
      <c r="FF65" s="120"/>
      <c r="FG65" s="120"/>
      <c r="FH65" s="120"/>
      <c r="FI65" s="120"/>
      <c r="FJ65" s="120"/>
      <c r="FK65" s="120"/>
      <c r="FL65" s="120"/>
      <c r="FM65" s="120"/>
      <c r="FN65" s="120"/>
      <c r="FO65" s="120"/>
      <c r="FP65" s="120"/>
      <c r="FQ65" s="120"/>
      <c r="FR65" s="120"/>
      <c r="FS65" s="120"/>
      <c r="FT65" s="120"/>
      <c r="FU65" s="120"/>
      <c r="FV65" s="120"/>
      <c r="FW65" s="120"/>
      <c r="FX65" s="120"/>
      <c r="FY65" s="120"/>
      <c r="FZ65" s="120"/>
      <c r="GA65" s="120"/>
      <c r="GB65" s="120"/>
      <c r="GC65" s="120"/>
    </row>
    <row r="66" spans="1:185" s="121" customFormat="1">
      <c r="A66" s="96" t="s">
        <v>1844</v>
      </c>
      <c r="B66" s="227" t="s">
        <v>2185</v>
      </c>
      <c r="C66" s="206">
        <f>SUM(E66:AG66)</f>
        <v>0</v>
      </c>
      <c r="D66" s="261">
        <v>149022000</v>
      </c>
      <c r="E66" s="209"/>
      <c r="F66" s="209"/>
      <c r="G66" s="209"/>
      <c r="H66" s="209"/>
      <c r="I66" s="209"/>
      <c r="J66" s="209"/>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170"/>
      <c r="AI66" s="171"/>
      <c r="AJ66" s="120"/>
      <c r="AK66" s="120"/>
      <c r="AL66" s="120"/>
      <c r="AM66" s="120"/>
      <c r="AN66" s="120"/>
      <c r="AO66" s="120"/>
      <c r="AP66" s="120"/>
      <c r="AQ66" s="120"/>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c r="EU66" s="120"/>
      <c r="EV66" s="120"/>
      <c r="EW66" s="120"/>
      <c r="EX66" s="120"/>
      <c r="EY66" s="120"/>
      <c r="EZ66" s="120"/>
      <c r="FA66" s="120"/>
      <c r="FB66" s="120"/>
      <c r="FC66" s="120"/>
      <c r="FD66" s="120"/>
      <c r="FE66" s="120"/>
      <c r="FF66" s="120"/>
      <c r="FG66" s="120"/>
      <c r="FH66" s="120"/>
      <c r="FI66" s="120"/>
      <c r="FJ66" s="120"/>
      <c r="FK66" s="120"/>
      <c r="FL66" s="120"/>
      <c r="FM66" s="120"/>
      <c r="FN66" s="120"/>
      <c r="FO66" s="120"/>
      <c r="FP66" s="120"/>
      <c r="FQ66" s="120"/>
      <c r="FR66" s="120"/>
      <c r="FS66" s="120"/>
      <c r="FT66" s="120"/>
      <c r="FU66" s="120"/>
      <c r="FV66" s="120"/>
      <c r="FW66" s="120"/>
      <c r="FX66" s="120"/>
      <c r="FY66" s="120"/>
      <c r="FZ66" s="120"/>
      <c r="GA66" s="120"/>
      <c r="GB66" s="120"/>
      <c r="GC66" s="120"/>
    </row>
    <row r="67" spans="1:185" s="123" customFormat="1">
      <c r="A67" s="97" t="s">
        <v>1845</v>
      </c>
      <c r="B67" s="226" t="s">
        <v>2186</v>
      </c>
      <c r="C67" s="204">
        <f>SUM(E67:AG67)</f>
        <v>0</v>
      </c>
      <c r="D67" s="263">
        <v>1138367175</v>
      </c>
      <c r="E67" s="205"/>
      <c r="F67" s="205"/>
      <c r="G67" s="205"/>
      <c r="H67" s="205"/>
      <c r="I67" s="205"/>
      <c r="J67" s="205"/>
      <c r="K67" s="213"/>
      <c r="L67" s="213"/>
      <c r="M67" s="213"/>
      <c r="N67" s="213"/>
      <c r="O67" s="213"/>
      <c r="P67" s="213"/>
      <c r="Q67" s="213"/>
      <c r="R67" s="213"/>
      <c r="S67" s="213"/>
      <c r="T67" s="213"/>
      <c r="U67" s="213"/>
      <c r="V67" s="213"/>
      <c r="W67" s="213"/>
      <c r="X67" s="213"/>
      <c r="Y67" s="213"/>
      <c r="Z67" s="213"/>
      <c r="AA67" s="213"/>
      <c r="AB67" s="213"/>
      <c r="AC67" s="213"/>
      <c r="AD67" s="213"/>
      <c r="AE67" s="213"/>
      <c r="AF67" s="213"/>
      <c r="AG67" s="213"/>
      <c r="AH67" s="172"/>
      <c r="AI67" s="173"/>
      <c r="AJ67" s="122"/>
      <c r="AK67" s="122"/>
      <c r="AL67" s="122"/>
      <c r="AM67" s="122"/>
      <c r="AN67" s="122"/>
      <c r="AO67" s="122"/>
      <c r="AP67" s="122"/>
      <c r="AQ67" s="122"/>
      <c r="AR67" s="122"/>
      <c r="AS67" s="122"/>
      <c r="AT67" s="122"/>
      <c r="AU67" s="122"/>
      <c r="AV67" s="122"/>
      <c r="AW67" s="122"/>
      <c r="AX67" s="122"/>
      <c r="AY67" s="122"/>
      <c r="AZ67" s="122"/>
      <c r="BA67" s="122"/>
      <c r="BB67" s="122"/>
      <c r="BC67" s="122"/>
      <c r="BD67" s="122"/>
      <c r="BE67" s="122"/>
      <c r="BF67" s="122"/>
      <c r="BG67" s="122"/>
      <c r="BH67" s="122"/>
      <c r="BI67" s="122"/>
      <c r="BJ67" s="122"/>
      <c r="BK67" s="122"/>
      <c r="BL67" s="122"/>
      <c r="BM67" s="122"/>
      <c r="BN67" s="122"/>
      <c r="BO67" s="122"/>
      <c r="BP67" s="122"/>
      <c r="BQ67" s="122"/>
      <c r="BR67" s="122"/>
      <c r="BS67" s="122"/>
      <c r="BT67" s="122"/>
      <c r="BU67" s="122"/>
      <c r="BV67" s="122"/>
      <c r="BW67" s="122"/>
      <c r="BX67" s="122"/>
      <c r="BY67" s="122"/>
      <c r="BZ67" s="122"/>
      <c r="CA67" s="122"/>
      <c r="CB67" s="122"/>
      <c r="CC67" s="122"/>
      <c r="CD67" s="122"/>
      <c r="CE67" s="122"/>
      <c r="CF67" s="122"/>
      <c r="CG67" s="122"/>
      <c r="CH67" s="122"/>
      <c r="CI67" s="122"/>
      <c r="CJ67" s="122"/>
      <c r="CK67" s="122"/>
      <c r="CL67" s="122"/>
      <c r="CM67" s="122"/>
      <c r="CN67" s="122"/>
      <c r="CO67" s="122"/>
      <c r="CP67" s="122"/>
      <c r="CQ67" s="122"/>
      <c r="CR67" s="122"/>
      <c r="CS67" s="122"/>
      <c r="CT67" s="122"/>
      <c r="CU67" s="122"/>
      <c r="CV67" s="122"/>
      <c r="CW67" s="122"/>
      <c r="CX67" s="122"/>
      <c r="CY67" s="122"/>
      <c r="CZ67" s="122"/>
      <c r="DA67" s="122"/>
      <c r="DB67" s="122"/>
      <c r="DC67" s="122"/>
      <c r="DD67" s="122"/>
      <c r="DE67" s="122"/>
      <c r="DF67" s="122"/>
      <c r="DG67" s="122"/>
      <c r="DH67" s="122"/>
      <c r="DI67" s="122"/>
      <c r="DJ67" s="122"/>
      <c r="DK67" s="122"/>
      <c r="DL67" s="122"/>
      <c r="DM67" s="122"/>
      <c r="DN67" s="122"/>
      <c r="DO67" s="122"/>
      <c r="DP67" s="122"/>
      <c r="DQ67" s="122"/>
      <c r="DR67" s="122"/>
      <c r="DS67" s="122"/>
      <c r="DT67" s="122"/>
      <c r="DU67" s="122"/>
      <c r="DV67" s="122"/>
      <c r="DW67" s="122"/>
      <c r="DX67" s="122"/>
      <c r="DY67" s="122"/>
      <c r="DZ67" s="122"/>
      <c r="EA67" s="122"/>
      <c r="EB67" s="122"/>
      <c r="EC67" s="122"/>
      <c r="ED67" s="122"/>
      <c r="EE67" s="122"/>
      <c r="EF67" s="122"/>
      <c r="EG67" s="122"/>
      <c r="EH67" s="122"/>
      <c r="EI67" s="122"/>
      <c r="EJ67" s="122"/>
      <c r="EK67" s="122"/>
      <c r="EL67" s="122"/>
      <c r="EM67" s="122"/>
      <c r="EN67" s="122"/>
      <c r="EO67" s="122"/>
      <c r="EP67" s="122"/>
      <c r="EQ67" s="122"/>
      <c r="ER67" s="122"/>
      <c r="ES67" s="122"/>
      <c r="ET67" s="122"/>
      <c r="EU67" s="122"/>
      <c r="EV67" s="122"/>
      <c r="EW67" s="122"/>
      <c r="EX67" s="122"/>
      <c r="EY67" s="122"/>
      <c r="EZ67" s="122"/>
      <c r="FA67" s="122"/>
      <c r="FB67" s="122"/>
      <c r="FC67" s="122"/>
      <c r="FD67" s="122"/>
      <c r="FE67" s="122"/>
      <c r="FF67" s="122"/>
      <c r="FG67" s="122"/>
      <c r="FH67" s="122"/>
      <c r="FI67" s="122"/>
      <c r="FJ67" s="122"/>
      <c r="FK67" s="122"/>
      <c r="FL67" s="122"/>
      <c r="FM67" s="122"/>
      <c r="FN67" s="122"/>
      <c r="FO67" s="122"/>
      <c r="FP67" s="122"/>
      <c r="FQ67" s="122"/>
      <c r="FR67" s="122"/>
      <c r="FS67" s="122"/>
      <c r="FT67" s="122"/>
      <c r="FU67" s="122"/>
      <c r="FV67" s="122"/>
      <c r="FW67" s="122"/>
      <c r="FX67" s="122"/>
      <c r="FY67" s="122"/>
      <c r="FZ67" s="122"/>
      <c r="GA67" s="122"/>
      <c r="GB67" s="122"/>
      <c r="GC67" s="122"/>
    </row>
    <row r="68" spans="1:185" s="123" customFormat="1">
      <c r="A68" s="97"/>
      <c r="B68" s="93"/>
      <c r="C68" s="204"/>
      <c r="D68" s="263"/>
      <c r="E68" s="205"/>
      <c r="F68" s="205"/>
      <c r="G68" s="205"/>
      <c r="H68" s="205"/>
      <c r="I68" s="205"/>
      <c r="J68" s="205"/>
      <c r="K68" s="205"/>
      <c r="L68" s="205"/>
      <c r="M68" s="213"/>
      <c r="N68" s="213"/>
      <c r="O68" s="213"/>
      <c r="P68" s="213"/>
      <c r="Q68" s="213"/>
      <c r="R68" s="213"/>
      <c r="S68" s="213"/>
      <c r="T68" s="213"/>
      <c r="U68" s="213"/>
      <c r="V68" s="213"/>
      <c r="W68" s="213"/>
      <c r="X68" s="213"/>
      <c r="Y68" s="213"/>
      <c r="Z68" s="213"/>
      <c r="AA68" s="213"/>
      <c r="AB68" s="213"/>
      <c r="AC68" s="213"/>
      <c r="AD68" s="213"/>
      <c r="AE68" s="213"/>
      <c r="AF68" s="213"/>
      <c r="AG68" s="213"/>
      <c r="AH68" s="172"/>
      <c r="AI68" s="173"/>
      <c r="AJ68" s="122"/>
      <c r="AK68" s="122"/>
      <c r="AL68" s="122"/>
      <c r="AM68" s="122"/>
      <c r="AN68" s="122"/>
      <c r="AO68" s="122"/>
      <c r="AP68" s="122"/>
      <c r="AQ68" s="122"/>
      <c r="AR68" s="122"/>
      <c r="AS68" s="122"/>
      <c r="AT68" s="122"/>
      <c r="AU68" s="122"/>
      <c r="AV68" s="122"/>
      <c r="AW68" s="122"/>
      <c r="AX68" s="122"/>
      <c r="AY68" s="122"/>
      <c r="AZ68" s="122"/>
      <c r="BA68" s="122"/>
      <c r="BB68" s="122"/>
      <c r="BC68" s="122"/>
      <c r="BD68" s="122"/>
      <c r="BE68" s="122"/>
      <c r="BF68" s="122"/>
      <c r="BG68" s="122"/>
      <c r="BH68" s="122"/>
      <c r="BI68" s="122"/>
      <c r="BJ68" s="122"/>
      <c r="BK68" s="122"/>
      <c r="BL68" s="122"/>
      <c r="BM68" s="122"/>
      <c r="BN68" s="122"/>
      <c r="BO68" s="122"/>
      <c r="BP68" s="122"/>
      <c r="BQ68" s="122"/>
      <c r="BR68" s="122"/>
      <c r="BS68" s="122"/>
      <c r="BT68" s="122"/>
      <c r="BU68" s="122"/>
      <c r="BV68" s="122"/>
      <c r="BW68" s="122"/>
      <c r="BX68" s="122"/>
      <c r="BY68" s="122"/>
      <c r="BZ68" s="122"/>
      <c r="CA68" s="122"/>
      <c r="CB68" s="122"/>
      <c r="CC68" s="122"/>
      <c r="CD68" s="122"/>
      <c r="CE68" s="122"/>
      <c r="CF68" s="122"/>
      <c r="CG68" s="122"/>
      <c r="CH68" s="122"/>
      <c r="CI68" s="122"/>
      <c r="CJ68" s="122"/>
      <c r="CK68" s="122"/>
      <c r="CL68" s="122"/>
      <c r="CM68" s="122"/>
      <c r="CN68" s="122"/>
      <c r="CO68" s="122"/>
      <c r="CP68" s="122"/>
      <c r="CQ68" s="122"/>
      <c r="CR68" s="122"/>
      <c r="CS68" s="122"/>
      <c r="CT68" s="122"/>
      <c r="CU68" s="122"/>
      <c r="CV68" s="122"/>
      <c r="CW68" s="122"/>
      <c r="CX68" s="122"/>
      <c r="CY68" s="122"/>
      <c r="CZ68" s="122"/>
      <c r="DA68" s="122"/>
      <c r="DB68" s="122"/>
      <c r="DC68" s="122"/>
      <c r="DD68" s="122"/>
      <c r="DE68" s="122"/>
      <c r="DF68" s="122"/>
      <c r="DG68" s="122"/>
      <c r="DH68" s="122"/>
      <c r="DI68" s="122"/>
      <c r="DJ68" s="122"/>
      <c r="DK68" s="122"/>
      <c r="DL68" s="122"/>
      <c r="DM68" s="122"/>
      <c r="DN68" s="122"/>
      <c r="DO68" s="122"/>
      <c r="DP68" s="122"/>
      <c r="DQ68" s="122"/>
      <c r="DR68" s="122"/>
      <c r="DS68" s="122"/>
      <c r="DT68" s="122"/>
      <c r="DU68" s="122"/>
      <c r="DV68" s="122"/>
      <c r="DW68" s="122"/>
      <c r="DX68" s="122"/>
      <c r="DY68" s="122"/>
      <c r="DZ68" s="122"/>
      <c r="EA68" s="122"/>
      <c r="EB68" s="122"/>
      <c r="EC68" s="122"/>
      <c r="ED68" s="122"/>
      <c r="EE68" s="122"/>
      <c r="EF68" s="122"/>
      <c r="EG68" s="122"/>
      <c r="EH68" s="122"/>
      <c r="EI68" s="122"/>
      <c r="EJ68" s="122"/>
      <c r="EK68" s="122"/>
      <c r="EL68" s="122"/>
      <c r="EM68" s="122"/>
      <c r="EN68" s="122"/>
      <c r="EO68" s="122"/>
      <c r="EP68" s="122"/>
      <c r="EQ68" s="122"/>
      <c r="ER68" s="122"/>
      <c r="ES68" s="122"/>
      <c r="ET68" s="122"/>
      <c r="EU68" s="122"/>
      <c r="EV68" s="122"/>
      <c r="EW68" s="122"/>
      <c r="EX68" s="122"/>
      <c r="EY68" s="122"/>
      <c r="EZ68" s="122"/>
      <c r="FA68" s="122"/>
      <c r="FB68" s="122"/>
      <c r="FC68" s="122"/>
      <c r="FD68" s="122"/>
      <c r="FE68" s="122"/>
      <c r="FF68" s="122"/>
      <c r="FG68" s="122"/>
      <c r="FH68" s="122"/>
      <c r="FI68" s="122"/>
      <c r="FJ68" s="122"/>
      <c r="FK68" s="122"/>
      <c r="FL68" s="122"/>
      <c r="FM68" s="122"/>
      <c r="FN68" s="122"/>
      <c r="FO68" s="122"/>
      <c r="FP68" s="122"/>
      <c r="FQ68" s="122"/>
      <c r="FR68" s="122"/>
      <c r="FS68" s="122"/>
      <c r="FT68" s="122"/>
      <c r="FU68" s="122"/>
      <c r="FV68" s="122"/>
      <c r="FW68" s="122"/>
      <c r="FX68" s="122"/>
      <c r="FY68" s="122"/>
      <c r="FZ68" s="122"/>
      <c r="GA68" s="122"/>
      <c r="GB68" s="122"/>
      <c r="GC68" s="122"/>
    </row>
    <row r="69" spans="1:185" s="121" customFormat="1">
      <c r="A69" s="96" t="s">
        <v>1846</v>
      </c>
      <c r="B69" s="90" t="s">
        <v>2195</v>
      </c>
      <c r="C69" s="206">
        <f>SUM(E69:AG69)</f>
        <v>0</v>
      </c>
      <c r="D69" s="261">
        <v>326726400</v>
      </c>
      <c r="E69" s="209"/>
      <c r="F69" s="209"/>
      <c r="G69" s="209"/>
      <c r="H69" s="209"/>
      <c r="I69" s="209"/>
      <c r="J69" s="209"/>
      <c r="K69" s="210"/>
      <c r="L69" s="210"/>
      <c r="M69" s="210"/>
      <c r="N69" s="210"/>
      <c r="O69" s="210"/>
      <c r="P69" s="210"/>
      <c r="Q69" s="210"/>
      <c r="R69" s="210"/>
      <c r="S69" s="210"/>
      <c r="T69" s="210"/>
      <c r="U69" s="210"/>
      <c r="V69" s="210"/>
      <c r="W69" s="210"/>
      <c r="X69" s="210"/>
      <c r="Y69" s="210"/>
      <c r="Z69" s="210"/>
      <c r="AA69" s="210"/>
      <c r="AB69" s="210"/>
      <c r="AC69" s="210"/>
      <c r="AD69" s="210"/>
      <c r="AE69" s="210"/>
      <c r="AF69" s="210"/>
      <c r="AG69" s="210"/>
      <c r="AH69" s="170"/>
      <c r="AI69" s="171"/>
      <c r="AJ69" s="120"/>
      <c r="AK69" s="120"/>
      <c r="AL69" s="120"/>
      <c r="AM69" s="120"/>
      <c r="AN69" s="120"/>
      <c r="AO69" s="120"/>
      <c r="AP69" s="120"/>
      <c r="AQ69" s="120"/>
      <c r="AR69" s="120"/>
      <c r="AS69" s="120"/>
      <c r="AT69" s="120"/>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c r="EU69" s="120"/>
      <c r="EV69" s="120"/>
      <c r="EW69" s="120"/>
      <c r="EX69" s="120"/>
      <c r="EY69" s="120"/>
      <c r="EZ69" s="120"/>
      <c r="FA69" s="120"/>
      <c r="FB69" s="120"/>
      <c r="FC69" s="120"/>
      <c r="FD69" s="120"/>
      <c r="FE69" s="120"/>
      <c r="FF69" s="120"/>
      <c r="FG69" s="120"/>
      <c r="FH69" s="120"/>
      <c r="FI69" s="120"/>
      <c r="FJ69" s="120"/>
      <c r="FK69" s="120"/>
      <c r="FL69" s="120"/>
      <c r="FM69" s="120"/>
      <c r="FN69" s="120"/>
      <c r="FO69" s="120"/>
      <c r="FP69" s="120"/>
      <c r="FQ69" s="120"/>
      <c r="FR69" s="120"/>
      <c r="FS69" s="120"/>
      <c r="FT69" s="120"/>
      <c r="FU69" s="120"/>
      <c r="FV69" s="120"/>
      <c r="FW69" s="120"/>
      <c r="FX69" s="120"/>
      <c r="FY69" s="120"/>
      <c r="FZ69" s="120"/>
      <c r="GA69" s="120"/>
      <c r="GB69" s="120"/>
      <c r="GC69" s="120"/>
    </row>
    <row r="70" spans="1:185" s="121" customFormat="1">
      <c r="A70" s="96" t="s">
        <v>1850</v>
      </c>
      <c r="B70" s="90" t="s">
        <v>270</v>
      </c>
      <c r="C70" s="206">
        <f>SUM(E70:AG70)</f>
        <v>0</v>
      </c>
      <c r="D70" s="261">
        <v>0</v>
      </c>
      <c r="E70" s="209"/>
      <c r="F70" s="209"/>
      <c r="G70" s="209"/>
      <c r="H70" s="209"/>
      <c r="I70" s="209"/>
      <c r="J70" s="209"/>
      <c r="K70" s="210"/>
      <c r="L70" s="210"/>
      <c r="M70" s="210"/>
      <c r="N70" s="210"/>
      <c r="O70" s="210"/>
      <c r="P70" s="210"/>
      <c r="Q70" s="210"/>
      <c r="R70" s="210"/>
      <c r="S70" s="210"/>
      <c r="T70" s="210"/>
      <c r="U70" s="210"/>
      <c r="V70" s="210"/>
      <c r="W70" s="210"/>
      <c r="X70" s="210"/>
      <c r="Y70" s="210"/>
      <c r="Z70" s="210"/>
      <c r="AA70" s="210"/>
      <c r="AB70" s="210"/>
      <c r="AC70" s="210"/>
      <c r="AD70" s="210"/>
      <c r="AE70" s="210"/>
      <c r="AF70" s="210"/>
      <c r="AG70" s="210"/>
      <c r="AH70" s="170"/>
      <c r="AI70" s="171"/>
      <c r="AJ70" s="120"/>
      <c r="AK70" s="120"/>
      <c r="AL70" s="120"/>
      <c r="AM70" s="120"/>
      <c r="AN70" s="120"/>
      <c r="AO70" s="120"/>
      <c r="AP70" s="120"/>
      <c r="AQ70" s="120"/>
      <c r="AR70" s="120"/>
      <c r="AS70" s="120"/>
      <c r="AT70" s="120"/>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c r="EU70" s="120"/>
      <c r="EV70" s="120"/>
      <c r="EW70" s="120"/>
      <c r="EX70" s="120"/>
      <c r="EY70" s="120"/>
      <c r="EZ70" s="120"/>
      <c r="FA70" s="120"/>
      <c r="FB70" s="120"/>
      <c r="FC70" s="120"/>
      <c r="FD70" s="120"/>
      <c r="FE70" s="120"/>
      <c r="FF70" s="120"/>
      <c r="FG70" s="120"/>
      <c r="FH70" s="120"/>
      <c r="FI70" s="120"/>
      <c r="FJ70" s="120"/>
      <c r="FK70" s="120"/>
      <c r="FL70" s="120"/>
      <c r="FM70" s="120"/>
      <c r="FN70" s="120"/>
      <c r="FO70" s="120"/>
      <c r="FP70" s="120"/>
      <c r="FQ70" s="120"/>
      <c r="FR70" s="120"/>
      <c r="FS70" s="120"/>
      <c r="FT70" s="120"/>
      <c r="FU70" s="120"/>
      <c r="FV70" s="120"/>
      <c r="FW70" s="120"/>
      <c r="FX70" s="120"/>
      <c r="FY70" s="120"/>
      <c r="FZ70" s="120"/>
      <c r="GA70" s="120"/>
      <c r="GB70" s="120"/>
      <c r="GC70" s="120"/>
    </row>
    <row r="71" spans="1:185" s="121" customFormat="1">
      <c r="A71" s="96" t="s">
        <v>1851</v>
      </c>
      <c r="B71" s="90" t="s">
        <v>2192</v>
      </c>
      <c r="C71" s="206">
        <f>SUM(E71:AG71)</f>
        <v>0</v>
      </c>
      <c r="D71" s="261">
        <v>9828</v>
      </c>
      <c r="E71" s="209"/>
      <c r="F71" s="209"/>
      <c r="G71" s="209"/>
      <c r="H71" s="209"/>
      <c r="I71" s="209"/>
      <c r="J71" s="209"/>
      <c r="K71" s="210"/>
      <c r="L71" s="210"/>
      <c r="M71" s="210"/>
      <c r="N71" s="210"/>
      <c r="O71" s="210"/>
      <c r="P71" s="210"/>
      <c r="Q71" s="210"/>
      <c r="R71" s="210"/>
      <c r="S71" s="210"/>
      <c r="T71" s="210"/>
      <c r="U71" s="210"/>
      <c r="V71" s="210"/>
      <c r="W71" s="210"/>
      <c r="X71" s="210"/>
      <c r="Y71" s="210"/>
      <c r="Z71" s="210"/>
      <c r="AA71" s="210"/>
      <c r="AB71" s="210"/>
      <c r="AC71" s="210"/>
      <c r="AD71" s="210"/>
      <c r="AE71" s="210"/>
      <c r="AF71" s="210"/>
      <c r="AG71" s="210"/>
      <c r="AH71" s="170"/>
      <c r="AI71" s="171"/>
      <c r="AJ71" s="120"/>
      <c r="AK71" s="120"/>
      <c r="AL71" s="120"/>
      <c r="AM71" s="120"/>
      <c r="AN71" s="120"/>
      <c r="AO71" s="120"/>
      <c r="AP71" s="120"/>
      <c r="AQ71" s="120"/>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c r="EU71" s="120"/>
      <c r="EV71" s="120"/>
      <c r="EW71" s="120"/>
      <c r="EX71" s="120"/>
      <c r="EY71" s="120"/>
      <c r="EZ71" s="120"/>
      <c r="FA71" s="120"/>
      <c r="FB71" s="120"/>
      <c r="FC71" s="120"/>
      <c r="FD71" s="120"/>
      <c r="FE71" s="120"/>
      <c r="FF71" s="120"/>
      <c r="FG71" s="120"/>
      <c r="FH71" s="120"/>
      <c r="FI71" s="120"/>
      <c r="FJ71" s="120"/>
      <c r="FK71" s="120"/>
      <c r="FL71" s="120"/>
      <c r="FM71" s="120"/>
      <c r="FN71" s="120"/>
      <c r="FO71" s="120"/>
      <c r="FP71" s="120"/>
      <c r="FQ71" s="120"/>
      <c r="FR71" s="120"/>
      <c r="FS71" s="120"/>
      <c r="FT71" s="120"/>
      <c r="FU71" s="120"/>
      <c r="FV71" s="120"/>
      <c r="FW71" s="120"/>
      <c r="FX71" s="120"/>
      <c r="FY71" s="120"/>
      <c r="FZ71" s="120"/>
      <c r="GA71" s="120"/>
      <c r="GB71" s="120"/>
      <c r="GC71" s="120"/>
    </row>
    <row r="72" spans="1:185" s="121" customFormat="1">
      <c r="A72" s="96" t="s">
        <v>1852</v>
      </c>
      <c r="B72" s="90" t="s">
        <v>2193</v>
      </c>
      <c r="C72" s="206">
        <f>SUM(E72:AG72)</f>
        <v>0</v>
      </c>
      <c r="D72" s="261">
        <v>67002</v>
      </c>
      <c r="E72" s="209"/>
      <c r="F72" s="209"/>
      <c r="G72" s="209"/>
      <c r="H72" s="209"/>
      <c r="I72" s="209"/>
      <c r="J72" s="209"/>
      <c r="K72" s="210"/>
      <c r="L72" s="210"/>
      <c r="M72" s="210"/>
      <c r="N72" s="210"/>
      <c r="O72" s="210"/>
      <c r="P72" s="210"/>
      <c r="Q72" s="210"/>
      <c r="R72" s="210"/>
      <c r="S72" s="210"/>
      <c r="T72" s="210"/>
      <c r="U72" s="210"/>
      <c r="V72" s="210"/>
      <c r="W72" s="210"/>
      <c r="X72" s="210"/>
      <c r="Y72" s="210"/>
      <c r="Z72" s="210"/>
      <c r="AA72" s="210"/>
      <c r="AB72" s="210"/>
      <c r="AC72" s="210"/>
      <c r="AD72" s="210"/>
      <c r="AE72" s="210"/>
      <c r="AF72" s="210"/>
      <c r="AG72" s="210"/>
      <c r="AH72" s="170"/>
      <c r="AI72" s="171"/>
      <c r="AJ72" s="120"/>
      <c r="AK72" s="120"/>
      <c r="AL72" s="120"/>
      <c r="AM72" s="120"/>
      <c r="AN72" s="120"/>
      <c r="AO72" s="120"/>
      <c r="AP72" s="120"/>
      <c r="AQ72" s="120"/>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c r="EU72" s="120"/>
      <c r="EV72" s="120"/>
      <c r="EW72" s="120"/>
      <c r="EX72" s="120"/>
      <c r="EY72" s="120"/>
      <c r="EZ72" s="120"/>
      <c r="FA72" s="120"/>
      <c r="FB72" s="120"/>
      <c r="FC72" s="120"/>
      <c r="FD72" s="120"/>
      <c r="FE72" s="120"/>
      <c r="FF72" s="120"/>
      <c r="FG72" s="120"/>
      <c r="FH72" s="120"/>
      <c r="FI72" s="120"/>
      <c r="FJ72" s="120"/>
      <c r="FK72" s="120"/>
      <c r="FL72" s="120"/>
      <c r="FM72" s="120"/>
      <c r="FN72" s="120"/>
      <c r="FO72" s="120"/>
      <c r="FP72" s="120"/>
      <c r="FQ72" s="120"/>
      <c r="FR72" s="120"/>
      <c r="FS72" s="120"/>
      <c r="FT72" s="120"/>
      <c r="FU72" s="120"/>
      <c r="FV72" s="120"/>
      <c r="FW72" s="120"/>
      <c r="FX72" s="120"/>
      <c r="FY72" s="120"/>
      <c r="FZ72" s="120"/>
      <c r="GA72" s="120"/>
      <c r="GB72" s="120"/>
      <c r="GC72" s="120"/>
    </row>
    <row r="73" spans="1:185" s="121" customFormat="1">
      <c r="A73" s="98" t="s">
        <v>1873</v>
      </c>
      <c r="B73" s="90" t="s">
        <v>2194</v>
      </c>
      <c r="C73" s="206">
        <f>SUM(E73:AG73)</f>
        <v>0</v>
      </c>
      <c r="D73" s="261">
        <v>62261</v>
      </c>
      <c r="E73" s="209"/>
      <c r="F73" s="209"/>
      <c r="G73" s="209"/>
      <c r="H73" s="209"/>
      <c r="I73" s="209"/>
      <c r="J73" s="209"/>
      <c r="K73" s="210"/>
      <c r="L73" s="210"/>
      <c r="M73" s="210"/>
      <c r="N73" s="210"/>
      <c r="O73" s="210"/>
      <c r="P73" s="210"/>
      <c r="Q73" s="210"/>
      <c r="R73" s="210"/>
      <c r="S73" s="210"/>
      <c r="T73" s="210"/>
      <c r="U73" s="210"/>
      <c r="V73" s="210"/>
      <c r="W73" s="210"/>
      <c r="X73" s="210"/>
      <c r="Y73" s="210"/>
      <c r="Z73" s="210"/>
      <c r="AA73" s="210"/>
      <c r="AB73" s="210"/>
      <c r="AC73" s="210"/>
      <c r="AD73" s="210"/>
      <c r="AE73" s="210"/>
      <c r="AF73" s="210"/>
      <c r="AG73" s="210"/>
      <c r="AH73" s="170"/>
      <c r="AI73" s="171"/>
      <c r="AJ73" s="120"/>
      <c r="AK73" s="120"/>
      <c r="AL73" s="120"/>
      <c r="AM73" s="120"/>
      <c r="AN73" s="120"/>
      <c r="AO73" s="120"/>
      <c r="AP73" s="120"/>
      <c r="AQ73" s="120"/>
      <c r="AR73" s="120"/>
      <c r="AS73" s="120"/>
      <c r="AT73" s="120"/>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c r="EU73" s="120"/>
      <c r="EV73" s="120"/>
      <c r="EW73" s="120"/>
      <c r="EX73" s="120"/>
      <c r="EY73" s="120"/>
      <c r="EZ73" s="120"/>
      <c r="FA73" s="120"/>
      <c r="FB73" s="120"/>
      <c r="FC73" s="120"/>
      <c r="FD73" s="120"/>
      <c r="FE73" s="120"/>
      <c r="FF73" s="120"/>
      <c r="FG73" s="120"/>
      <c r="FH73" s="120"/>
      <c r="FI73" s="120"/>
      <c r="FJ73" s="120"/>
      <c r="FK73" s="120"/>
      <c r="FL73" s="120"/>
      <c r="FM73" s="120"/>
      <c r="FN73" s="120"/>
      <c r="FO73" s="120"/>
      <c r="FP73" s="120"/>
      <c r="FQ73" s="120"/>
      <c r="FR73" s="120"/>
      <c r="FS73" s="120"/>
      <c r="FT73" s="120"/>
      <c r="FU73" s="120"/>
      <c r="FV73" s="120"/>
      <c r="FW73" s="120"/>
      <c r="FX73" s="120"/>
      <c r="FY73" s="120"/>
      <c r="FZ73" s="120"/>
      <c r="GA73" s="120"/>
      <c r="GB73" s="120"/>
      <c r="GC73" s="120"/>
    </row>
    <row r="74" spans="1:185" s="124" customFormat="1">
      <c r="A74" s="98" t="s">
        <v>1874</v>
      </c>
      <c r="B74" s="91" t="s">
        <v>2190</v>
      </c>
      <c r="C74" s="201">
        <f t="array" ref="C74">IF(ISNUMBER(SUM((E73:AG73&gt;0)*(E75:AG75&gt;0)*(E73:AG73))/SUM((E73:AG73&gt;0)*(E75:AG75&gt;0)*(E75:AG75))),SUM((E73:AG73&gt;0)*(E75:AG75&gt;0)*(E73:AG73))/SUM((E73:AG73&gt;0)*(E75:AG75&gt;0)*(E75:AG75)),0)</f>
        <v>0</v>
      </c>
      <c r="D74" s="264">
        <v>13.7</v>
      </c>
      <c r="E74" s="215"/>
      <c r="F74" s="215"/>
      <c r="G74" s="215"/>
      <c r="H74" s="215"/>
      <c r="I74" s="215"/>
      <c r="J74" s="215"/>
      <c r="K74" s="216"/>
      <c r="L74" s="216"/>
      <c r="M74" s="216"/>
      <c r="N74" s="216"/>
      <c r="O74" s="216"/>
      <c r="P74" s="216"/>
      <c r="Q74" s="216"/>
      <c r="R74" s="216"/>
      <c r="S74" s="216"/>
      <c r="T74" s="216"/>
      <c r="U74" s="216"/>
      <c r="V74" s="216"/>
      <c r="W74" s="216"/>
      <c r="X74" s="216"/>
      <c r="Y74" s="216"/>
      <c r="Z74" s="216"/>
      <c r="AA74" s="216"/>
      <c r="AB74" s="216"/>
      <c r="AC74" s="216"/>
      <c r="AD74" s="216"/>
      <c r="AE74" s="216"/>
      <c r="AF74" s="216"/>
      <c r="AG74" s="216"/>
      <c r="AH74" s="170"/>
      <c r="AI74" s="171"/>
      <c r="AJ74" s="120"/>
      <c r="AK74" s="120"/>
      <c r="AL74" s="120"/>
      <c r="AM74" s="120"/>
      <c r="AN74" s="120"/>
      <c r="AO74" s="120"/>
      <c r="AP74" s="120"/>
      <c r="AQ74" s="120"/>
      <c r="AR74" s="120"/>
      <c r="AS74" s="120"/>
      <c r="AT74" s="120"/>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c r="EU74" s="120"/>
      <c r="EV74" s="120"/>
      <c r="EW74" s="120"/>
      <c r="EX74" s="120"/>
      <c r="EY74" s="120"/>
      <c r="EZ74" s="120"/>
      <c r="FA74" s="120"/>
      <c r="FB74" s="120"/>
      <c r="FC74" s="120"/>
      <c r="FD74" s="120"/>
      <c r="FE74" s="120"/>
      <c r="FF74" s="120"/>
      <c r="FG74" s="120"/>
      <c r="FH74" s="120"/>
      <c r="FI74" s="120"/>
      <c r="FJ74" s="120"/>
      <c r="FK74" s="120"/>
      <c r="FL74" s="120"/>
      <c r="FM74" s="120"/>
      <c r="FN74" s="120"/>
      <c r="FO74" s="120"/>
      <c r="FP74" s="120"/>
      <c r="FQ74" s="120"/>
      <c r="FR74" s="120"/>
      <c r="FS74" s="120"/>
      <c r="FT74" s="120"/>
      <c r="FU74" s="120"/>
      <c r="FV74" s="120"/>
      <c r="FW74" s="120"/>
      <c r="FX74" s="120"/>
      <c r="FY74" s="120"/>
      <c r="FZ74" s="120"/>
      <c r="GA74" s="120"/>
      <c r="GB74" s="120"/>
      <c r="GC74" s="120"/>
    </row>
    <row r="75" spans="1:185">
      <c r="A75" s="58"/>
      <c r="B75" s="91" t="s">
        <v>249</v>
      </c>
      <c r="C75" s="200">
        <f>SUM(E75:AG75)</f>
        <v>0</v>
      </c>
      <c r="D75" s="235">
        <f>IF(ISNUMBER(D73/D74),D73/D74,0)</f>
        <v>4544.5985401459857</v>
      </c>
      <c r="E75" s="200">
        <f t="shared" ref="E75:AG75" si="16">IF(ISNUMBER(E73/E74),E73/E74,0)</f>
        <v>0</v>
      </c>
      <c r="F75" s="200">
        <f t="shared" si="16"/>
        <v>0</v>
      </c>
      <c r="G75" s="200">
        <f t="shared" si="16"/>
        <v>0</v>
      </c>
      <c r="H75" s="200">
        <f t="shared" si="16"/>
        <v>0</v>
      </c>
      <c r="I75" s="200">
        <f t="shared" si="16"/>
        <v>0</v>
      </c>
      <c r="J75" s="200">
        <f t="shared" si="16"/>
        <v>0</v>
      </c>
      <c r="K75" s="200">
        <f t="shared" si="16"/>
        <v>0</v>
      </c>
      <c r="L75" s="200">
        <f t="shared" si="16"/>
        <v>0</v>
      </c>
      <c r="M75" s="200">
        <f t="shared" si="16"/>
        <v>0</v>
      </c>
      <c r="N75" s="200">
        <f t="shared" si="16"/>
        <v>0</v>
      </c>
      <c r="O75" s="200">
        <f t="shared" si="16"/>
        <v>0</v>
      </c>
      <c r="P75" s="200">
        <f t="shared" si="16"/>
        <v>0</v>
      </c>
      <c r="Q75" s="200">
        <f t="shared" si="16"/>
        <v>0</v>
      </c>
      <c r="R75" s="200">
        <f t="shared" si="16"/>
        <v>0</v>
      </c>
      <c r="S75" s="200">
        <f t="shared" si="16"/>
        <v>0</v>
      </c>
      <c r="T75" s="200">
        <f t="shared" si="16"/>
        <v>0</v>
      </c>
      <c r="U75" s="200">
        <f t="shared" si="16"/>
        <v>0</v>
      </c>
      <c r="V75" s="200">
        <f t="shared" si="16"/>
        <v>0</v>
      </c>
      <c r="W75" s="200">
        <f t="shared" si="16"/>
        <v>0</v>
      </c>
      <c r="X75" s="200">
        <f t="shared" si="16"/>
        <v>0</v>
      </c>
      <c r="Y75" s="200">
        <f t="shared" si="16"/>
        <v>0</v>
      </c>
      <c r="Z75" s="200">
        <f t="shared" si="16"/>
        <v>0</v>
      </c>
      <c r="AA75" s="200">
        <f t="shared" si="16"/>
        <v>0</v>
      </c>
      <c r="AB75" s="200">
        <f t="shared" si="16"/>
        <v>0</v>
      </c>
      <c r="AC75" s="200">
        <f t="shared" si="16"/>
        <v>0</v>
      </c>
      <c r="AD75" s="200">
        <f t="shared" si="16"/>
        <v>0</v>
      </c>
      <c r="AE75" s="200">
        <f t="shared" si="16"/>
        <v>0</v>
      </c>
      <c r="AF75" s="200">
        <f t="shared" si="16"/>
        <v>0</v>
      </c>
      <c r="AG75" s="200">
        <f t="shared" si="16"/>
        <v>0</v>
      </c>
      <c r="AH75" s="174"/>
      <c r="AI75" s="175"/>
      <c r="AJ75" s="124"/>
      <c r="AK75" s="124"/>
      <c r="AL75" s="124"/>
      <c r="AM75" s="124"/>
      <c r="AN75" s="124"/>
      <c r="AO75" s="124"/>
      <c r="AP75" s="124"/>
      <c r="AQ75" s="124"/>
      <c r="AR75" s="124"/>
      <c r="AS75" s="124"/>
      <c r="AT75" s="124"/>
      <c r="AU75" s="124"/>
      <c r="AV75" s="124"/>
      <c r="AW75" s="124"/>
      <c r="AX75" s="124"/>
      <c r="AY75" s="124"/>
      <c r="AZ75" s="124"/>
      <c r="BA75" s="124"/>
      <c r="BB75" s="124"/>
      <c r="BC75" s="124"/>
      <c r="BD75" s="124"/>
      <c r="BE75" s="124"/>
      <c r="BF75" s="124"/>
      <c r="BG75" s="124"/>
      <c r="BH75" s="124"/>
      <c r="BI75" s="124"/>
      <c r="BJ75" s="124"/>
      <c r="BK75" s="124"/>
      <c r="BL75" s="124"/>
      <c r="BM75" s="124"/>
      <c r="BN75" s="124"/>
      <c r="BO75" s="124"/>
      <c r="BP75" s="124"/>
      <c r="BQ75" s="124"/>
      <c r="BR75" s="124"/>
      <c r="BS75" s="124"/>
      <c r="BT75" s="124"/>
      <c r="BU75" s="124"/>
      <c r="BV75" s="124"/>
      <c r="BW75" s="124"/>
      <c r="BX75" s="124"/>
      <c r="BY75" s="124"/>
      <c r="BZ75" s="124"/>
      <c r="CA75" s="124"/>
      <c r="CB75" s="124"/>
      <c r="CC75" s="124"/>
      <c r="CD75" s="124"/>
      <c r="CE75" s="124"/>
      <c r="CF75" s="124"/>
      <c r="CG75" s="124"/>
      <c r="CH75" s="124"/>
      <c r="CI75" s="124"/>
      <c r="CJ75" s="124"/>
      <c r="CK75" s="124"/>
      <c r="CL75" s="124"/>
      <c r="CM75" s="124"/>
      <c r="CN75" s="124"/>
      <c r="CO75" s="124"/>
      <c r="CP75" s="124"/>
      <c r="CQ75" s="124"/>
      <c r="CR75" s="124"/>
      <c r="CS75" s="124"/>
      <c r="CT75" s="124"/>
      <c r="CU75" s="124"/>
      <c r="CV75" s="124"/>
      <c r="CW75" s="124"/>
      <c r="CX75" s="124"/>
      <c r="CY75" s="124"/>
      <c r="CZ75" s="124"/>
      <c r="DA75" s="124"/>
      <c r="DB75" s="124"/>
      <c r="DC75" s="124"/>
      <c r="DD75" s="124"/>
      <c r="DE75" s="124"/>
      <c r="DF75" s="124"/>
      <c r="DG75" s="124"/>
      <c r="DH75" s="124"/>
      <c r="DI75" s="124"/>
      <c r="DJ75" s="124"/>
      <c r="DK75" s="124"/>
      <c r="DL75" s="124"/>
      <c r="DM75" s="124"/>
      <c r="DN75" s="124"/>
      <c r="DO75" s="124"/>
      <c r="DP75" s="124"/>
      <c r="DQ75" s="124"/>
      <c r="DR75" s="124"/>
      <c r="DS75" s="124"/>
      <c r="DT75" s="124"/>
      <c r="DU75" s="124"/>
      <c r="DV75" s="124"/>
      <c r="DW75" s="124"/>
      <c r="DX75" s="124"/>
      <c r="DY75" s="124"/>
      <c r="DZ75" s="124"/>
      <c r="EA75" s="124"/>
      <c r="EB75" s="124"/>
      <c r="EC75" s="124"/>
      <c r="ED75" s="124"/>
      <c r="EE75" s="124"/>
      <c r="EF75" s="124"/>
      <c r="EG75" s="124"/>
      <c r="EH75" s="124"/>
      <c r="EI75" s="124"/>
      <c r="EJ75" s="124"/>
      <c r="EK75" s="124"/>
      <c r="EL75" s="124"/>
      <c r="EM75" s="124"/>
      <c r="EN75" s="124"/>
      <c r="EO75" s="124"/>
      <c r="EP75" s="124"/>
      <c r="EQ75" s="124"/>
      <c r="ER75" s="124"/>
      <c r="ES75" s="124"/>
      <c r="ET75" s="124"/>
      <c r="EU75" s="124"/>
      <c r="EV75" s="124"/>
      <c r="EW75" s="124"/>
      <c r="EX75" s="124"/>
      <c r="EY75" s="124"/>
      <c r="EZ75" s="124"/>
      <c r="FA75" s="124"/>
      <c r="FB75" s="124"/>
      <c r="FC75" s="124"/>
      <c r="FD75" s="124"/>
      <c r="FE75" s="124"/>
      <c r="FF75" s="124"/>
      <c r="FG75" s="124"/>
      <c r="FH75" s="124"/>
      <c r="FI75" s="124"/>
      <c r="FJ75" s="124"/>
      <c r="FK75" s="124"/>
      <c r="FL75" s="124"/>
      <c r="FM75" s="124"/>
      <c r="FN75" s="124"/>
      <c r="FO75" s="124"/>
      <c r="FP75" s="124"/>
      <c r="FQ75" s="124"/>
      <c r="FR75" s="124"/>
      <c r="FS75" s="124"/>
      <c r="FT75" s="124"/>
      <c r="FU75" s="124"/>
      <c r="FV75" s="124"/>
      <c r="FW75" s="124"/>
      <c r="FX75" s="124"/>
      <c r="FY75" s="124"/>
      <c r="FZ75" s="124"/>
      <c r="GA75" s="124"/>
      <c r="GB75" s="124"/>
      <c r="GC75" s="124"/>
    </row>
    <row r="76" spans="1:185" ht="10" customHeight="1">
      <c r="A76" s="60"/>
      <c r="B76" s="61"/>
      <c r="C76" s="62"/>
      <c r="D76" s="62"/>
      <c r="E76" s="62"/>
      <c r="F76" s="63"/>
      <c r="G76" s="59"/>
      <c r="H76" s="59"/>
      <c r="I76" s="59"/>
      <c r="J76" s="59"/>
      <c r="K76" s="59"/>
      <c r="L76" s="59"/>
      <c r="M76" s="59"/>
      <c r="N76" s="59"/>
      <c r="O76" s="59"/>
      <c r="P76" s="59"/>
      <c r="Q76" s="59"/>
      <c r="R76" s="59"/>
      <c r="S76" s="59"/>
      <c r="T76" s="59"/>
      <c r="U76" s="59"/>
      <c r="V76" s="59"/>
      <c r="W76" s="59"/>
      <c r="X76" s="59"/>
      <c r="Y76" s="59"/>
      <c r="Z76" s="59"/>
      <c r="AA76" s="59"/>
      <c r="AB76" s="59"/>
      <c r="AC76" s="59"/>
      <c r="AD76" s="59"/>
      <c r="AE76" s="59"/>
      <c r="AF76" s="59"/>
      <c r="AG76" s="59"/>
      <c r="AH76" s="119"/>
      <c r="AI76" s="126"/>
      <c r="AJ76" s="119"/>
      <c r="AK76" s="119"/>
      <c r="AL76" s="119"/>
      <c r="AM76" s="119"/>
      <c r="AN76" s="119"/>
      <c r="AO76" s="119"/>
      <c r="AP76" s="119"/>
      <c r="AQ76" s="119"/>
      <c r="AR76" s="119"/>
      <c r="AS76" s="119"/>
      <c r="AT76" s="119"/>
      <c r="AU76" s="119"/>
      <c r="AV76" s="119"/>
      <c r="AW76" s="119"/>
      <c r="AX76" s="119"/>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row>
    <row r="77" spans="1:185" s="118" customFormat="1" ht="5" customHeight="1">
      <c r="A77" s="127"/>
      <c r="B77" s="128"/>
      <c r="C77" s="127"/>
      <c r="D77" s="115"/>
      <c r="E77" s="115"/>
      <c r="F77" s="115"/>
      <c r="G77" s="115"/>
      <c r="H77" s="115"/>
      <c r="I77" s="115"/>
      <c r="J77" s="115"/>
      <c r="K77" s="115"/>
      <c r="L77" s="115"/>
      <c r="M77" s="115"/>
      <c r="N77" s="115"/>
      <c r="O77" s="115"/>
      <c r="P77" s="115"/>
      <c r="Q77" s="115"/>
      <c r="R77" s="115"/>
      <c r="S77" s="115"/>
      <c r="T77" s="115"/>
      <c r="U77" s="115"/>
      <c r="V77" s="115"/>
      <c r="W77" s="115"/>
      <c r="X77" s="115"/>
      <c r="Y77" s="115"/>
      <c r="Z77" s="115"/>
      <c r="AA77" s="115"/>
      <c r="AB77" s="115"/>
      <c r="AC77" s="115"/>
      <c r="AD77" s="115"/>
      <c r="AE77" s="115"/>
      <c r="AF77" s="115"/>
      <c r="AG77" s="115"/>
      <c r="AH77" s="126"/>
      <c r="AI77" s="126"/>
    </row>
    <row r="78" spans="1:185" hidden="1"/>
    <row r="79" spans="1:185" hidden="1"/>
    <row r="80" spans="1:185"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sheetData>
  <dataConsolidate/>
  <phoneticPr fontId="0" type="noConversion"/>
  <dataValidations count="1">
    <dataValidation type="list" allowBlank="1" showInputMessage="1" sqref="D7:AG7" xr:uid="{00000000-0002-0000-0600-000000000000}">
      <formula1>ListRoute</formula1>
    </dataValidation>
  </dataValidations>
  <printOptions horizontalCentered="1" gridLinesSet="0"/>
  <pageMargins left="0.75" right="0.75" top="0.5" bottom="0.5" header="0" footer="0.25"/>
  <pageSetup scale="18" fitToHeight="2" orientation="portrait" r:id="rId1"/>
  <headerFooter alignWithMargins="0">
    <oddFooter>&amp;L&amp;F&amp;C&amp;A&amp;R&amp;D</oddFooter>
  </headerFooter>
  <ignoredErrors>
    <ignoredError sqref="D12:AG12 D22:AG22 D64:AG64 D46:AG48 D52:AG53" unlockedFormula="1"/>
    <ignoredError sqref="C31:C73 C75 C8:C29" formulaRange="1"/>
    <ignoredError sqref="C74" formula="1" formulaRange="1"/>
  </ignoredError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2">
    <pageSetUpPr fitToPage="1"/>
  </sheetPr>
  <dimension ref="A1:GC167"/>
  <sheetViews>
    <sheetView showGridLines="0" zoomScaleNormal="70" zoomScaleSheetLayoutView="75" workbookViewId="0">
      <pane xSplit="3" ySplit="7" topLeftCell="D8" activePane="bottomRight" state="frozen"/>
      <selection activeCell="C6" sqref="C6:D6"/>
      <selection pane="topRight" activeCell="C6" sqref="C6:D6"/>
      <selection pane="bottomLeft" activeCell="C6" sqref="C6:D6"/>
      <selection pane="bottomRight" activeCell="C6" sqref="C6:D6"/>
    </sheetView>
  </sheetViews>
  <sheetFormatPr baseColWidth="10" defaultColWidth="0" defaultRowHeight="12.75" customHeight="1" zeroHeight="1"/>
  <cols>
    <col min="1" max="1" width="12.33203125" style="30" customWidth="1"/>
    <col min="2" max="2" width="60.6640625" style="31" customWidth="1"/>
    <col min="3" max="3" width="13.6640625" style="30" customWidth="1"/>
    <col min="4" max="33" width="24.6640625" style="30" customWidth="1"/>
    <col min="34" max="34" width="1.6640625" style="66" customWidth="1"/>
    <col min="35" max="35" width="0.83203125" style="118" customWidth="1"/>
    <col min="36" max="16384" width="9.1640625" style="66" hidden="1"/>
  </cols>
  <sheetData>
    <row r="1" spans="1:185" ht="42" customHeight="1" thickBot="1">
      <c r="A1" s="112"/>
      <c r="B1" s="112" t="s">
        <v>1925</v>
      </c>
      <c r="C1" s="134"/>
      <c r="D1" s="134"/>
      <c r="E1" s="131"/>
      <c r="F1" s="132"/>
      <c r="G1" s="111"/>
      <c r="H1" s="111"/>
      <c r="I1" s="132"/>
      <c r="J1" s="111"/>
      <c r="K1" s="111"/>
      <c r="L1" s="111"/>
      <c r="M1" s="135"/>
      <c r="N1" s="136"/>
      <c r="O1" s="133"/>
      <c r="P1" s="132"/>
      <c r="Q1" s="132"/>
      <c r="R1" s="132"/>
      <c r="S1" s="132"/>
      <c r="T1" s="132"/>
      <c r="U1" s="132"/>
      <c r="V1" s="132"/>
      <c r="W1" s="132"/>
      <c r="X1" s="132"/>
      <c r="Y1" s="132"/>
      <c r="Z1" s="132"/>
      <c r="AA1" s="132"/>
      <c r="AB1" s="132"/>
      <c r="AC1" s="132"/>
      <c r="AD1" s="132"/>
      <c r="AE1" s="132"/>
      <c r="AF1" s="132"/>
      <c r="AG1" s="132"/>
      <c r="AH1" s="119"/>
      <c r="AI1" s="126"/>
    </row>
    <row r="2" spans="1:185" ht="14" thickTop="1">
      <c r="A2" s="22"/>
      <c r="B2" s="23"/>
      <c r="C2" s="23"/>
      <c r="D2" s="23"/>
      <c r="E2" s="23"/>
      <c r="F2" s="10"/>
      <c r="G2" s="10"/>
      <c r="H2" s="10"/>
      <c r="I2" s="10"/>
      <c r="J2" s="10"/>
      <c r="K2" s="10"/>
      <c r="L2" s="10"/>
      <c r="N2" s="31"/>
      <c r="O2" s="84"/>
      <c r="AH2" s="119"/>
      <c r="AI2" s="126"/>
    </row>
    <row r="3" spans="1:185" ht="13">
      <c r="A3" s="53" t="s">
        <v>1337</v>
      </c>
      <c r="B3" s="56"/>
      <c r="C3" s="55">
        <v>3</v>
      </c>
      <c r="D3" s="23"/>
      <c r="E3" s="119"/>
      <c r="F3" s="225"/>
      <c r="G3" s="10"/>
      <c r="J3" s="10"/>
      <c r="K3" s="10"/>
      <c r="L3" s="10"/>
      <c r="M3" s="32"/>
      <c r="N3" s="31"/>
      <c r="O3" s="84"/>
      <c r="AH3" s="119"/>
      <c r="AI3" s="126"/>
    </row>
    <row r="4" spans="1:185" ht="13">
      <c r="A4" s="12"/>
      <c r="B4" s="12"/>
      <c r="C4" s="12"/>
      <c r="D4" s="23"/>
      <c r="E4" s="23"/>
      <c r="F4" s="10"/>
      <c r="G4" s="10"/>
      <c r="H4" s="10"/>
      <c r="I4" s="10"/>
      <c r="J4" s="10"/>
      <c r="K4" s="10"/>
      <c r="L4" s="10"/>
      <c r="O4" s="26"/>
      <c r="AH4" s="119"/>
      <c r="AI4" s="126"/>
    </row>
    <row r="5" spans="1:185" ht="13">
      <c r="A5" s="54" t="s">
        <v>1338</v>
      </c>
      <c r="B5" s="56"/>
      <c r="C5" s="55">
        <f>DataCollectionYear-1</f>
        <v>2017</v>
      </c>
      <c r="D5" s="229" t="s">
        <v>2197</v>
      </c>
      <c r="E5" s="10"/>
      <c r="F5" s="10"/>
      <c r="G5" s="10"/>
      <c r="H5" s="10"/>
      <c r="I5" s="10"/>
      <c r="J5" s="10"/>
      <c r="K5" s="10"/>
      <c r="L5" s="10"/>
      <c r="O5" s="85"/>
      <c r="AH5" s="119"/>
      <c r="AI5" s="126"/>
    </row>
    <row r="6" spans="1:185" ht="13">
      <c r="A6" s="228"/>
      <c r="B6" s="11"/>
      <c r="D6" s="168" t="str">
        <f t="shared" ref="D6:AG6" ca="1" si="0">IF(D7 = "","",VLOOKUP(D7,ListRouteNCode,2,FALSE))</f>
        <v>NA</v>
      </c>
      <c r="E6" s="168" t="str">
        <f t="shared" si="0"/>
        <v/>
      </c>
      <c r="F6" s="168" t="str">
        <f t="shared" si="0"/>
        <v/>
      </c>
      <c r="G6" s="168" t="str">
        <f t="shared" si="0"/>
        <v/>
      </c>
      <c r="H6" s="168" t="str">
        <f t="shared" si="0"/>
        <v/>
      </c>
      <c r="I6" s="168" t="str">
        <f t="shared" si="0"/>
        <v/>
      </c>
      <c r="J6" s="168" t="str">
        <f t="shared" si="0"/>
        <v/>
      </c>
      <c r="K6" s="168" t="str">
        <f t="shared" si="0"/>
        <v/>
      </c>
      <c r="L6" s="168" t="str">
        <f t="shared" si="0"/>
        <v/>
      </c>
      <c r="M6" s="168" t="str">
        <f t="shared" si="0"/>
        <v/>
      </c>
      <c r="N6" s="168" t="str">
        <f t="shared" si="0"/>
        <v/>
      </c>
      <c r="O6" s="168" t="str">
        <f t="shared" si="0"/>
        <v/>
      </c>
      <c r="P6" s="168" t="str">
        <f t="shared" si="0"/>
        <v/>
      </c>
      <c r="Q6" s="168" t="str">
        <f t="shared" si="0"/>
        <v/>
      </c>
      <c r="R6" s="168" t="str">
        <f t="shared" si="0"/>
        <v/>
      </c>
      <c r="S6" s="168" t="str">
        <f t="shared" si="0"/>
        <v/>
      </c>
      <c r="T6" s="168" t="str">
        <f t="shared" si="0"/>
        <v/>
      </c>
      <c r="U6" s="168" t="str">
        <f t="shared" si="0"/>
        <v/>
      </c>
      <c r="V6" s="168" t="str">
        <f t="shared" si="0"/>
        <v/>
      </c>
      <c r="W6" s="168" t="str">
        <f t="shared" si="0"/>
        <v/>
      </c>
      <c r="X6" s="168" t="str">
        <f t="shared" si="0"/>
        <v/>
      </c>
      <c r="Y6" s="168" t="str">
        <f t="shared" si="0"/>
        <v/>
      </c>
      <c r="Z6" s="168" t="str">
        <f t="shared" si="0"/>
        <v/>
      </c>
      <c r="AA6" s="168" t="str">
        <f t="shared" si="0"/>
        <v/>
      </c>
      <c r="AB6" s="168" t="str">
        <f t="shared" si="0"/>
        <v/>
      </c>
      <c r="AC6" s="168" t="str">
        <f t="shared" si="0"/>
        <v/>
      </c>
      <c r="AD6" s="168" t="str">
        <f t="shared" si="0"/>
        <v/>
      </c>
      <c r="AE6" s="168" t="str">
        <f t="shared" si="0"/>
        <v/>
      </c>
      <c r="AF6" s="168" t="str">
        <f t="shared" si="0"/>
        <v/>
      </c>
      <c r="AG6" s="168" t="str">
        <f t="shared" si="0"/>
        <v/>
      </c>
      <c r="AH6" s="119"/>
      <c r="AI6" s="126"/>
    </row>
    <row r="7" spans="1:185" s="246" customFormat="1" ht="14">
      <c r="A7" s="242" t="s">
        <v>2207</v>
      </c>
      <c r="B7" s="243"/>
      <c r="C7" s="248" t="s">
        <v>1849</v>
      </c>
      <c r="D7" s="260" t="s">
        <v>1279</v>
      </c>
      <c r="E7" s="230"/>
      <c r="F7" s="230"/>
      <c r="G7" s="230"/>
      <c r="H7" s="230"/>
      <c r="I7" s="230"/>
      <c r="J7" s="230"/>
      <c r="K7" s="230"/>
      <c r="L7" s="230"/>
      <c r="M7" s="230"/>
      <c r="N7" s="230"/>
      <c r="O7" s="230"/>
      <c r="P7" s="230"/>
      <c r="Q7" s="230"/>
      <c r="R7" s="230"/>
      <c r="S7" s="230"/>
      <c r="T7" s="230"/>
      <c r="U7" s="230"/>
      <c r="V7" s="231"/>
      <c r="W7" s="231"/>
      <c r="X7" s="231"/>
      <c r="Y7" s="231"/>
      <c r="Z7" s="231"/>
      <c r="AA7" s="231"/>
      <c r="AB7" s="231"/>
      <c r="AC7" s="231"/>
      <c r="AD7" s="231"/>
      <c r="AE7" s="231"/>
      <c r="AF7" s="231"/>
      <c r="AG7" s="231"/>
      <c r="AH7" s="244"/>
      <c r="AI7" s="245"/>
      <c r="AJ7" s="244"/>
      <c r="AK7" s="244"/>
      <c r="AL7" s="244"/>
      <c r="AM7" s="244"/>
      <c r="AN7" s="244"/>
      <c r="AO7" s="244"/>
      <c r="AP7" s="244"/>
      <c r="AQ7" s="244"/>
      <c r="AR7" s="244"/>
      <c r="AS7" s="244"/>
      <c r="AT7" s="244"/>
      <c r="AU7" s="244"/>
      <c r="AV7" s="244"/>
      <c r="AW7" s="244"/>
      <c r="AX7" s="244"/>
      <c r="AY7" s="244"/>
      <c r="AZ7" s="244"/>
      <c r="BA7" s="244"/>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44"/>
      <c r="CD7" s="244"/>
      <c r="CE7" s="244"/>
      <c r="CF7" s="244"/>
      <c r="CG7" s="244"/>
      <c r="CH7" s="244"/>
      <c r="CI7" s="244"/>
      <c r="CJ7" s="244"/>
      <c r="CK7" s="244"/>
      <c r="CL7" s="244"/>
      <c r="CM7" s="244"/>
      <c r="CN7" s="244"/>
      <c r="CO7" s="244"/>
      <c r="CP7" s="244"/>
      <c r="CQ7" s="244"/>
      <c r="CR7" s="244"/>
      <c r="CS7" s="244"/>
      <c r="CT7" s="244"/>
      <c r="CU7" s="244"/>
      <c r="CV7" s="244"/>
      <c r="CW7" s="244"/>
      <c r="CX7" s="244"/>
      <c r="CY7" s="244"/>
      <c r="CZ7" s="244"/>
      <c r="DA7" s="244"/>
      <c r="DB7" s="244"/>
      <c r="DC7" s="244"/>
      <c r="DD7" s="244"/>
      <c r="DE7" s="244"/>
      <c r="DF7" s="244"/>
      <c r="DG7" s="244"/>
      <c r="DH7" s="244"/>
      <c r="DI7" s="244"/>
      <c r="DJ7" s="244"/>
      <c r="DK7" s="244"/>
      <c r="DL7" s="244"/>
      <c r="DM7" s="244"/>
      <c r="DN7" s="244"/>
      <c r="DO7" s="244"/>
      <c r="DP7" s="244"/>
      <c r="DQ7" s="244"/>
      <c r="DR7" s="244"/>
      <c r="DS7" s="244"/>
      <c r="DT7" s="244"/>
      <c r="DU7" s="244"/>
      <c r="DV7" s="244"/>
      <c r="DW7" s="244"/>
      <c r="DX7" s="244"/>
      <c r="DY7" s="244"/>
      <c r="DZ7" s="244"/>
      <c r="EA7" s="244"/>
      <c r="EB7" s="244"/>
      <c r="EC7" s="244"/>
      <c r="ED7" s="244"/>
      <c r="EE7" s="244"/>
      <c r="EF7" s="244"/>
      <c r="EG7" s="244"/>
      <c r="EH7" s="244"/>
      <c r="EI7" s="244"/>
      <c r="EJ7" s="244"/>
      <c r="EK7" s="244"/>
      <c r="EL7" s="244"/>
      <c r="EM7" s="244"/>
      <c r="EN7" s="244"/>
      <c r="EO7" s="244"/>
      <c r="EP7" s="244"/>
      <c r="EQ7" s="244"/>
      <c r="ER7" s="244"/>
      <c r="ES7" s="244"/>
      <c r="ET7" s="244"/>
      <c r="EU7" s="244"/>
      <c r="EV7" s="244"/>
      <c r="EW7" s="244"/>
      <c r="EX7" s="244"/>
      <c r="EY7" s="244"/>
      <c r="EZ7" s="244"/>
      <c r="FA7" s="244"/>
      <c r="FB7" s="244"/>
      <c r="FC7" s="244"/>
      <c r="FD7" s="244"/>
      <c r="FE7" s="244"/>
      <c r="FF7" s="244"/>
      <c r="FG7" s="244"/>
      <c r="FH7" s="244"/>
      <c r="FI7" s="244"/>
      <c r="FJ7" s="244"/>
      <c r="FK7" s="244"/>
      <c r="FL7" s="244"/>
      <c r="FM7" s="244"/>
      <c r="FN7" s="244"/>
      <c r="FO7" s="244"/>
      <c r="FP7" s="244"/>
      <c r="FQ7" s="244"/>
      <c r="FR7" s="244"/>
      <c r="FS7" s="244"/>
      <c r="FT7" s="244"/>
      <c r="FU7" s="244"/>
      <c r="FV7" s="244"/>
      <c r="FW7" s="244"/>
      <c r="FX7" s="244"/>
      <c r="FY7" s="244"/>
      <c r="FZ7" s="244"/>
      <c r="GA7" s="244"/>
      <c r="GB7" s="244"/>
      <c r="GC7" s="244"/>
    </row>
    <row r="8" spans="1:185" s="123" customFormat="1" ht="13">
      <c r="A8" s="14" t="s">
        <v>1798</v>
      </c>
      <c r="B8" s="15" t="s">
        <v>2085</v>
      </c>
      <c r="C8" s="206">
        <f>SUM(E8:AG8)</f>
        <v>0</v>
      </c>
      <c r="D8" s="262"/>
      <c r="E8" s="208"/>
      <c r="F8" s="208"/>
      <c r="G8" s="208"/>
      <c r="H8" s="208"/>
      <c r="I8" s="208"/>
      <c r="J8" s="208"/>
      <c r="K8" s="208"/>
      <c r="L8" s="208"/>
      <c r="M8" s="208"/>
      <c r="N8" s="208"/>
      <c r="O8" s="208"/>
      <c r="P8" s="208"/>
      <c r="Q8" s="208"/>
      <c r="R8" s="208"/>
      <c r="S8" s="208"/>
      <c r="T8" s="208"/>
      <c r="U8" s="208"/>
      <c r="V8" s="208"/>
      <c r="W8" s="208"/>
      <c r="X8" s="208"/>
      <c r="Y8" s="208"/>
      <c r="Z8" s="208"/>
      <c r="AA8" s="208"/>
      <c r="AB8" s="208"/>
      <c r="AC8" s="208"/>
      <c r="AD8" s="208"/>
      <c r="AE8" s="208"/>
      <c r="AF8" s="208"/>
      <c r="AG8" s="208"/>
      <c r="AH8" s="172"/>
      <c r="AI8" s="173"/>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2"/>
      <c r="BK8" s="122"/>
      <c r="BL8" s="122"/>
      <c r="BM8" s="122"/>
      <c r="BN8" s="122"/>
      <c r="BO8" s="122"/>
      <c r="BP8" s="122"/>
      <c r="BQ8" s="122"/>
      <c r="BR8" s="122"/>
      <c r="BS8" s="122"/>
      <c r="BT8" s="122"/>
      <c r="BU8" s="122"/>
      <c r="BV8" s="122"/>
      <c r="BW8" s="122"/>
      <c r="BX8" s="122"/>
      <c r="BY8" s="122"/>
      <c r="BZ8" s="122"/>
      <c r="CA8" s="122"/>
      <c r="CB8" s="122"/>
      <c r="CC8" s="122"/>
      <c r="CD8" s="122"/>
      <c r="CE8" s="122"/>
      <c r="CF8" s="122"/>
      <c r="CG8" s="122"/>
      <c r="CH8" s="122"/>
      <c r="CI8" s="122"/>
      <c r="CJ8" s="122"/>
      <c r="CK8" s="122"/>
      <c r="CL8" s="122"/>
      <c r="CM8" s="122"/>
      <c r="CN8" s="122"/>
      <c r="CO8" s="122"/>
      <c r="CP8" s="122"/>
      <c r="CQ8" s="122"/>
      <c r="CR8" s="122"/>
      <c r="CS8" s="122"/>
      <c r="CT8" s="122"/>
      <c r="CU8" s="122"/>
      <c r="CV8" s="122"/>
      <c r="CW8" s="122"/>
      <c r="CX8" s="122"/>
      <c r="CY8" s="122"/>
      <c r="CZ8" s="122"/>
      <c r="DA8" s="122"/>
      <c r="DB8" s="122"/>
      <c r="DC8" s="122"/>
      <c r="DD8" s="122"/>
      <c r="DE8" s="122"/>
      <c r="DF8" s="122"/>
      <c r="DG8" s="122"/>
      <c r="DH8" s="122"/>
      <c r="DI8" s="122"/>
      <c r="DJ8" s="122"/>
      <c r="DK8" s="122"/>
      <c r="DL8" s="122"/>
      <c r="DM8" s="122"/>
      <c r="DN8" s="122"/>
      <c r="DO8" s="122"/>
      <c r="DP8" s="122"/>
      <c r="DQ8" s="122"/>
      <c r="DR8" s="122"/>
      <c r="DS8" s="122"/>
      <c r="DT8" s="122"/>
      <c r="DU8" s="122"/>
      <c r="DV8" s="122"/>
      <c r="DW8" s="122"/>
      <c r="DX8" s="122"/>
      <c r="DY8" s="122"/>
      <c r="DZ8" s="122"/>
      <c r="EA8" s="122"/>
      <c r="EB8" s="122"/>
      <c r="EC8" s="122"/>
      <c r="ED8" s="122"/>
      <c r="EE8" s="122"/>
      <c r="EF8" s="122"/>
      <c r="EG8" s="122"/>
      <c r="EH8" s="122"/>
      <c r="EI8" s="122"/>
      <c r="EJ8" s="122"/>
      <c r="EK8" s="122"/>
      <c r="EL8" s="122"/>
      <c r="EM8" s="122"/>
      <c r="EN8" s="122"/>
      <c r="EO8" s="122"/>
      <c r="EP8" s="122"/>
      <c r="EQ8" s="122"/>
      <c r="ER8" s="122"/>
      <c r="ES8" s="122"/>
      <c r="ET8" s="122"/>
      <c r="EU8" s="122"/>
      <c r="EV8" s="122"/>
      <c r="EW8" s="122"/>
      <c r="EX8" s="122"/>
      <c r="EY8" s="122"/>
      <c r="EZ8" s="122"/>
      <c r="FA8" s="122"/>
      <c r="FB8" s="122"/>
      <c r="FC8" s="122"/>
      <c r="FD8" s="122"/>
      <c r="FE8" s="122"/>
      <c r="FF8" s="122"/>
      <c r="FG8" s="122"/>
      <c r="FH8" s="122"/>
      <c r="FI8" s="122"/>
      <c r="FJ8" s="122"/>
      <c r="FK8" s="122"/>
      <c r="FL8" s="122"/>
      <c r="FM8" s="122"/>
      <c r="FN8" s="122"/>
      <c r="FO8" s="122"/>
      <c r="FP8" s="122"/>
      <c r="FQ8" s="122"/>
      <c r="FR8" s="122"/>
      <c r="FS8" s="122"/>
      <c r="FT8" s="122"/>
      <c r="FU8" s="122"/>
      <c r="FV8" s="122"/>
      <c r="FW8" s="122"/>
      <c r="FX8" s="122"/>
      <c r="FY8" s="122"/>
      <c r="FZ8" s="122"/>
      <c r="GA8" s="122"/>
      <c r="GB8" s="122"/>
      <c r="GC8" s="122"/>
    </row>
    <row r="9" spans="1:185" s="121" customFormat="1" ht="13">
      <c r="A9" s="14" t="s">
        <v>1799</v>
      </c>
      <c r="B9" s="15" t="s">
        <v>1800</v>
      </c>
      <c r="C9" s="206">
        <f>SUM(E9:AG9)</f>
        <v>0</v>
      </c>
      <c r="D9" s="261"/>
      <c r="E9" s="209"/>
      <c r="F9" s="209"/>
      <c r="G9" s="209"/>
      <c r="H9" s="209"/>
      <c r="I9" s="209"/>
      <c r="J9" s="209"/>
      <c r="K9" s="210"/>
      <c r="L9" s="210"/>
      <c r="M9" s="210"/>
      <c r="N9" s="210"/>
      <c r="O9" s="210"/>
      <c r="P9" s="210"/>
      <c r="Q9" s="210"/>
      <c r="R9" s="210"/>
      <c r="S9" s="210"/>
      <c r="T9" s="210"/>
      <c r="U9" s="210"/>
      <c r="V9" s="210"/>
      <c r="W9" s="210"/>
      <c r="X9" s="210"/>
      <c r="Y9" s="210"/>
      <c r="Z9" s="210"/>
      <c r="AA9" s="210"/>
      <c r="AB9" s="210"/>
      <c r="AC9" s="210"/>
      <c r="AD9" s="210"/>
      <c r="AE9" s="210"/>
      <c r="AF9" s="210"/>
      <c r="AG9" s="210"/>
      <c r="AH9" s="170"/>
      <c r="AI9" s="171"/>
      <c r="AJ9" s="120"/>
      <c r="AK9" s="120"/>
      <c r="AL9" s="120"/>
      <c r="AM9" s="120"/>
      <c r="AN9" s="120"/>
      <c r="AO9" s="120"/>
      <c r="AP9" s="120"/>
      <c r="AQ9" s="120"/>
      <c r="AR9" s="120"/>
      <c r="AS9" s="120"/>
      <c r="AT9" s="120"/>
      <c r="AU9" s="120"/>
      <c r="AV9" s="120"/>
      <c r="AW9" s="120"/>
      <c r="AX9" s="120"/>
      <c r="AY9" s="120"/>
      <c r="AZ9" s="120"/>
      <c r="BA9" s="120"/>
      <c r="BB9" s="120"/>
      <c r="BC9" s="120"/>
      <c r="BD9" s="120"/>
      <c r="BE9" s="120"/>
      <c r="BF9" s="120"/>
      <c r="BG9" s="120"/>
      <c r="BH9" s="120"/>
      <c r="BI9" s="120"/>
      <c r="BJ9" s="120"/>
      <c r="BK9" s="120"/>
      <c r="BL9" s="120"/>
      <c r="BM9" s="120"/>
      <c r="BN9" s="120"/>
      <c r="BO9" s="120"/>
      <c r="BP9" s="120"/>
      <c r="BQ9" s="120"/>
      <c r="BR9" s="120"/>
      <c r="BS9" s="120"/>
      <c r="BT9" s="120"/>
      <c r="BU9" s="120"/>
      <c r="BV9" s="120"/>
      <c r="BW9" s="120"/>
      <c r="BX9" s="120"/>
      <c r="BY9" s="120"/>
      <c r="BZ9" s="120"/>
      <c r="CA9" s="120"/>
      <c r="CB9" s="120"/>
      <c r="CC9" s="120"/>
      <c r="CD9" s="120"/>
      <c r="CE9" s="120"/>
      <c r="CF9" s="120"/>
      <c r="CG9" s="120"/>
      <c r="CH9" s="120"/>
      <c r="CI9" s="120"/>
      <c r="CJ9" s="120"/>
      <c r="CK9" s="120"/>
      <c r="CL9" s="120"/>
      <c r="CM9" s="120"/>
      <c r="CN9" s="120"/>
      <c r="CO9" s="120"/>
      <c r="CP9" s="120"/>
      <c r="CQ9" s="120"/>
      <c r="CR9" s="120"/>
      <c r="CS9" s="120"/>
      <c r="CT9" s="120"/>
      <c r="CU9" s="120"/>
      <c r="CV9" s="120"/>
      <c r="CW9" s="120"/>
      <c r="CX9" s="120"/>
      <c r="CY9" s="120"/>
      <c r="CZ9" s="120"/>
      <c r="DA9" s="120"/>
      <c r="DB9" s="120"/>
      <c r="DC9" s="120"/>
      <c r="DD9" s="120"/>
      <c r="DE9" s="120"/>
      <c r="DF9" s="120"/>
      <c r="DG9" s="120"/>
      <c r="DH9" s="120"/>
      <c r="DI9" s="120"/>
      <c r="DJ9" s="120"/>
      <c r="DK9" s="120"/>
      <c r="DL9" s="120"/>
      <c r="DM9" s="120"/>
      <c r="DN9" s="120"/>
      <c r="DO9" s="120"/>
      <c r="DP9" s="120"/>
      <c r="DQ9" s="120"/>
      <c r="DR9" s="120"/>
      <c r="DS9" s="120"/>
      <c r="DT9" s="120"/>
      <c r="DU9" s="120"/>
      <c r="DV9" s="120"/>
      <c r="DW9" s="120"/>
      <c r="DX9" s="120"/>
      <c r="DY9" s="120"/>
      <c r="DZ9" s="120"/>
      <c r="EA9" s="120"/>
      <c r="EB9" s="120"/>
      <c r="EC9" s="120"/>
      <c r="ED9" s="120"/>
      <c r="EE9" s="120"/>
      <c r="EF9" s="120"/>
      <c r="EG9" s="120"/>
      <c r="EH9" s="120"/>
      <c r="EI9" s="120"/>
      <c r="EJ9" s="120"/>
      <c r="EK9" s="120"/>
      <c r="EL9" s="120"/>
      <c r="EM9" s="120"/>
      <c r="EN9" s="120"/>
      <c r="EO9" s="120"/>
      <c r="EP9" s="120"/>
      <c r="EQ9" s="120"/>
      <c r="ER9" s="120"/>
      <c r="ES9" s="120"/>
      <c r="ET9" s="120"/>
      <c r="EU9" s="120"/>
      <c r="EV9" s="120"/>
      <c r="EW9" s="120"/>
      <c r="EX9" s="120"/>
      <c r="EY9" s="120"/>
      <c r="EZ9" s="120"/>
      <c r="FA9" s="120"/>
      <c r="FB9" s="120"/>
      <c r="FC9" s="120"/>
      <c r="FD9" s="120"/>
      <c r="FE9" s="120"/>
      <c r="FF9" s="120"/>
      <c r="FG9" s="120"/>
      <c r="FH9" s="120"/>
      <c r="FI9" s="120"/>
      <c r="FJ9" s="120"/>
      <c r="FK9" s="120"/>
      <c r="FL9" s="120"/>
      <c r="FM9" s="120"/>
      <c r="FN9" s="120"/>
      <c r="FO9" s="120"/>
      <c r="FP9" s="120"/>
      <c r="FQ9" s="120"/>
      <c r="FR9" s="120"/>
      <c r="FS9" s="120"/>
      <c r="FT9" s="120"/>
      <c r="FU9" s="120"/>
      <c r="FV9" s="120"/>
      <c r="FW9" s="120"/>
      <c r="FX9" s="120"/>
      <c r="FY9" s="120"/>
      <c r="FZ9" s="120"/>
      <c r="GA9" s="120"/>
      <c r="GB9" s="120"/>
      <c r="GC9" s="120"/>
    </row>
    <row r="10" spans="1:185" s="121" customFormat="1" ht="13">
      <c r="A10" s="14" t="s">
        <v>1801</v>
      </c>
      <c r="B10" s="15" t="s">
        <v>1802</v>
      </c>
      <c r="C10" s="206">
        <f>SUM(E10:AG10)</f>
        <v>0</v>
      </c>
      <c r="D10" s="261"/>
      <c r="E10" s="209"/>
      <c r="F10" s="209"/>
      <c r="G10" s="209"/>
      <c r="H10" s="209"/>
      <c r="I10" s="209"/>
      <c r="J10" s="209"/>
      <c r="K10" s="210"/>
      <c r="L10" s="210"/>
      <c r="M10" s="210"/>
      <c r="N10" s="210"/>
      <c r="O10" s="210"/>
      <c r="P10" s="210"/>
      <c r="Q10" s="210"/>
      <c r="R10" s="210"/>
      <c r="S10" s="210"/>
      <c r="T10" s="210"/>
      <c r="U10" s="210"/>
      <c r="V10" s="210"/>
      <c r="W10" s="210"/>
      <c r="X10" s="210"/>
      <c r="Y10" s="210"/>
      <c r="Z10" s="210"/>
      <c r="AA10" s="210"/>
      <c r="AB10" s="210"/>
      <c r="AC10" s="210"/>
      <c r="AD10" s="210"/>
      <c r="AE10" s="210"/>
      <c r="AF10" s="210"/>
      <c r="AG10" s="210"/>
      <c r="AH10" s="170"/>
      <c r="AI10" s="171"/>
      <c r="AJ10" s="120"/>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BY10" s="120"/>
      <c r="BZ10" s="120"/>
      <c r="CA10" s="120"/>
      <c r="CB10" s="120"/>
      <c r="CC10" s="120"/>
      <c r="CD10" s="120"/>
      <c r="CE10" s="120"/>
      <c r="CF10" s="120"/>
      <c r="CG10" s="120"/>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c r="EU10" s="120"/>
      <c r="EV10" s="120"/>
      <c r="EW10" s="120"/>
      <c r="EX10" s="120"/>
      <c r="EY10" s="120"/>
      <c r="EZ10" s="120"/>
      <c r="FA10" s="120"/>
      <c r="FB10" s="120"/>
      <c r="FC10" s="120"/>
      <c r="FD10" s="120"/>
      <c r="FE10" s="120"/>
      <c r="FF10" s="120"/>
      <c r="FG10" s="120"/>
      <c r="FH10" s="120"/>
      <c r="FI10" s="120"/>
      <c r="FJ10" s="120"/>
      <c r="FK10" s="120"/>
      <c r="FL10" s="120"/>
      <c r="FM10" s="120"/>
      <c r="FN10" s="120"/>
      <c r="FO10" s="120"/>
      <c r="FP10" s="120"/>
      <c r="FQ10" s="120"/>
      <c r="FR10" s="120"/>
      <c r="FS10" s="120"/>
      <c r="FT10" s="120"/>
      <c r="FU10" s="120"/>
      <c r="FV10" s="120"/>
      <c r="FW10" s="120"/>
      <c r="FX10" s="120"/>
      <c r="FY10" s="120"/>
      <c r="FZ10" s="120"/>
      <c r="GA10" s="120"/>
      <c r="GB10" s="120"/>
      <c r="GC10" s="120"/>
    </row>
    <row r="11" spans="1:185" s="121" customFormat="1" ht="13">
      <c r="A11" s="14" t="s">
        <v>1803</v>
      </c>
      <c r="B11" s="15" t="s">
        <v>1804</v>
      </c>
      <c r="C11" s="206">
        <f>SUM(E11:AG11)</f>
        <v>0</v>
      </c>
      <c r="D11" s="261"/>
      <c r="E11" s="209"/>
      <c r="F11" s="209"/>
      <c r="G11" s="209"/>
      <c r="H11" s="209"/>
      <c r="I11" s="209"/>
      <c r="J11" s="209"/>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180"/>
      <c r="AI11" s="181"/>
      <c r="AJ11" s="129"/>
      <c r="AK11" s="129"/>
      <c r="AL11" s="129"/>
      <c r="AM11" s="129"/>
      <c r="AN11" s="129"/>
      <c r="AO11" s="129"/>
      <c r="AP11" s="129"/>
      <c r="AQ11" s="129"/>
      <c r="AR11" s="129"/>
      <c r="AS11" s="129"/>
      <c r="AT11" s="129"/>
      <c r="AU11" s="129"/>
      <c r="AV11" s="129"/>
      <c r="AW11" s="129"/>
      <c r="AX11" s="129"/>
      <c r="AY11" s="129"/>
      <c r="AZ11" s="129"/>
      <c r="BA11" s="129"/>
      <c r="BB11" s="129"/>
      <c r="BC11" s="129"/>
      <c r="BD11" s="129"/>
      <c r="BE11" s="129"/>
      <c r="BF11" s="129"/>
      <c r="BG11" s="129"/>
      <c r="BH11" s="129"/>
      <c r="BI11" s="129"/>
      <c r="BJ11" s="129"/>
      <c r="BK11" s="129"/>
      <c r="BL11" s="129"/>
      <c r="BM11" s="129"/>
      <c r="BN11" s="129"/>
      <c r="BO11" s="129"/>
      <c r="BP11" s="129"/>
      <c r="BQ11" s="129"/>
      <c r="BR11" s="129"/>
      <c r="BS11" s="129"/>
      <c r="BT11" s="129"/>
      <c r="BU11" s="129"/>
      <c r="BV11" s="129"/>
      <c r="BW11" s="129"/>
      <c r="BX11" s="129"/>
      <c r="BY11" s="129"/>
      <c r="BZ11" s="129"/>
      <c r="CA11" s="129"/>
      <c r="CB11" s="129"/>
      <c r="CC11" s="129"/>
      <c r="CD11" s="129"/>
      <c r="CE11" s="129"/>
      <c r="CF11" s="129"/>
      <c r="CG11" s="129"/>
      <c r="CH11" s="129"/>
      <c r="CI11" s="129"/>
      <c r="CJ11" s="129"/>
      <c r="CK11" s="129"/>
      <c r="CL11" s="129"/>
      <c r="CM11" s="129"/>
      <c r="CN11" s="129"/>
      <c r="CO11" s="129"/>
      <c r="CP11" s="129"/>
      <c r="CQ11" s="129"/>
      <c r="CR11" s="129"/>
      <c r="CS11" s="129"/>
      <c r="CT11" s="129"/>
      <c r="CU11" s="129"/>
      <c r="CV11" s="129"/>
      <c r="CW11" s="129"/>
      <c r="CX11" s="129"/>
      <c r="CY11" s="129"/>
      <c r="CZ11" s="129"/>
      <c r="DA11" s="129"/>
      <c r="DB11" s="129"/>
      <c r="DC11" s="129"/>
      <c r="DD11" s="129"/>
      <c r="DE11" s="129"/>
      <c r="DF11" s="129"/>
      <c r="DG11" s="129"/>
      <c r="DH11" s="129"/>
      <c r="DI11" s="129"/>
      <c r="DJ11" s="129"/>
      <c r="DK11" s="129"/>
      <c r="DL11" s="129"/>
      <c r="DM11" s="129"/>
      <c r="DN11" s="129"/>
      <c r="DO11" s="129"/>
      <c r="DP11" s="129"/>
      <c r="DQ11" s="129"/>
      <c r="DR11" s="129"/>
      <c r="DS11" s="129"/>
      <c r="DT11" s="129"/>
      <c r="DU11" s="129"/>
      <c r="DV11" s="129"/>
      <c r="DW11" s="129"/>
      <c r="DX11" s="129"/>
      <c r="DY11" s="129"/>
      <c r="DZ11" s="129"/>
      <c r="EA11" s="129"/>
      <c r="EB11" s="129"/>
      <c r="EC11" s="129"/>
      <c r="ED11" s="129"/>
      <c r="EE11" s="129"/>
      <c r="EF11" s="129"/>
      <c r="EG11" s="129"/>
      <c r="EH11" s="129"/>
      <c r="EI11" s="129"/>
      <c r="EJ11" s="129"/>
      <c r="EK11" s="129"/>
      <c r="EL11" s="129"/>
      <c r="EM11" s="129"/>
      <c r="EN11" s="129"/>
      <c r="EO11" s="129"/>
      <c r="EP11" s="129"/>
      <c r="EQ11" s="129"/>
      <c r="ER11" s="129"/>
      <c r="ES11" s="129"/>
      <c r="ET11" s="129"/>
      <c r="EU11" s="129"/>
      <c r="EV11" s="129"/>
      <c r="EW11" s="129"/>
      <c r="EX11" s="129"/>
      <c r="EY11" s="129"/>
      <c r="EZ11" s="129"/>
      <c r="FA11" s="129"/>
      <c r="FB11" s="129"/>
      <c r="FC11" s="129"/>
      <c r="FD11" s="129"/>
      <c r="FE11" s="129"/>
      <c r="FF11" s="129"/>
      <c r="FG11" s="129"/>
      <c r="FH11" s="129"/>
      <c r="FI11" s="129"/>
      <c r="FJ11" s="129"/>
      <c r="FK11" s="129"/>
      <c r="FL11" s="129"/>
      <c r="FM11" s="129"/>
      <c r="FN11" s="129"/>
      <c r="FO11" s="129"/>
      <c r="FP11" s="129"/>
      <c r="FQ11" s="129"/>
      <c r="FR11" s="129"/>
      <c r="FS11" s="129"/>
      <c r="FT11" s="129"/>
      <c r="FU11" s="129"/>
      <c r="FV11" s="129"/>
      <c r="FW11" s="129"/>
      <c r="FX11" s="129"/>
      <c r="FY11" s="129"/>
      <c r="FZ11" s="129"/>
      <c r="GA11" s="129"/>
      <c r="GB11" s="129"/>
      <c r="GC11" s="129"/>
    </row>
    <row r="12" spans="1:185" s="123" customFormat="1" ht="13">
      <c r="A12" s="20" t="s">
        <v>1805</v>
      </c>
      <c r="B12" s="16" t="s">
        <v>1964</v>
      </c>
      <c r="C12" s="204">
        <f>SUM(E12:AG12)</f>
        <v>0</v>
      </c>
      <c r="D12" s="236">
        <f t="shared" ref="D12:AG12" si="1">D8+D9+D10+D11</f>
        <v>0</v>
      </c>
      <c r="E12" s="204">
        <f t="shared" si="1"/>
        <v>0</v>
      </c>
      <c r="F12" s="204">
        <f t="shared" si="1"/>
        <v>0</v>
      </c>
      <c r="G12" s="204">
        <f t="shared" si="1"/>
        <v>0</v>
      </c>
      <c r="H12" s="204">
        <f t="shared" si="1"/>
        <v>0</v>
      </c>
      <c r="I12" s="204">
        <f t="shared" si="1"/>
        <v>0</v>
      </c>
      <c r="J12" s="204">
        <f t="shared" si="1"/>
        <v>0</v>
      </c>
      <c r="K12" s="204">
        <f t="shared" si="1"/>
        <v>0</v>
      </c>
      <c r="L12" s="204">
        <f t="shared" si="1"/>
        <v>0</v>
      </c>
      <c r="M12" s="204">
        <f t="shared" si="1"/>
        <v>0</v>
      </c>
      <c r="N12" s="204">
        <f t="shared" si="1"/>
        <v>0</v>
      </c>
      <c r="O12" s="204">
        <f t="shared" si="1"/>
        <v>0</v>
      </c>
      <c r="P12" s="204">
        <f t="shared" si="1"/>
        <v>0</v>
      </c>
      <c r="Q12" s="204">
        <f t="shared" si="1"/>
        <v>0</v>
      </c>
      <c r="R12" s="204">
        <f t="shared" si="1"/>
        <v>0</v>
      </c>
      <c r="S12" s="204">
        <f t="shared" si="1"/>
        <v>0</v>
      </c>
      <c r="T12" s="204">
        <f t="shared" si="1"/>
        <v>0</v>
      </c>
      <c r="U12" s="204">
        <f t="shared" si="1"/>
        <v>0</v>
      </c>
      <c r="V12" s="204">
        <f t="shared" si="1"/>
        <v>0</v>
      </c>
      <c r="W12" s="204">
        <f t="shared" si="1"/>
        <v>0</v>
      </c>
      <c r="X12" s="204">
        <f t="shared" si="1"/>
        <v>0</v>
      </c>
      <c r="Y12" s="204">
        <f t="shared" si="1"/>
        <v>0</v>
      </c>
      <c r="Z12" s="204">
        <f t="shared" si="1"/>
        <v>0</v>
      </c>
      <c r="AA12" s="204">
        <f t="shared" si="1"/>
        <v>0</v>
      </c>
      <c r="AB12" s="204">
        <f t="shared" si="1"/>
        <v>0</v>
      </c>
      <c r="AC12" s="204">
        <f t="shared" si="1"/>
        <v>0</v>
      </c>
      <c r="AD12" s="204">
        <f t="shared" si="1"/>
        <v>0</v>
      </c>
      <c r="AE12" s="204">
        <f t="shared" si="1"/>
        <v>0</v>
      </c>
      <c r="AF12" s="204">
        <f t="shared" si="1"/>
        <v>0</v>
      </c>
      <c r="AG12" s="204">
        <f t="shared" si="1"/>
        <v>0</v>
      </c>
      <c r="AH12" s="172"/>
      <c r="AI12" s="173"/>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c r="DA12" s="122"/>
      <c r="DB12" s="122"/>
      <c r="DC12" s="122"/>
      <c r="DD12" s="122"/>
      <c r="DE12" s="122"/>
      <c r="DF12" s="122"/>
      <c r="DG12" s="122"/>
      <c r="DH12" s="122"/>
      <c r="DI12" s="122"/>
      <c r="DJ12" s="122"/>
      <c r="DK12" s="122"/>
      <c r="DL12" s="122"/>
      <c r="DM12" s="122"/>
      <c r="DN12" s="122"/>
      <c r="DO12" s="122"/>
      <c r="DP12" s="122"/>
      <c r="DQ12" s="122"/>
      <c r="DR12" s="122"/>
      <c r="DS12" s="122"/>
      <c r="DT12" s="122"/>
      <c r="DU12" s="122"/>
      <c r="DV12" s="122"/>
      <c r="DW12" s="122"/>
      <c r="DX12" s="122"/>
      <c r="DY12" s="122"/>
      <c r="DZ12" s="122"/>
      <c r="EA12" s="122"/>
      <c r="EB12" s="122"/>
      <c r="EC12" s="122"/>
      <c r="ED12" s="122"/>
      <c r="EE12" s="122"/>
      <c r="EF12" s="122"/>
      <c r="EG12" s="122"/>
      <c r="EH12" s="122"/>
      <c r="EI12" s="122"/>
      <c r="EJ12" s="122"/>
      <c r="EK12" s="122"/>
      <c r="EL12" s="122"/>
      <c r="EM12" s="122"/>
      <c r="EN12" s="122"/>
      <c r="EO12" s="122"/>
      <c r="EP12" s="122"/>
      <c r="EQ12" s="122"/>
      <c r="ER12" s="122"/>
      <c r="ES12" s="122"/>
      <c r="ET12" s="122"/>
      <c r="EU12" s="122"/>
      <c r="EV12" s="122"/>
      <c r="EW12" s="122"/>
      <c r="EX12" s="122"/>
      <c r="EY12" s="122"/>
      <c r="EZ12" s="122"/>
      <c r="FA12" s="122"/>
      <c r="FB12" s="122"/>
      <c r="FC12" s="122"/>
      <c r="FD12" s="122"/>
      <c r="FE12" s="122"/>
      <c r="FF12" s="122"/>
      <c r="FG12" s="122"/>
      <c r="FH12" s="122"/>
      <c r="FI12" s="122"/>
      <c r="FJ12" s="122"/>
      <c r="FK12" s="122"/>
      <c r="FL12" s="122"/>
      <c r="FM12" s="122"/>
      <c r="FN12" s="122"/>
      <c r="FO12" s="122"/>
      <c r="FP12" s="122"/>
      <c r="FQ12" s="122"/>
      <c r="FR12" s="122"/>
      <c r="FS12" s="122"/>
      <c r="FT12" s="122"/>
      <c r="FU12" s="122"/>
      <c r="FV12" s="122"/>
      <c r="FW12" s="122"/>
      <c r="FX12" s="122"/>
      <c r="FY12" s="122"/>
      <c r="FZ12" s="122"/>
      <c r="GA12" s="122"/>
      <c r="GB12" s="122"/>
      <c r="GC12" s="122"/>
    </row>
    <row r="13" spans="1:185" s="121" customFormat="1" ht="13">
      <c r="A13" s="18"/>
      <c r="B13" s="29"/>
      <c r="C13" s="207"/>
      <c r="D13" s="262"/>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170"/>
      <c r="AI13" s="171"/>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c r="EU13" s="120"/>
      <c r="EV13" s="120"/>
      <c r="EW13" s="120"/>
      <c r="EX13" s="120"/>
      <c r="EY13" s="120"/>
      <c r="EZ13" s="120"/>
      <c r="FA13" s="120"/>
      <c r="FB13" s="120"/>
      <c r="FC13" s="120"/>
      <c r="FD13" s="120"/>
      <c r="FE13" s="120"/>
      <c r="FF13" s="120"/>
      <c r="FG13" s="120"/>
      <c r="FH13" s="120"/>
      <c r="FI13" s="120"/>
      <c r="FJ13" s="120"/>
      <c r="FK13" s="120"/>
      <c r="FL13" s="120"/>
      <c r="FM13" s="120"/>
      <c r="FN13" s="120"/>
      <c r="FO13" s="120"/>
      <c r="FP13" s="120"/>
      <c r="FQ13" s="120"/>
      <c r="FR13" s="120"/>
      <c r="FS13" s="120"/>
      <c r="FT13" s="120"/>
      <c r="FU13" s="120"/>
      <c r="FV13" s="120"/>
      <c r="FW13" s="120"/>
      <c r="FX13" s="120"/>
      <c r="FY13" s="120"/>
      <c r="FZ13" s="120"/>
      <c r="GA13" s="120"/>
      <c r="GB13" s="120"/>
      <c r="GC13" s="120"/>
    </row>
    <row r="14" spans="1:185" s="121" customFormat="1" ht="13">
      <c r="A14" s="14" t="s">
        <v>1806</v>
      </c>
      <c r="B14" s="15" t="s">
        <v>1807</v>
      </c>
      <c r="C14" s="206">
        <f t="shared" ref="C14:C22" si="2">SUM(E14:AG14)</f>
        <v>0</v>
      </c>
      <c r="D14" s="261"/>
      <c r="E14" s="209"/>
      <c r="F14" s="209"/>
      <c r="G14" s="209"/>
      <c r="H14" s="209"/>
      <c r="I14" s="209"/>
      <c r="J14" s="209"/>
      <c r="K14" s="210"/>
      <c r="L14" s="210"/>
      <c r="M14" s="210"/>
      <c r="N14" s="210"/>
      <c r="O14" s="210"/>
      <c r="P14" s="210"/>
      <c r="Q14" s="210"/>
      <c r="R14" s="210"/>
      <c r="S14" s="210"/>
      <c r="T14" s="210"/>
      <c r="U14" s="210"/>
      <c r="V14" s="210"/>
      <c r="W14" s="210"/>
      <c r="X14" s="210"/>
      <c r="Y14" s="210"/>
      <c r="Z14" s="210"/>
      <c r="AA14" s="210"/>
      <c r="AB14" s="210"/>
      <c r="AC14" s="210"/>
      <c r="AD14" s="210"/>
      <c r="AE14" s="210"/>
      <c r="AF14" s="210"/>
      <c r="AG14" s="210"/>
      <c r="AH14" s="170"/>
      <c r="AI14" s="171"/>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20"/>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row>
    <row r="15" spans="1:185" s="121" customFormat="1" ht="13">
      <c r="A15" s="14" t="s">
        <v>1808</v>
      </c>
      <c r="B15" s="91" t="s">
        <v>1809</v>
      </c>
      <c r="C15" s="206">
        <f t="shared" si="2"/>
        <v>0</v>
      </c>
      <c r="D15" s="261"/>
      <c r="E15" s="209"/>
      <c r="F15" s="209"/>
      <c r="G15" s="209"/>
      <c r="H15" s="209"/>
      <c r="I15" s="209"/>
      <c r="J15" s="209"/>
      <c r="K15" s="210"/>
      <c r="L15" s="210"/>
      <c r="M15" s="210"/>
      <c r="N15" s="210"/>
      <c r="O15" s="210"/>
      <c r="P15" s="210"/>
      <c r="Q15" s="210"/>
      <c r="R15" s="210"/>
      <c r="S15" s="210"/>
      <c r="T15" s="210"/>
      <c r="U15" s="210"/>
      <c r="V15" s="210"/>
      <c r="W15" s="210"/>
      <c r="X15" s="210"/>
      <c r="Y15" s="210"/>
      <c r="Z15" s="210"/>
      <c r="AA15" s="210"/>
      <c r="AB15" s="210"/>
      <c r="AC15" s="210"/>
      <c r="AD15" s="210"/>
      <c r="AE15" s="210"/>
      <c r="AF15" s="210"/>
      <c r="AG15" s="210"/>
      <c r="AH15" s="170"/>
      <c r="AI15" s="171"/>
      <c r="AJ15" s="120"/>
      <c r="AK15" s="120"/>
      <c r="AL15" s="120"/>
      <c r="AM15" s="120"/>
      <c r="AN15" s="120"/>
      <c r="AO15" s="120"/>
      <c r="AP15" s="120"/>
      <c r="AQ15" s="120"/>
      <c r="AR15" s="120"/>
      <c r="AS15" s="120"/>
      <c r="AT15" s="120"/>
      <c r="AU15" s="120"/>
      <c r="AV15" s="120"/>
      <c r="AW15" s="120"/>
      <c r="AX15" s="120"/>
      <c r="AY15" s="120"/>
      <c r="AZ15" s="120"/>
      <c r="BA15" s="120"/>
      <c r="BB15" s="120"/>
      <c r="BC15" s="120"/>
      <c r="BD15" s="120"/>
      <c r="BE15" s="120"/>
      <c r="BF15" s="120"/>
      <c r="BG15" s="120"/>
      <c r="BH15" s="120"/>
      <c r="BI15" s="120"/>
      <c r="BJ15" s="120"/>
      <c r="BK15" s="120"/>
      <c r="BL15" s="120"/>
      <c r="BM15" s="120"/>
      <c r="BN15" s="120"/>
      <c r="BO15" s="120"/>
      <c r="BP15" s="120"/>
      <c r="BQ15" s="120"/>
      <c r="BR15" s="120"/>
      <c r="BS15" s="120"/>
      <c r="BT15" s="120"/>
      <c r="BU15" s="120"/>
      <c r="BV15" s="120"/>
      <c r="BW15" s="120"/>
      <c r="BX15" s="120"/>
      <c r="BY15" s="120"/>
      <c r="BZ15" s="120"/>
      <c r="CA15" s="120"/>
      <c r="CB15" s="120"/>
      <c r="CC15" s="120"/>
      <c r="CD15" s="120"/>
      <c r="CE15" s="120"/>
      <c r="CF15" s="120"/>
      <c r="CG15" s="120"/>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c r="EU15" s="120"/>
      <c r="EV15" s="120"/>
      <c r="EW15" s="120"/>
      <c r="EX15" s="120"/>
      <c r="EY15" s="120"/>
      <c r="EZ15" s="120"/>
      <c r="FA15" s="120"/>
      <c r="FB15" s="120"/>
      <c r="FC15" s="120"/>
      <c r="FD15" s="120"/>
      <c r="FE15" s="120"/>
      <c r="FF15" s="120"/>
      <c r="FG15" s="120"/>
      <c r="FH15" s="120"/>
      <c r="FI15" s="120"/>
      <c r="FJ15" s="120"/>
      <c r="FK15" s="120"/>
      <c r="FL15" s="120"/>
      <c r="FM15" s="120"/>
      <c r="FN15" s="120"/>
      <c r="FO15" s="120"/>
      <c r="FP15" s="120"/>
      <c r="FQ15" s="120"/>
      <c r="FR15" s="120"/>
      <c r="FS15" s="120"/>
      <c r="FT15" s="120"/>
      <c r="FU15" s="120"/>
      <c r="FV15" s="120"/>
      <c r="FW15" s="120"/>
      <c r="FX15" s="120"/>
      <c r="FY15" s="120"/>
      <c r="FZ15" s="120"/>
      <c r="GA15" s="120"/>
      <c r="GB15" s="120"/>
      <c r="GC15" s="120"/>
    </row>
    <row r="16" spans="1:185" s="121" customFormat="1" ht="13">
      <c r="A16" s="96" t="s">
        <v>1810</v>
      </c>
      <c r="B16" s="90" t="s">
        <v>1796</v>
      </c>
      <c r="C16" s="206">
        <f t="shared" si="2"/>
        <v>0</v>
      </c>
      <c r="D16" s="261"/>
      <c r="E16" s="209"/>
      <c r="F16" s="209"/>
      <c r="G16" s="209"/>
      <c r="H16" s="209"/>
      <c r="I16" s="209"/>
      <c r="J16" s="209"/>
      <c r="K16" s="210"/>
      <c r="L16" s="210"/>
      <c r="M16" s="210"/>
      <c r="N16" s="210"/>
      <c r="O16" s="210"/>
      <c r="P16" s="210"/>
      <c r="Q16" s="210"/>
      <c r="R16" s="210"/>
      <c r="S16" s="210"/>
      <c r="T16" s="210"/>
      <c r="U16" s="210"/>
      <c r="V16" s="210"/>
      <c r="W16" s="210"/>
      <c r="X16" s="210"/>
      <c r="Y16" s="210"/>
      <c r="Z16" s="210"/>
      <c r="AA16" s="210"/>
      <c r="AB16" s="210"/>
      <c r="AC16" s="210"/>
      <c r="AD16" s="210"/>
      <c r="AE16" s="210"/>
      <c r="AF16" s="210"/>
      <c r="AG16" s="210"/>
      <c r="AH16" s="170"/>
      <c r="AI16" s="171"/>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c r="BR16" s="120"/>
      <c r="BS16" s="120"/>
      <c r="BT16" s="120"/>
      <c r="BU16" s="120"/>
      <c r="BV16" s="120"/>
      <c r="BW16" s="120"/>
      <c r="BX16" s="120"/>
      <c r="BY16" s="120"/>
      <c r="BZ16" s="120"/>
      <c r="CA16" s="120"/>
      <c r="CB16" s="120"/>
      <c r="CC16" s="120"/>
      <c r="CD16" s="120"/>
      <c r="CE16" s="120"/>
      <c r="CF16" s="120"/>
      <c r="CG16" s="120"/>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c r="EU16" s="120"/>
      <c r="EV16" s="120"/>
      <c r="EW16" s="120"/>
      <c r="EX16" s="120"/>
      <c r="EY16" s="120"/>
      <c r="EZ16" s="120"/>
      <c r="FA16" s="120"/>
      <c r="FB16" s="120"/>
      <c r="FC16" s="120"/>
      <c r="FD16" s="120"/>
      <c r="FE16" s="120"/>
      <c r="FF16" s="120"/>
      <c r="FG16" s="120"/>
      <c r="FH16" s="120"/>
      <c r="FI16" s="120"/>
      <c r="FJ16" s="120"/>
      <c r="FK16" s="120"/>
      <c r="FL16" s="120"/>
      <c r="FM16" s="120"/>
      <c r="FN16" s="120"/>
      <c r="FO16" s="120"/>
      <c r="FP16" s="120"/>
      <c r="FQ16" s="120"/>
      <c r="FR16" s="120"/>
      <c r="FS16" s="120"/>
      <c r="FT16" s="120"/>
      <c r="FU16" s="120"/>
      <c r="FV16" s="120"/>
      <c r="FW16" s="120"/>
      <c r="FX16" s="120"/>
      <c r="FY16" s="120"/>
      <c r="FZ16" s="120"/>
      <c r="GA16" s="120"/>
      <c r="GB16" s="120"/>
      <c r="GC16" s="120"/>
    </row>
    <row r="17" spans="1:185" s="121" customFormat="1" ht="13">
      <c r="A17" s="96" t="s">
        <v>1812</v>
      </c>
      <c r="B17" s="90" t="s">
        <v>1797</v>
      </c>
      <c r="C17" s="206">
        <f t="shared" si="2"/>
        <v>0</v>
      </c>
      <c r="D17" s="261"/>
      <c r="E17" s="209"/>
      <c r="F17" s="209"/>
      <c r="G17" s="209"/>
      <c r="H17" s="209"/>
      <c r="I17" s="209"/>
      <c r="J17" s="209"/>
      <c r="K17" s="210"/>
      <c r="L17" s="210"/>
      <c r="M17" s="210"/>
      <c r="N17" s="210"/>
      <c r="O17" s="210"/>
      <c r="P17" s="210"/>
      <c r="Q17" s="210"/>
      <c r="R17" s="210"/>
      <c r="S17" s="210"/>
      <c r="T17" s="210"/>
      <c r="U17" s="210"/>
      <c r="V17" s="210"/>
      <c r="W17" s="210"/>
      <c r="X17" s="210"/>
      <c r="Y17" s="210"/>
      <c r="Z17" s="210"/>
      <c r="AA17" s="210"/>
      <c r="AB17" s="210"/>
      <c r="AC17" s="210"/>
      <c r="AD17" s="210"/>
      <c r="AE17" s="210"/>
      <c r="AF17" s="210"/>
      <c r="AG17" s="210"/>
      <c r="AH17" s="170"/>
      <c r="AI17" s="171"/>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c r="BR17" s="120"/>
      <c r="BS17" s="120"/>
      <c r="BT17" s="120"/>
      <c r="BU17" s="120"/>
      <c r="BV17" s="120"/>
      <c r="BW17" s="120"/>
      <c r="BX17" s="120"/>
      <c r="BY17" s="120"/>
      <c r="BZ17" s="120"/>
      <c r="CA17" s="120"/>
      <c r="CB17" s="120"/>
      <c r="CC17" s="120"/>
      <c r="CD17" s="120"/>
      <c r="CE17" s="120"/>
      <c r="CF17" s="120"/>
      <c r="CG17" s="120"/>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c r="EU17" s="120"/>
      <c r="EV17" s="120"/>
      <c r="EW17" s="120"/>
      <c r="EX17" s="120"/>
      <c r="EY17" s="120"/>
      <c r="EZ17" s="120"/>
      <c r="FA17" s="120"/>
      <c r="FB17" s="120"/>
      <c r="FC17" s="120"/>
      <c r="FD17" s="120"/>
      <c r="FE17" s="120"/>
      <c r="FF17" s="120"/>
      <c r="FG17" s="120"/>
      <c r="FH17" s="120"/>
      <c r="FI17" s="120"/>
      <c r="FJ17" s="120"/>
      <c r="FK17" s="120"/>
      <c r="FL17" s="120"/>
      <c r="FM17" s="120"/>
      <c r="FN17" s="120"/>
      <c r="FO17" s="120"/>
      <c r="FP17" s="120"/>
      <c r="FQ17" s="120"/>
      <c r="FR17" s="120"/>
      <c r="FS17" s="120"/>
      <c r="FT17" s="120"/>
      <c r="FU17" s="120"/>
      <c r="FV17" s="120"/>
      <c r="FW17" s="120"/>
      <c r="FX17" s="120"/>
      <c r="FY17" s="120"/>
      <c r="FZ17" s="120"/>
      <c r="GA17" s="120"/>
      <c r="GB17" s="120"/>
      <c r="GC17" s="120"/>
    </row>
    <row r="18" spans="1:185" s="121" customFormat="1" ht="13">
      <c r="A18" s="96" t="s">
        <v>1813</v>
      </c>
      <c r="B18" s="90" t="s">
        <v>1877</v>
      </c>
      <c r="C18" s="206">
        <f t="shared" si="2"/>
        <v>0</v>
      </c>
      <c r="D18" s="261"/>
      <c r="E18" s="209"/>
      <c r="F18" s="209"/>
      <c r="G18" s="209"/>
      <c r="H18" s="209"/>
      <c r="I18" s="209"/>
      <c r="J18" s="209"/>
      <c r="K18" s="210"/>
      <c r="L18" s="210"/>
      <c r="M18" s="210"/>
      <c r="N18" s="210"/>
      <c r="O18" s="210"/>
      <c r="P18" s="210"/>
      <c r="Q18" s="210"/>
      <c r="R18" s="210"/>
      <c r="S18" s="210"/>
      <c r="T18" s="210"/>
      <c r="U18" s="210"/>
      <c r="V18" s="210"/>
      <c r="W18" s="210"/>
      <c r="X18" s="210"/>
      <c r="Y18" s="210"/>
      <c r="Z18" s="210"/>
      <c r="AA18" s="210"/>
      <c r="AB18" s="210"/>
      <c r="AC18" s="210"/>
      <c r="AD18" s="210"/>
      <c r="AE18" s="210"/>
      <c r="AF18" s="210"/>
      <c r="AG18" s="210"/>
      <c r="AH18" s="170"/>
      <c r="AI18" s="171"/>
      <c r="AJ18" s="120"/>
      <c r="AK18" s="120"/>
      <c r="AL18" s="120"/>
      <c r="AM18" s="120"/>
      <c r="AN18" s="120"/>
      <c r="AO18" s="120"/>
      <c r="AP18" s="120"/>
      <c r="AQ18" s="120"/>
      <c r="AR18" s="120"/>
      <c r="AS18" s="120"/>
      <c r="AT18" s="120"/>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c r="BR18" s="120"/>
      <c r="BS18" s="120"/>
      <c r="BT18" s="120"/>
      <c r="BU18" s="120"/>
      <c r="BV18" s="120"/>
      <c r="BW18" s="120"/>
      <c r="BX18" s="120"/>
      <c r="BY18" s="120"/>
      <c r="BZ18" s="120"/>
      <c r="CA18" s="120"/>
      <c r="CB18" s="120"/>
      <c r="CC18" s="120"/>
      <c r="CD18" s="120"/>
      <c r="CE18" s="120"/>
      <c r="CF18" s="120"/>
      <c r="CG18" s="120"/>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c r="EU18" s="120"/>
      <c r="EV18" s="120"/>
      <c r="EW18" s="120"/>
      <c r="EX18" s="120"/>
      <c r="EY18" s="120"/>
      <c r="EZ18" s="120"/>
      <c r="FA18" s="120"/>
      <c r="FB18" s="120"/>
      <c r="FC18" s="120"/>
      <c r="FD18" s="120"/>
      <c r="FE18" s="120"/>
      <c r="FF18" s="120"/>
      <c r="FG18" s="120"/>
      <c r="FH18" s="120"/>
      <c r="FI18" s="120"/>
      <c r="FJ18" s="120"/>
      <c r="FK18" s="120"/>
      <c r="FL18" s="120"/>
      <c r="FM18" s="120"/>
      <c r="FN18" s="120"/>
      <c r="FO18" s="120"/>
      <c r="FP18" s="120"/>
      <c r="FQ18" s="120"/>
      <c r="FR18" s="120"/>
      <c r="FS18" s="120"/>
      <c r="FT18" s="120"/>
      <c r="FU18" s="120"/>
      <c r="FV18" s="120"/>
      <c r="FW18" s="120"/>
      <c r="FX18" s="120"/>
      <c r="FY18" s="120"/>
      <c r="FZ18" s="120"/>
      <c r="GA18" s="120"/>
      <c r="GB18" s="120"/>
      <c r="GC18" s="120"/>
    </row>
    <row r="19" spans="1:185" s="121" customFormat="1" ht="13">
      <c r="A19" s="99" t="s">
        <v>1818</v>
      </c>
      <c r="B19" s="92" t="s">
        <v>1881</v>
      </c>
      <c r="C19" s="206">
        <f t="shared" si="2"/>
        <v>0</v>
      </c>
      <c r="D19" s="261"/>
      <c r="E19" s="209"/>
      <c r="F19" s="209"/>
      <c r="G19" s="209"/>
      <c r="H19" s="209"/>
      <c r="I19" s="209"/>
      <c r="J19" s="209"/>
      <c r="K19" s="210"/>
      <c r="L19" s="210"/>
      <c r="M19" s="210"/>
      <c r="N19" s="210"/>
      <c r="O19" s="210"/>
      <c r="P19" s="210"/>
      <c r="Q19" s="210"/>
      <c r="R19" s="210"/>
      <c r="S19" s="210"/>
      <c r="T19" s="210"/>
      <c r="U19" s="210"/>
      <c r="V19" s="210"/>
      <c r="W19" s="210"/>
      <c r="X19" s="210"/>
      <c r="Y19" s="210"/>
      <c r="Z19" s="210"/>
      <c r="AA19" s="210"/>
      <c r="AB19" s="210"/>
      <c r="AC19" s="210"/>
      <c r="AD19" s="210"/>
      <c r="AE19" s="210"/>
      <c r="AF19" s="210"/>
      <c r="AG19" s="210"/>
      <c r="AH19" s="170"/>
      <c r="AI19" s="171"/>
      <c r="AJ19" s="120"/>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c r="BS19" s="120"/>
      <c r="BT19" s="120"/>
      <c r="BU19" s="120"/>
      <c r="BV19" s="120"/>
      <c r="BW19" s="120"/>
      <c r="BX19" s="120"/>
      <c r="BY19" s="120"/>
      <c r="BZ19" s="120"/>
      <c r="CA19" s="120"/>
      <c r="CB19" s="120"/>
      <c r="CC19" s="120"/>
      <c r="CD19" s="120"/>
      <c r="CE19" s="120"/>
      <c r="CF19" s="120"/>
      <c r="CG19" s="120"/>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c r="EU19" s="120"/>
      <c r="EV19" s="120"/>
      <c r="EW19" s="120"/>
      <c r="EX19" s="120"/>
      <c r="EY19" s="120"/>
      <c r="EZ19" s="120"/>
      <c r="FA19" s="120"/>
      <c r="FB19" s="120"/>
      <c r="FC19" s="120"/>
      <c r="FD19" s="120"/>
      <c r="FE19" s="120"/>
      <c r="FF19" s="120"/>
      <c r="FG19" s="120"/>
      <c r="FH19" s="120"/>
      <c r="FI19" s="120"/>
      <c r="FJ19" s="120"/>
      <c r="FK19" s="120"/>
      <c r="FL19" s="120"/>
      <c r="FM19" s="120"/>
      <c r="FN19" s="120"/>
      <c r="FO19" s="120"/>
      <c r="FP19" s="120"/>
      <c r="FQ19" s="120"/>
      <c r="FR19" s="120"/>
      <c r="FS19" s="120"/>
      <c r="FT19" s="120"/>
      <c r="FU19" s="120"/>
      <c r="FV19" s="120"/>
      <c r="FW19" s="120"/>
      <c r="FX19" s="120"/>
      <c r="FY19" s="120"/>
      <c r="FZ19" s="120"/>
      <c r="GA19" s="120"/>
      <c r="GB19" s="120"/>
      <c r="GC19" s="120"/>
    </row>
    <row r="20" spans="1:185" s="121" customFormat="1" ht="13">
      <c r="A20" s="99" t="s">
        <v>1819</v>
      </c>
      <c r="B20" s="92" t="s">
        <v>1882</v>
      </c>
      <c r="C20" s="206">
        <f t="shared" si="2"/>
        <v>0</v>
      </c>
      <c r="D20" s="261"/>
      <c r="E20" s="209"/>
      <c r="F20" s="209"/>
      <c r="G20" s="209"/>
      <c r="H20" s="209"/>
      <c r="I20" s="209"/>
      <c r="J20" s="209"/>
      <c r="K20" s="210"/>
      <c r="L20" s="210"/>
      <c r="M20" s="210"/>
      <c r="N20" s="210"/>
      <c r="O20" s="210"/>
      <c r="P20" s="210"/>
      <c r="Q20" s="210"/>
      <c r="R20" s="210"/>
      <c r="S20" s="210"/>
      <c r="T20" s="210"/>
      <c r="U20" s="210"/>
      <c r="V20" s="210"/>
      <c r="W20" s="210"/>
      <c r="X20" s="210"/>
      <c r="Y20" s="210"/>
      <c r="Z20" s="210"/>
      <c r="AA20" s="210"/>
      <c r="AB20" s="210"/>
      <c r="AC20" s="210"/>
      <c r="AD20" s="210"/>
      <c r="AE20" s="210"/>
      <c r="AF20" s="210"/>
      <c r="AG20" s="210"/>
      <c r="AH20" s="170"/>
      <c r="AI20" s="171"/>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c r="BY20" s="120"/>
      <c r="BZ20" s="120"/>
      <c r="CA20" s="120"/>
      <c r="CB20" s="120"/>
      <c r="CC20" s="120"/>
      <c r="CD20" s="120"/>
      <c r="CE20" s="120"/>
      <c r="CF20" s="120"/>
      <c r="CG20" s="120"/>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c r="EU20" s="120"/>
      <c r="EV20" s="120"/>
      <c r="EW20" s="120"/>
      <c r="EX20" s="120"/>
      <c r="EY20" s="120"/>
      <c r="EZ20" s="120"/>
      <c r="FA20" s="120"/>
      <c r="FB20" s="120"/>
      <c r="FC20" s="120"/>
      <c r="FD20" s="120"/>
      <c r="FE20" s="120"/>
      <c r="FF20" s="120"/>
      <c r="FG20" s="120"/>
      <c r="FH20" s="120"/>
      <c r="FI20" s="120"/>
      <c r="FJ20" s="120"/>
      <c r="FK20" s="120"/>
      <c r="FL20" s="120"/>
      <c r="FM20" s="120"/>
      <c r="FN20" s="120"/>
      <c r="FO20" s="120"/>
      <c r="FP20" s="120"/>
      <c r="FQ20" s="120"/>
      <c r="FR20" s="120"/>
      <c r="FS20" s="120"/>
      <c r="FT20" s="120"/>
      <c r="FU20" s="120"/>
      <c r="FV20" s="120"/>
      <c r="FW20" s="120"/>
      <c r="FX20" s="120"/>
      <c r="FY20" s="120"/>
      <c r="FZ20" s="120"/>
      <c r="GA20" s="120"/>
      <c r="GB20" s="120"/>
      <c r="GC20" s="120"/>
    </row>
    <row r="21" spans="1:185" s="121" customFormat="1" ht="13">
      <c r="A21" s="96" t="s">
        <v>1817</v>
      </c>
      <c r="B21" s="90" t="s">
        <v>1930</v>
      </c>
      <c r="C21" s="206">
        <f t="shared" si="2"/>
        <v>0</v>
      </c>
      <c r="D21" s="237">
        <f t="shared" ref="D21:AG21" si="3">D19+D20</f>
        <v>0</v>
      </c>
      <c r="E21" s="206">
        <f t="shared" si="3"/>
        <v>0</v>
      </c>
      <c r="F21" s="206">
        <f t="shared" si="3"/>
        <v>0</v>
      </c>
      <c r="G21" s="206">
        <f t="shared" si="3"/>
        <v>0</v>
      </c>
      <c r="H21" s="206">
        <f t="shared" si="3"/>
        <v>0</v>
      </c>
      <c r="I21" s="206">
        <f t="shared" si="3"/>
        <v>0</v>
      </c>
      <c r="J21" s="206">
        <f t="shared" si="3"/>
        <v>0</v>
      </c>
      <c r="K21" s="206">
        <f t="shared" si="3"/>
        <v>0</v>
      </c>
      <c r="L21" s="206">
        <f t="shared" si="3"/>
        <v>0</v>
      </c>
      <c r="M21" s="206">
        <f t="shared" si="3"/>
        <v>0</v>
      </c>
      <c r="N21" s="206">
        <f t="shared" si="3"/>
        <v>0</v>
      </c>
      <c r="O21" s="206">
        <f t="shared" si="3"/>
        <v>0</v>
      </c>
      <c r="P21" s="206">
        <f t="shared" si="3"/>
        <v>0</v>
      </c>
      <c r="Q21" s="206">
        <f t="shared" si="3"/>
        <v>0</v>
      </c>
      <c r="R21" s="206">
        <f t="shared" si="3"/>
        <v>0</v>
      </c>
      <c r="S21" s="206">
        <f t="shared" si="3"/>
        <v>0</v>
      </c>
      <c r="T21" s="206">
        <f t="shared" si="3"/>
        <v>0</v>
      </c>
      <c r="U21" s="206">
        <f t="shared" si="3"/>
        <v>0</v>
      </c>
      <c r="V21" s="206">
        <f t="shared" si="3"/>
        <v>0</v>
      </c>
      <c r="W21" s="206">
        <f t="shared" si="3"/>
        <v>0</v>
      </c>
      <c r="X21" s="206">
        <f t="shared" si="3"/>
        <v>0</v>
      </c>
      <c r="Y21" s="206">
        <f t="shared" si="3"/>
        <v>0</v>
      </c>
      <c r="Z21" s="206">
        <f t="shared" si="3"/>
        <v>0</v>
      </c>
      <c r="AA21" s="206">
        <f t="shared" si="3"/>
        <v>0</v>
      </c>
      <c r="AB21" s="206">
        <f t="shared" si="3"/>
        <v>0</v>
      </c>
      <c r="AC21" s="206">
        <f t="shared" si="3"/>
        <v>0</v>
      </c>
      <c r="AD21" s="206">
        <f t="shared" si="3"/>
        <v>0</v>
      </c>
      <c r="AE21" s="206">
        <f t="shared" si="3"/>
        <v>0</v>
      </c>
      <c r="AF21" s="206">
        <f t="shared" si="3"/>
        <v>0</v>
      </c>
      <c r="AG21" s="206">
        <f t="shared" si="3"/>
        <v>0</v>
      </c>
      <c r="AH21" s="170"/>
      <c r="AI21" s="171"/>
      <c r="AJ21" s="120"/>
      <c r="AK21" s="120"/>
      <c r="AL21" s="120"/>
      <c r="AM21" s="120"/>
      <c r="AN21" s="120"/>
      <c r="AO21" s="120"/>
      <c r="AP21" s="120"/>
      <c r="AQ21" s="120"/>
      <c r="AR21" s="120"/>
      <c r="AS21" s="120"/>
      <c r="AT21" s="120"/>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c r="BY21" s="120"/>
      <c r="BZ21" s="120"/>
      <c r="CA21" s="120"/>
      <c r="CB21" s="120"/>
      <c r="CC21" s="120"/>
      <c r="CD21" s="120"/>
      <c r="CE21" s="120"/>
      <c r="CF21" s="120"/>
      <c r="CG21" s="120"/>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c r="EU21" s="120"/>
      <c r="EV21" s="120"/>
      <c r="EW21" s="120"/>
      <c r="EX21" s="120"/>
      <c r="EY21" s="120"/>
      <c r="EZ21" s="120"/>
      <c r="FA21" s="120"/>
      <c r="FB21" s="120"/>
      <c r="FC21" s="120"/>
      <c r="FD21" s="120"/>
      <c r="FE21" s="120"/>
      <c r="FF21" s="120"/>
      <c r="FG21" s="120"/>
      <c r="FH21" s="120"/>
      <c r="FI21" s="120"/>
      <c r="FJ21" s="120"/>
      <c r="FK21" s="120"/>
      <c r="FL21" s="120"/>
      <c r="FM21" s="120"/>
      <c r="FN21" s="120"/>
      <c r="FO21" s="120"/>
      <c r="FP21" s="120"/>
      <c r="FQ21" s="120"/>
      <c r="FR21" s="120"/>
      <c r="FS21" s="120"/>
      <c r="FT21" s="120"/>
      <c r="FU21" s="120"/>
      <c r="FV21" s="120"/>
      <c r="FW21" s="120"/>
      <c r="FX21" s="120"/>
      <c r="FY21" s="120"/>
      <c r="FZ21" s="120"/>
      <c r="GA21" s="120"/>
      <c r="GB21" s="120"/>
      <c r="GC21" s="120"/>
    </row>
    <row r="22" spans="1:185" s="123" customFormat="1" ht="13">
      <c r="A22" s="97"/>
      <c r="B22" s="93" t="s">
        <v>1962</v>
      </c>
      <c r="C22" s="204">
        <f t="shared" si="2"/>
        <v>0</v>
      </c>
      <c r="D22" s="236">
        <f t="shared" ref="D22:AG22" si="4">D14+D15+D16+D17+D18+D21</f>
        <v>0</v>
      </c>
      <c r="E22" s="204">
        <f t="shared" si="4"/>
        <v>0</v>
      </c>
      <c r="F22" s="204">
        <f t="shared" si="4"/>
        <v>0</v>
      </c>
      <c r="G22" s="204">
        <f t="shared" si="4"/>
        <v>0</v>
      </c>
      <c r="H22" s="204">
        <f t="shared" si="4"/>
        <v>0</v>
      </c>
      <c r="I22" s="204">
        <f t="shared" si="4"/>
        <v>0</v>
      </c>
      <c r="J22" s="204">
        <f t="shared" si="4"/>
        <v>0</v>
      </c>
      <c r="K22" s="204">
        <f t="shared" si="4"/>
        <v>0</v>
      </c>
      <c r="L22" s="204">
        <f t="shared" si="4"/>
        <v>0</v>
      </c>
      <c r="M22" s="204">
        <f t="shared" si="4"/>
        <v>0</v>
      </c>
      <c r="N22" s="204">
        <f t="shared" si="4"/>
        <v>0</v>
      </c>
      <c r="O22" s="204">
        <f t="shared" si="4"/>
        <v>0</v>
      </c>
      <c r="P22" s="204">
        <f t="shared" si="4"/>
        <v>0</v>
      </c>
      <c r="Q22" s="204">
        <f t="shared" si="4"/>
        <v>0</v>
      </c>
      <c r="R22" s="204">
        <f t="shared" si="4"/>
        <v>0</v>
      </c>
      <c r="S22" s="204">
        <f t="shared" si="4"/>
        <v>0</v>
      </c>
      <c r="T22" s="204">
        <f t="shared" si="4"/>
        <v>0</v>
      </c>
      <c r="U22" s="204">
        <f t="shared" si="4"/>
        <v>0</v>
      </c>
      <c r="V22" s="204">
        <f t="shared" si="4"/>
        <v>0</v>
      </c>
      <c r="W22" s="204">
        <f t="shared" si="4"/>
        <v>0</v>
      </c>
      <c r="X22" s="204">
        <f t="shared" si="4"/>
        <v>0</v>
      </c>
      <c r="Y22" s="204">
        <f t="shared" si="4"/>
        <v>0</v>
      </c>
      <c r="Z22" s="204">
        <f t="shared" si="4"/>
        <v>0</v>
      </c>
      <c r="AA22" s="204">
        <f t="shared" si="4"/>
        <v>0</v>
      </c>
      <c r="AB22" s="204">
        <f t="shared" si="4"/>
        <v>0</v>
      </c>
      <c r="AC22" s="204">
        <f t="shared" si="4"/>
        <v>0</v>
      </c>
      <c r="AD22" s="204">
        <f t="shared" si="4"/>
        <v>0</v>
      </c>
      <c r="AE22" s="204">
        <f t="shared" si="4"/>
        <v>0</v>
      </c>
      <c r="AF22" s="204">
        <f t="shared" si="4"/>
        <v>0</v>
      </c>
      <c r="AG22" s="204">
        <f t="shared" si="4"/>
        <v>0</v>
      </c>
      <c r="AH22" s="172"/>
      <c r="AI22" s="173"/>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2"/>
      <c r="BK22" s="122"/>
      <c r="BL22" s="122"/>
      <c r="BM22" s="122"/>
      <c r="BN22" s="122"/>
      <c r="BO22" s="122"/>
      <c r="BP22" s="122"/>
      <c r="BQ22" s="122"/>
      <c r="BR22" s="122"/>
      <c r="BS22" s="122"/>
      <c r="BT22" s="122"/>
      <c r="BU22" s="122"/>
      <c r="BV22" s="122"/>
      <c r="BW22" s="122"/>
      <c r="BX22" s="122"/>
      <c r="BY22" s="122"/>
      <c r="BZ22" s="122"/>
      <c r="CA22" s="122"/>
      <c r="CB22" s="122"/>
      <c r="CC22" s="122"/>
      <c r="CD22" s="122"/>
      <c r="CE22" s="122"/>
      <c r="CF22" s="122"/>
      <c r="CG22" s="122"/>
      <c r="CH22" s="122"/>
      <c r="CI22" s="122"/>
      <c r="CJ22" s="122"/>
      <c r="CK22" s="122"/>
      <c r="CL22" s="122"/>
      <c r="CM22" s="122"/>
      <c r="CN22" s="122"/>
      <c r="CO22" s="122"/>
      <c r="CP22" s="122"/>
      <c r="CQ22" s="122"/>
      <c r="CR22" s="122"/>
      <c r="CS22" s="122"/>
      <c r="CT22" s="122"/>
      <c r="CU22" s="122"/>
      <c r="CV22" s="122"/>
      <c r="CW22" s="122"/>
      <c r="CX22" s="122"/>
      <c r="CY22" s="122"/>
      <c r="CZ22" s="122"/>
      <c r="DA22" s="122"/>
      <c r="DB22" s="122"/>
      <c r="DC22" s="122"/>
      <c r="DD22" s="122"/>
      <c r="DE22" s="122"/>
      <c r="DF22" s="122"/>
      <c r="DG22" s="122"/>
      <c r="DH22" s="122"/>
      <c r="DI22" s="122"/>
      <c r="DJ22" s="122"/>
      <c r="DK22" s="122"/>
      <c r="DL22" s="122"/>
      <c r="DM22" s="122"/>
      <c r="DN22" s="122"/>
      <c r="DO22" s="122"/>
      <c r="DP22" s="122"/>
      <c r="DQ22" s="122"/>
      <c r="DR22" s="122"/>
      <c r="DS22" s="122"/>
      <c r="DT22" s="122"/>
      <c r="DU22" s="122"/>
      <c r="DV22" s="122"/>
      <c r="DW22" s="122"/>
      <c r="DX22" s="122"/>
      <c r="DY22" s="122"/>
      <c r="DZ22" s="122"/>
      <c r="EA22" s="122"/>
      <c r="EB22" s="122"/>
      <c r="EC22" s="122"/>
      <c r="ED22" s="122"/>
      <c r="EE22" s="122"/>
      <c r="EF22" s="122"/>
      <c r="EG22" s="122"/>
      <c r="EH22" s="122"/>
      <c r="EI22" s="122"/>
      <c r="EJ22" s="122"/>
      <c r="EK22" s="122"/>
      <c r="EL22" s="122"/>
      <c r="EM22" s="122"/>
      <c r="EN22" s="122"/>
      <c r="EO22" s="122"/>
      <c r="EP22" s="122"/>
      <c r="EQ22" s="122"/>
      <c r="ER22" s="122"/>
      <c r="ES22" s="122"/>
      <c r="ET22" s="122"/>
      <c r="EU22" s="122"/>
      <c r="EV22" s="122"/>
      <c r="EW22" s="122"/>
      <c r="EX22" s="122"/>
      <c r="EY22" s="122"/>
      <c r="EZ22" s="122"/>
      <c r="FA22" s="122"/>
      <c r="FB22" s="122"/>
      <c r="FC22" s="122"/>
      <c r="FD22" s="122"/>
      <c r="FE22" s="122"/>
      <c r="FF22" s="122"/>
      <c r="FG22" s="122"/>
      <c r="FH22" s="122"/>
      <c r="FI22" s="122"/>
      <c r="FJ22" s="122"/>
      <c r="FK22" s="122"/>
      <c r="FL22" s="122"/>
      <c r="FM22" s="122"/>
      <c r="FN22" s="122"/>
      <c r="FO22" s="122"/>
      <c r="FP22" s="122"/>
      <c r="FQ22" s="122"/>
      <c r="FR22" s="122"/>
      <c r="FS22" s="122"/>
      <c r="FT22" s="122"/>
      <c r="FU22" s="122"/>
      <c r="FV22" s="122"/>
      <c r="FW22" s="122"/>
      <c r="FX22" s="122"/>
      <c r="FY22" s="122"/>
      <c r="FZ22" s="122"/>
      <c r="GA22" s="122"/>
      <c r="GB22" s="122"/>
      <c r="GC22" s="122"/>
    </row>
    <row r="23" spans="1:185" s="121" customFormat="1" ht="13">
      <c r="A23" s="96"/>
      <c r="B23" s="94"/>
      <c r="C23" s="206"/>
      <c r="D23" s="261"/>
      <c r="E23" s="209"/>
      <c r="F23" s="209"/>
      <c r="G23" s="209"/>
      <c r="H23" s="209"/>
      <c r="I23" s="209"/>
      <c r="J23" s="209"/>
      <c r="K23" s="209"/>
      <c r="L23" s="209"/>
      <c r="M23" s="209"/>
      <c r="N23" s="209"/>
      <c r="O23" s="209"/>
      <c r="P23" s="209"/>
      <c r="Q23" s="209"/>
      <c r="R23" s="209"/>
      <c r="S23" s="209"/>
      <c r="T23" s="209"/>
      <c r="U23" s="209"/>
      <c r="V23" s="209"/>
      <c r="W23" s="209"/>
      <c r="X23" s="209"/>
      <c r="Y23" s="209"/>
      <c r="Z23" s="209"/>
      <c r="AA23" s="209"/>
      <c r="AB23" s="209"/>
      <c r="AC23" s="209"/>
      <c r="AD23" s="209"/>
      <c r="AE23" s="209"/>
      <c r="AF23" s="209"/>
      <c r="AG23" s="209"/>
      <c r="AH23" s="170"/>
      <c r="AI23" s="171"/>
      <c r="AJ23" s="120"/>
      <c r="AK23" s="120"/>
      <c r="AL23" s="120"/>
      <c r="AM23" s="120"/>
      <c r="AN23" s="120"/>
      <c r="AO23" s="120"/>
      <c r="AP23" s="120"/>
      <c r="AQ23" s="120"/>
      <c r="AR23" s="120"/>
      <c r="AS23" s="120"/>
      <c r="AT23" s="120"/>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c r="BY23" s="120"/>
      <c r="BZ23" s="120"/>
      <c r="CA23" s="120"/>
      <c r="CB23" s="120"/>
      <c r="CC23" s="120"/>
      <c r="CD23" s="120"/>
      <c r="CE23" s="120"/>
      <c r="CF23" s="120"/>
      <c r="CG23" s="120"/>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c r="EU23" s="120"/>
      <c r="EV23" s="120"/>
      <c r="EW23" s="120"/>
      <c r="EX23" s="120"/>
      <c r="EY23" s="120"/>
      <c r="EZ23" s="120"/>
      <c r="FA23" s="120"/>
      <c r="FB23" s="120"/>
      <c r="FC23" s="120"/>
      <c r="FD23" s="120"/>
      <c r="FE23" s="120"/>
      <c r="FF23" s="120"/>
      <c r="FG23" s="120"/>
      <c r="FH23" s="120"/>
      <c r="FI23" s="120"/>
      <c r="FJ23" s="120"/>
      <c r="FK23" s="120"/>
      <c r="FL23" s="120"/>
      <c r="FM23" s="120"/>
      <c r="FN23" s="120"/>
      <c r="FO23" s="120"/>
      <c r="FP23" s="120"/>
      <c r="FQ23" s="120"/>
      <c r="FR23" s="120"/>
      <c r="FS23" s="120"/>
      <c r="FT23" s="120"/>
      <c r="FU23" s="120"/>
      <c r="FV23" s="120"/>
      <c r="FW23" s="120"/>
      <c r="FX23" s="120"/>
      <c r="FY23" s="120"/>
      <c r="FZ23" s="120"/>
      <c r="GA23" s="120"/>
      <c r="GB23" s="120"/>
      <c r="GC23" s="120"/>
    </row>
    <row r="24" spans="1:185" s="121" customFormat="1" ht="13">
      <c r="A24" s="98" t="s">
        <v>1863</v>
      </c>
      <c r="B24" s="92" t="s">
        <v>1886</v>
      </c>
      <c r="C24" s="206">
        <f t="shared" ref="C24:C38" si="5">SUM(E24:AG24)</f>
        <v>0</v>
      </c>
      <c r="D24" s="261"/>
      <c r="E24" s="209"/>
      <c r="F24" s="209"/>
      <c r="G24" s="209"/>
      <c r="H24" s="209"/>
      <c r="I24" s="209"/>
      <c r="J24" s="209"/>
      <c r="K24" s="210"/>
      <c r="L24" s="210"/>
      <c r="M24" s="210"/>
      <c r="N24" s="210"/>
      <c r="O24" s="210"/>
      <c r="P24" s="210"/>
      <c r="Q24" s="210"/>
      <c r="R24" s="210"/>
      <c r="S24" s="210"/>
      <c r="T24" s="210"/>
      <c r="U24" s="210"/>
      <c r="V24" s="210"/>
      <c r="W24" s="210"/>
      <c r="X24" s="210"/>
      <c r="Y24" s="210"/>
      <c r="Z24" s="210"/>
      <c r="AA24" s="210"/>
      <c r="AB24" s="210"/>
      <c r="AC24" s="210"/>
      <c r="AD24" s="210"/>
      <c r="AE24" s="210"/>
      <c r="AF24" s="210"/>
      <c r="AG24" s="210"/>
      <c r="AH24" s="170"/>
      <c r="AI24" s="171"/>
      <c r="AJ24" s="120"/>
      <c r="AK24" s="120"/>
      <c r="AL24" s="120"/>
      <c r="AM24" s="120"/>
      <c r="AN24" s="120"/>
      <c r="AO24" s="120"/>
      <c r="AP24" s="120"/>
      <c r="AQ24" s="120"/>
      <c r="AR24" s="120"/>
      <c r="AS24" s="120"/>
      <c r="AT24" s="120"/>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c r="BY24" s="120"/>
      <c r="BZ24" s="120"/>
      <c r="CA24" s="120"/>
      <c r="CB24" s="120"/>
      <c r="CC24" s="120"/>
      <c r="CD24" s="120"/>
      <c r="CE24" s="120"/>
      <c r="CF24" s="120"/>
      <c r="CG24" s="120"/>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c r="EU24" s="120"/>
      <c r="EV24" s="120"/>
      <c r="EW24" s="120"/>
      <c r="EX24" s="120"/>
      <c r="EY24" s="120"/>
      <c r="EZ24" s="120"/>
      <c r="FA24" s="120"/>
      <c r="FB24" s="120"/>
      <c r="FC24" s="120"/>
      <c r="FD24" s="120"/>
      <c r="FE24" s="120"/>
      <c r="FF24" s="120"/>
      <c r="FG24" s="120"/>
      <c r="FH24" s="120"/>
      <c r="FI24" s="120"/>
      <c r="FJ24" s="120"/>
      <c r="FK24" s="120"/>
      <c r="FL24" s="120"/>
      <c r="FM24" s="120"/>
      <c r="FN24" s="120"/>
      <c r="FO24" s="120"/>
      <c r="FP24" s="120"/>
      <c r="FQ24" s="120"/>
      <c r="FR24" s="120"/>
      <c r="FS24" s="120"/>
      <c r="FT24" s="120"/>
      <c r="FU24" s="120"/>
      <c r="FV24" s="120"/>
      <c r="FW24" s="120"/>
      <c r="FX24" s="120"/>
      <c r="FY24" s="120"/>
      <c r="FZ24" s="120"/>
      <c r="GA24" s="120"/>
      <c r="GB24" s="120"/>
      <c r="GC24" s="120"/>
    </row>
    <row r="25" spans="1:185" s="121" customFormat="1" ht="13">
      <c r="A25" s="98" t="s">
        <v>1864</v>
      </c>
      <c r="B25" s="92" t="s">
        <v>1883</v>
      </c>
      <c r="C25" s="206">
        <f t="shared" si="5"/>
        <v>0</v>
      </c>
      <c r="D25" s="261"/>
      <c r="E25" s="209"/>
      <c r="F25" s="209"/>
      <c r="G25" s="209"/>
      <c r="H25" s="209"/>
      <c r="I25" s="209"/>
      <c r="J25" s="209"/>
      <c r="K25" s="210"/>
      <c r="L25" s="210"/>
      <c r="M25" s="210"/>
      <c r="N25" s="210"/>
      <c r="O25" s="210"/>
      <c r="P25" s="210"/>
      <c r="Q25" s="210"/>
      <c r="R25" s="210"/>
      <c r="S25" s="210"/>
      <c r="T25" s="210"/>
      <c r="U25" s="210"/>
      <c r="V25" s="210"/>
      <c r="W25" s="210"/>
      <c r="X25" s="210"/>
      <c r="Y25" s="210"/>
      <c r="Z25" s="210"/>
      <c r="AA25" s="210"/>
      <c r="AB25" s="210"/>
      <c r="AC25" s="210"/>
      <c r="AD25" s="210"/>
      <c r="AE25" s="210"/>
      <c r="AF25" s="210"/>
      <c r="AG25" s="210"/>
      <c r="AH25" s="170"/>
      <c r="AI25" s="171"/>
      <c r="AJ25" s="120"/>
      <c r="AK25" s="120"/>
      <c r="AL25" s="120"/>
      <c r="AM25" s="120"/>
      <c r="AN25" s="120"/>
      <c r="AO25" s="120"/>
      <c r="AP25" s="120"/>
      <c r="AQ25" s="120"/>
      <c r="AR25" s="120"/>
      <c r="AS25" s="120"/>
      <c r="AT25" s="120"/>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c r="BY25" s="120"/>
      <c r="BZ25" s="120"/>
      <c r="CA25" s="120"/>
      <c r="CB25" s="120"/>
      <c r="CC25" s="120"/>
      <c r="CD25" s="120"/>
      <c r="CE25" s="120"/>
      <c r="CF25" s="120"/>
      <c r="CG25" s="120"/>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c r="EU25" s="120"/>
      <c r="EV25" s="120"/>
      <c r="EW25" s="120"/>
      <c r="EX25" s="120"/>
      <c r="EY25" s="120"/>
      <c r="EZ25" s="120"/>
      <c r="FA25" s="120"/>
      <c r="FB25" s="120"/>
      <c r="FC25" s="120"/>
      <c r="FD25" s="120"/>
      <c r="FE25" s="120"/>
      <c r="FF25" s="120"/>
      <c r="FG25" s="120"/>
      <c r="FH25" s="120"/>
      <c r="FI25" s="120"/>
      <c r="FJ25" s="120"/>
      <c r="FK25" s="120"/>
      <c r="FL25" s="120"/>
      <c r="FM25" s="120"/>
      <c r="FN25" s="120"/>
      <c r="FO25" s="120"/>
      <c r="FP25" s="120"/>
      <c r="FQ25" s="120"/>
      <c r="FR25" s="120"/>
      <c r="FS25" s="120"/>
      <c r="FT25" s="120"/>
      <c r="FU25" s="120"/>
      <c r="FV25" s="120"/>
      <c r="FW25" s="120"/>
      <c r="FX25" s="120"/>
      <c r="FY25" s="120"/>
      <c r="FZ25" s="120"/>
      <c r="GA25" s="120"/>
      <c r="GB25" s="120"/>
      <c r="GC25" s="120"/>
    </row>
    <row r="26" spans="1:185" s="121" customFormat="1" ht="13">
      <c r="A26" s="98" t="s">
        <v>1865</v>
      </c>
      <c r="B26" s="92" t="s">
        <v>1887</v>
      </c>
      <c r="C26" s="206">
        <f t="shared" si="5"/>
        <v>0</v>
      </c>
      <c r="D26" s="261"/>
      <c r="E26" s="209"/>
      <c r="F26" s="209"/>
      <c r="G26" s="209"/>
      <c r="H26" s="209"/>
      <c r="I26" s="209"/>
      <c r="J26" s="209"/>
      <c r="K26" s="210"/>
      <c r="L26" s="210"/>
      <c r="M26" s="210"/>
      <c r="N26" s="210"/>
      <c r="O26" s="210"/>
      <c r="P26" s="210"/>
      <c r="Q26" s="210"/>
      <c r="R26" s="210"/>
      <c r="S26" s="210"/>
      <c r="T26" s="210"/>
      <c r="U26" s="210"/>
      <c r="V26" s="210"/>
      <c r="W26" s="210"/>
      <c r="X26" s="210"/>
      <c r="Y26" s="210"/>
      <c r="Z26" s="210"/>
      <c r="AA26" s="210"/>
      <c r="AB26" s="210"/>
      <c r="AC26" s="210"/>
      <c r="AD26" s="210"/>
      <c r="AE26" s="210"/>
      <c r="AF26" s="210"/>
      <c r="AG26" s="210"/>
      <c r="AH26" s="170"/>
      <c r="AI26" s="171"/>
      <c r="AJ26" s="120"/>
      <c r="AK26" s="120"/>
      <c r="AL26" s="120"/>
      <c r="AM26" s="120"/>
      <c r="AN26" s="120"/>
      <c r="AO26" s="120"/>
      <c r="AP26" s="120"/>
      <c r="AQ26" s="120"/>
      <c r="AR26" s="120"/>
      <c r="AS26" s="120"/>
      <c r="AT26" s="120"/>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c r="BY26" s="120"/>
      <c r="BZ26" s="120"/>
      <c r="CA26" s="120"/>
      <c r="CB26" s="120"/>
      <c r="CC26" s="120"/>
      <c r="CD26" s="120"/>
      <c r="CE26" s="120"/>
      <c r="CF26" s="120"/>
      <c r="CG26" s="120"/>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c r="EU26" s="120"/>
      <c r="EV26" s="120"/>
      <c r="EW26" s="120"/>
      <c r="EX26" s="120"/>
      <c r="EY26" s="120"/>
      <c r="EZ26" s="120"/>
      <c r="FA26" s="120"/>
      <c r="FB26" s="120"/>
      <c r="FC26" s="120"/>
      <c r="FD26" s="120"/>
      <c r="FE26" s="120"/>
      <c r="FF26" s="120"/>
      <c r="FG26" s="120"/>
      <c r="FH26" s="120"/>
      <c r="FI26" s="120"/>
      <c r="FJ26" s="120"/>
      <c r="FK26" s="120"/>
      <c r="FL26" s="120"/>
      <c r="FM26" s="120"/>
      <c r="FN26" s="120"/>
      <c r="FO26" s="120"/>
      <c r="FP26" s="120"/>
      <c r="FQ26" s="120"/>
      <c r="FR26" s="120"/>
      <c r="FS26" s="120"/>
      <c r="FT26" s="120"/>
      <c r="FU26" s="120"/>
      <c r="FV26" s="120"/>
      <c r="FW26" s="120"/>
      <c r="FX26" s="120"/>
      <c r="FY26" s="120"/>
      <c r="FZ26" s="120"/>
      <c r="GA26" s="120"/>
      <c r="GB26" s="120"/>
      <c r="GC26" s="120"/>
    </row>
    <row r="27" spans="1:185" s="121" customFormat="1" ht="13">
      <c r="A27" s="98" t="s">
        <v>1866</v>
      </c>
      <c r="B27" s="92" t="s">
        <v>1884</v>
      </c>
      <c r="C27" s="206">
        <f t="shared" si="5"/>
        <v>0</v>
      </c>
      <c r="D27" s="261"/>
      <c r="E27" s="209"/>
      <c r="F27" s="209"/>
      <c r="G27" s="209"/>
      <c r="H27" s="209"/>
      <c r="I27" s="209"/>
      <c r="J27" s="209"/>
      <c r="K27" s="210"/>
      <c r="L27" s="210"/>
      <c r="M27" s="210"/>
      <c r="N27" s="210"/>
      <c r="O27" s="210"/>
      <c r="P27" s="210"/>
      <c r="Q27" s="210"/>
      <c r="R27" s="210"/>
      <c r="S27" s="210"/>
      <c r="T27" s="210"/>
      <c r="U27" s="210"/>
      <c r="V27" s="210"/>
      <c r="W27" s="210"/>
      <c r="X27" s="210"/>
      <c r="Y27" s="210"/>
      <c r="Z27" s="210"/>
      <c r="AA27" s="210"/>
      <c r="AB27" s="210"/>
      <c r="AC27" s="210"/>
      <c r="AD27" s="210"/>
      <c r="AE27" s="210"/>
      <c r="AF27" s="210"/>
      <c r="AG27" s="210"/>
      <c r="AH27" s="170"/>
      <c r="AI27" s="171"/>
      <c r="AJ27" s="120"/>
      <c r="AK27" s="120"/>
      <c r="AL27" s="120"/>
      <c r="AM27" s="120"/>
      <c r="AN27" s="120"/>
      <c r="AO27" s="120"/>
      <c r="AP27" s="120"/>
      <c r="AQ27" s="120"/>
      <c r="AR27" s="120"/>
      <c r="AS27" s="120"/>
      <c r="AT27" s="120"/>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c r="BY27" s="120"/>
      <c r="BZ27" s="120"/>
      <c r="CA27" s="120"/>
      <c r="CB27" s="120"/>
      <c r="CC27" s="120"/>
      <c r="CD27" s="120"/>
      <c r="CE27" s="120"/>
      <c r="CF27" s="120"/>
      <c r="CG27" s="120"/>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c r="EU27" s="120"/>
      <c r="EV27" s="120"/>
      <c r="EW27" s="120"/>
      <c r="EX27" s="120"/>
      <c r="EY27" s="120"/>
      <c r="EZ27" s="120"/>
      <c r="FA27" s="120"/>
      <c r="FB27" s="120"/>
      <c r="FC27" s="120"/>
      <c r="FD27" s="120"/>
      <c r="FE27" s="120"/>
      <c r="FF27" s="120"/>
      <c r="FG27" s="120"/>
      <c r="FH27" s="120"/>
      <c r="FI27" s="120"/>
      <c r="FJ27" s="120"/>
      <c r="FK27" s="120"/>
      <c r="FL27" s="120"/>
      <c r="FM27" s="120"/>
      <c r="FN27" s="120"/>
      <c r="FO27" s="120"/>
      <c r="FP27" s="120"/>
      <c r="FQ27" s="120"/>
      <c r="FR27" s="120"/>
      <c r="FS27" s="120"/>
      <c r="FT27" s="120"/>
      <c r="FU27" s="120"/>
      <c r="FV27" s="120"/>
      <c r="FW27" s="120"/>
      <c r="FX27" s="120"/>
      <c r="FY27" s="120"/>
      <c r="FZ27" s="120"/>
      <c r="GA27" s="120"/>
      <c r="GB27" s="120"/>
      <c r="GC27" s="120"/>
    </row>
    <row r="28" spans="1:185" s="121" customFormat="1" ht="13">
      <c r="A28" s="98" t="s">
        <v>1867</v>
      </c>
      <c r="B28" s="92" t="s">
        <v>1885</v>
      </c>
      <c r="C28" s="206">
        <f t="shared" si="5"/>
        <v>0</v>
      </c>
      <c r="D28" s="261"/>
      <c r="E28" s="209"/>
      <c r="F28" s="209"/>
      <c r="G28" s="209"/>
      <c r="H28" s="209"/>
      <c r="I28" s="209"/>
      <c r="J28" s="209"/>
      <c r="K28" s="210"/>
      <c r="L28" s="210"/>
      <c r="M28" s="210"/>
      <c r="N28" s="210"/>
      <c r="O28" s="210"/>
      <c r="P28" s="210"/>
      <c r="Q28" s="210"/>
      <c r="R28" s="210"/>
      <c r="S28" s="210"/>
      <c r="T28" s="210"/>
      <c r="U28" s="210"/>
      <c r="V28" s="210"/>
      <c r="W28" s="210"/>
      <c r="X28" s="210"/>
      <c r="Y28" s="210"/>
      <c r="Z28" s="210"/>
      <c r="AA28" s="210"/>
      <c r="AB28" s="210"/>
      <c r="AC28" s="210"/>
      <c r="AD28" s="210"/>
      <c r="AE28" s="210"/>
      <c r="AF28" s="210"/>
      <c r="AG28" s="210"/>
      <c r="AH28" s="170"/>
      <c r="AI28" s="171"/>
      <c r="AJ28" s="120"/>
      <c r="AK28" s="120"/>
      <c r="AL28" s="120"/>
      <c r="AM28" s="120"/>
      <c r="AN28" s="120"/>
      <c r="AO28" s="120"/>
      <c r="AP28" s="120"/>
      <c r="AQ28" s="120"/>
      <c r="AR28" s="120"/>
      <c r="AS28" s="120"/>
      <c r="AT28" s="120"/>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c r="BR28" s="120"/>
      <c r="BS28" s="120"/>
      <c r="BT28" s="120"/>
      <c r="BU28" s="120"/>
      <c r="BV28" s="120"/>
      <c r="BW28" s="120"/>
      <c r="BX28" s="120"/>
      <c r="BY28" s="120"/>
      <c r="BZ28" s="120"/>
      <c r="CA28" s="120"/>
      <c r="CB28" s="120"/>
      <c r="CC28" s="120"/>
      <c r="CD28" s="120"/>
      <c r="CE28" s="120"/>
      <c r="CF28" s="120"/>
      <c r="CG28" s="120"/>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c r="EU28" s="120"/>
      <c r="EV28" s="120"/>
      <c r="EW28" s="120"/>
      <c r="EX28" s="120"/>
      <c r="EY28" s="120"/>
      <c r="EZ28" s="120"/>
      <c r="FA28" s="120"/>
      <c r="FB28" s="120"/>
      <c r="FC28" s="120"/>
      <c r="FD28" s="120"/>
      <c r="FE28" s="120"/>
      <c r="FF28" s="120"/>
      <c r="FG28" s="120"/>
      <c r="FH28" s="120"/>
      <c r="FI28" s="120"/>
      <c r="FJ28" s="120"/>
      <c r="FK28" s="120"/>
      <c r="FL28" s="120"/>
      <c r="FM28" s="120"/>
      <c r="FN28" s="120"/>
      <c r="FO28" s="120"/>
      <c r="FP28" s="120"/>
      <c r="FQ28" s="120"/>
      <c r="FR28" s="120"/>
      <c r="FS28" s="120"/>
      <c r="FT28" s="120"/>
      <c r="FU28" s="120"/>
      <c r="FV28" s="120"/>
      <c r="FW28" s="120"/>
      <c r="FX28" s="120"/>
      <c r="FY28" s="120"/>
      <c r="FZ28" s="120"/>
      <c r="GA28" s="120"/>
      <c r="GB28" s="120"/>
      <c r="GC28" s="120"/>
    </row>
    <row r="29" spans="1:185" s="121" customFormat="1" ht="13">
      <c r="A29" s="96" t="s">
        <v>1811</v>
      </c>
      <c r="B29" s="93" t="s">
        <v>1924</v>
      </c>
      <c r="C29" s="204">
        <f t="shared" si="5"/>
        <v>0</v>
      </c>
      <c r="D29" s="236">
        <f t="shared" ref="D29:AG29" si="6">D24+D25+D26+D27+D28</f>
        <v>0</v>
      </c>
      <c r="E29" s="204">
        <f t="shared" si="6"/>
        <v>0</v>
      </c>
      <c r="F29" s="204">
        <f t="shared" si="6"/>
        <v>0</v>
      </c>
      <c r="G29" s="204">
        <f t="shared" si="6"/>
        <v>0</v>
      </c>
      <c r="H29" s="204">
        <f t="shared" si="6"/>
        <v>0</v>
      </c>
      <c r="I29" s="204">
        <f t="shared" si="6"/>
        <v>0</v>
      </c>
      <c r="J29" s="204">
        <f t="shared" si="6"/>
        <v>0</v>
      </c>
      <c r="K29" s="204">
        <f t="shared" si="6"/>
        <v>0</v>
      </c>
      <c r="L29" s="204">
        <f t="shared" si="6"/>
        <v>0</v>
      </c>
      <c r="M29" s="204">
        <f t="shared" si="6"/>
        <v>0</v>
      </c>
      <c r="N29" s="204">
        <f t="shared" si="6"/>
        <v>0</v>
      </c>
      <c r="O29" s="204">
        <f t="shared" si="6"/>
        <v>0</v>
      </c>
      <c r="P29" s="204">
        <f t="shared" si="6"/>
        <v>0</v>
      </c>
      <c r="Q29" s="204">
        <f t="shared" si="6"/>
        <v>0</v>
      </c>
      <c r="R29" s="204">
        <f t="shared" si="6"/>
        <v>0</v>
      </c>
      <c r="S29" s="204">
        <f t="shared" si="6"/>
        <v>0</v>
      </c>
      <c r="T29" s="204">
        <f t="shared" si="6"/>
        <v>0</v>
      </c>
      <c r="U29" s="204">
        <f t="shared" si="6"/>
        <v>0</v>
      </c>
      <c r="V29" s="204">
        <f t="shared" si="6"/>
        <v>0</v>
      </c>
      <c r="W29" s="204">
        <f t="shared" si="6"/>
        <v>0</v>
      </c>
      <c r="X29" s="204">
        <f t="shared" si="6"/>
        <v>0</v>
      </c>
      <c r="Y29" s="204">
        <f t="shared" si="6"/>
        <v>0</v>
      </c>
      <c r="Z29" s="204">
        <f t="shared" si="6"/>
        <v>0</v>
      </c>
      <c r="AA29" s="204">
        <f t="shared" si="6"/>
        <v>0</v>
      </c>
      <c r="AB29" s="204">
        <f t="shared" si="6"/>
        <v>0</v>
      </c>
      <c r="AC29" s="204">
        <f t="shared" si="6"/>
        <v>0</v>
      </c>
      <c r="AD29" s="204">
        <f t="shared" si="6"/>
        <v>0</v>
      </c>
      <c r="AE29" s="204">
        <f t="shared" si="6"/>
        <v>0</v>
      </c>
      <c r="AF29" s="204">
        <f t="shared" si="6"/>
        <v>0</v>
      </c>
      <c r="AG29" s="204">
        <f t="shared" si="6"/>
        <v>0</v>
      </c>
      <c r="AH29" s="170"/>
      <c r="AI29" s="171"/>
      <c r="AJ29" s="120"/>
      <c r="AK29" s="120"/>
      <c r="AL29" s="120"/>
      <c r="AM29" s="120"/>
      <c r="AN29" s="120"/>
      <c r="AO29" s="120"/>
      <c r="AP29" s="120"/>
      <c r="AQ29" s="120"/>
      <c r="AR29" s="120"/>
      <c r="AS29" s="120"/>
      <c r="AT29" s="120"/>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c r="BY29" s="120"/>
      <c r="BZ29" s="120"/>
      <c r="CA29" s="120"/>
      <c r="CB29" s="120"/>
      <c r="CC29" s="120"/>
      <c r="CD29" s="120"/>
      <c r="CE29" s="120"/>
      <c r="CF29" s="120"/>
      <c r="CG29" s="120"/>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c r="EU29" s="120"/>
      <c r="EV29" s="120"/>
      <c r="EW29" s="120"/>
      <c r="EX29" s="120"/>
      <c r="EY29" s="120"/>
      <c r="EZ29" s="120"/>
      <c r="FA29" s="120"/>
      <c r="FB29" s="120"/>
      <c r="FC29" s="120"/>
      <c r="FD29" s="120"/>
      <c r="FE29" s="120"/>
      <c r="FF29" s="120"/>
      <c r="FG29" s="120"/>
      <c r="FH29" s="120"/>
      <c r="FI29" s="120"/>
      <c r="FJ29" s="120"/>
      <c r="FK29" s="120"/>
      <c r="FL29" s="120"/>
      <c r="FM29" s="120"/>
      <c r="FN29" s="120"/>
      <c r="FO29" s="120"/>
      <c r="FP29" s="120"/>
      <c r="FQ29" s="120"/>
      <c r="FR29" s="120"/>
      <c r="FS29" s="120"/>
      <c r="FT29" s="120"/>
      <c r="FU29" s="120"/>
      <c r="FV29" s="120"/>
      <c r="FW29" s="120"/>
      <c r="FX29" s="120"/>
      <c r="FY29" s="120"/>
      <c r="FZ29" s="120"/>
      <c r="GA29" s="120"/>
      <c r="GB29" s="120"/>
      <c r="GC29" s="120"/>
    </row>
    <row r="30" spans="1:185" s="121" customFormat="1" ht="13">
      <c r="A30" s="96"/>
      <c r="B30" s="93"/>
      <c r="C30" s="204"/>
      <c r="D30" s="261"/>
      <c r="E30" s="267"/>
      <c r="F30" s="267"/>
      <c r="G30" s="267"/>
      <c r="H30" s="267"/>
      <c r="I30" s="267"/>
      <c r="J30" s="267"/>
      <c r="K30" s="268"/>
      <c r="L30" s="268"/>
      <c r="M30" s="268"/>
      <c r="N30" s="268"/>
      <c r="O30" s="268"/>
      <c r="P30" s="268"/>
      <c r="Q30" s="268"/>
      <c r="R30" s="268"/>
      <c r="S30" s="268"/>
      <c r="T30" s="268"/>
      <c r="U30" s="268"/>
      <c r="V30" s="268"/>
      <c r="W30" s="268"/>
      <c r="X30" s="268"/>
      <c r="Y30" s="268"/>
      <c r="Z30" s="268"/>
      <c r="AA30" s="268"/>
      <c r="AB30" s="268"/>
      <c r="AC30" s="268"/>
      <c r="AD30" s="268"/>
      <c r="AE30" s="268"/>
      <c r="AF30" s="268"/>
      <c r="AG30" s="268"/>
      <c r="AH30" s="170"/>
      <c r="AI30" s="171"/>
      <c r="AJ30" s="120"/>
      <c r="AK30" s="120"/>
      <c r="AL30" s="120"/>
      <c r="AM30" s="120"/>
      <c r="AN30" s="120"/>
      <c r="AO30" s="120"/>
      <c r="AP30" s="120"/>
      <c r="AQ30" s="120"/>
      <c r="AR30" s="120"/>
      <c r="AS30" s="120"/>
      <c r="AT30" s="120"/>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c r="BY30" s="120"/>
      <c r="BZ30" s="120"/>
      <c r="CA30" s="120"/>
      <c r="CB30" s="120"/>
      <c r="CC30" s="120"/>
      <c r="CD30" s="120"/>
      <c r="CE30" s="120"/>
      <c r="CF30" s="120"/>
      <c r="CG30" s="120"/>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c r="EU30" s="120"/>
      <c r="EV30" s="120"/>
      <c r="EW30" s="120"/>
      <c r="EX30" s="120"/>
      <c r="EY30" s="120"/>
      <c r="EZ30" s="120"/>
      <c r="FA30" s="120"/>
      <c r="FB30" s="120"/>
      <c r="FC30" s="120"/>
      <c r="FD30" s="120"/>
      <c r="FE30" s="120"/>
      <c r="FF30" s="120"/>
      <c r="FG30" s="120"/>
      <c r="FH30" s="120"/>
      <c r="FI30" s="120"/>
      <c r="FJ30" s="120"/>
      <c r="FK30" s="120"/>
      <c r="FL30" s="120"/>
      <c r="FM30" s="120"/>
      <c r="FN30" s="120"/>
      <c r="FO30" s="120"/>
      <c r="FP30" s="120"/>
      <c r="FQ30" s="120"/>
      <c r="FR30" s="120"/>
      <c r="FS30" s="120"/>
      <c r="FT30" s="120"/>
      <c r="FU30" s="120"/>
      <c r="FV30" s="120"/>
      <c r="FW30" s="120"/>
      <c r="FX30" s="120"/>
      <c r="FY30" s="120"/>
      <c r="FZ30" s="120"/>
      <c r="GA30" s="120"/>
      <c r="GB30" s="120"/>
      <c r="GC30" s="120"/>
    </row>
    <row r="31" spans="1:185" s="121" customFormat="1" ht="13">
      <c r="A31" s="99" t="s">
        <v>1815</v>
      </c>
      <c r="B31" s="92" t="s">
        <v>1875</v>
      </c>
      <c r="C31" s="206">
        <f t="shared" si="5"/>
        <v>0</v>
      </c>
      <c r="D31" s="261"/>
      <c r="E31" s="209"/>
      <c r="F31" s="209"/>
      <c r="G31" s="209"/>
      <c r="H31" s="209"/>
      <c r="I31" s="209"/>
      <c r="J31" s="209"/>
      <c r="K31" s="210"/>
      <c r="L31" s="210"/>
      <c r="M31" s="210"/>
      <c r="N31" s="210"/>
      <c r="O31" s="210"/>
      <c r="P31" s="210"/>
      <c r="Q31" s="210"/>
      <c r="R31" s="210"/>
      <c r="S31" s="210"/>
      <c r="T31" s="210"/>
      <c r="U31" s="210"/>
      <c r="V31" s="210"/>
      <c r="W31" s="210"/>
      <c r="X31" s="210"/>
      <c r="Y31" s="210"/>
      <c r="Z31" s="210"/>
      <c r="AA31" s="210"/>
      <c r="AB31" s="210"/>
      <c r="AC31" s="210"/>
      <c r="AD31" s="210"/>
      <c r="AE31" s="210"/>
      <c r="AF31" s="210"/>
      <c r="AG31" s="210"/>
      <c r="AH31" s="170"/>
      <c r="AI31" s="171"/>
      <c r="AJ31" s="120"/>
      <c r="AK31" s="120"/>
      <c r="AL31" s="120"/>
      <c r="AM31" s="120"/>
      <c r="AN31" s="120"/>
      <c r="AO31" s="120"/>
      <c r="AP31" s="120"/>
      <c r="AQ31" s="120"/>
      <c r="AR31" s="120"/>
      <c r="AS31" s="120"/>
      <c r="AT31" s="120"/>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c r="BY31" s="120"/>
      <c r="BZ31" s="120"/>
      <c r="CA31" s="120"/>
      <c r="CB31" s="120"/>
      <c r="CC31" s="120"/>
      <c r="CD31" s="120"/>
      <c r="CE31" s="120"/>
      <c r="CF31" s="120"/>
      <c r="CG31" s="120"/>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c r="EU31" s="120"/>
      <c r="EV31" s="120"/>
      <c r="EW31" s="120"/>
      <c r="EX31" s="120"/>
      <c r="EY31" s="120"/>
      <c r="EZ31" s="120"/>
      <c r="FA31" s="120"/>
      <c r="FB31" s="120"/>
      <c r="FC31" s="120"/>
      <c r="FD31" s="120"/>
      <c r="FE31" s="120"/>
      <c r="FF31" s="120"/>
      <c r="FG31" s="120"/>
      <c r="FH31" s="120"/>
      <c r="FI31" s="120"/>
      <c r="FJ31" s="120"/>
      <c r="FK31" s="120"/>
      <c r="FL31" s="120"/>
      <c r="FM31" s="120"/>
      <c r="FN31" s="120"/>
      <c r="FO31" s="120"/>
      <c r="FP31" s="120"/>
      <c r="FQ31" s="120"/>
      <c r="FR31" s="120"/>
      <c r="FS31" s="120"/>
      <c r="FT31" s="120"/>
      <c r="FU31" s="120"/>
      <c r="FV31" s="120"/>
      <c r="FW31" s="120"/>
      <c r="FX31" s="120"/>
      <c r="FY31" s="120"/>
      <c r="FZ31" s="120"/>
      <c r="GA31" s="120"/>
      <c r="GB31" s="120"/>
      <c r="GC31" s="120"/>
    </row>
    <row r="32" spans="1:185" s="121" customFormat="1" ht="13">
      <c r="A32" s="99" t="s">
        <v>1816</v>
      </c>
      <c r="B32" s="92" t="s">
        <v>1876</v>
      </c>
      <c r="C32" s="206">
        <f t="shared" si="5"/>
        <v>0</v>
      </c>
      <c r="D32" s="261"/>
      <c r="E32" s="209"/>
      <c r="F32" s="209"/>
      <c r="G32" s="209"/>
      <c r="H32" s="209"/>
      <c r="I32" s="209"/>
      <c r="J32" s="209"/>
      <c r="K32" s="210"/>
      <c r="L32" s="210"/>
      <c r="M32" s="210"/>
      <c r="N32" s="210"/>
      <c r="O32" s="210"/>
      <c r="P32" s="210"/>
      <c r="Q32" s="210"/>
      <c r="R32" s="210"/>
      <c r="S32" s="210"/>
      <c r="T32" s="210"/>
      <c r="U32" s="210"/>
      <c r="V32" s="210"/>
      <c r="W32" s="210"/>
      <c r="X32" s="210"/>
      <c r="Y32" s="210"/>
      <c r="Z32" s="210"/>
      <c r="AA32" s="210"/>
      <c r="AB32" s="210"/>
      <c r="AC32" s="210"/>
      <c r="AD32" s="210"/>
      <c r="AE32" s="210"/>
      <c r="AF32" s="210"/>
      <c r="AG32" s="210"/>
      <c r="AH32" s="170"/>
      <c r="AI32" s="171"/>
      <c r="AJ32" s="120"/>
      <c r="AK32" s="120"/>
      <c r="AL32" s="120"/>
      <c r="AM32" s="120"/>
      <c r="AN32" s="120"/>
      <c r="AO32" s="120"/>
      <c r="AP32" s="120"/>
      <c r="AQ32" s="120"/>
      <c r="AR32" s="120"/>
      <c r="AS32" s="120"/>
      <c r="AT32" s="120"/>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c r="BY32" s="120"/>
      <c r="BZ32" s="120"/>
      <c r="CA32" s="120"/>
      <c r="CB32" s="120"/>
      <c r="CC32" s="120"/>
      <c r="CD32" s="120"/>
      <c r="CE32" s="120"/>
      <c r="CF32" s="120"/>
      <c r="CG32" s="120"/>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c r="EU32" s="120"/>
      <c r="EV32" s="120"/>
      <c r="EW32" s="120"/>
      <c r="EX32" s="120"/>
      <c r="EY32" s="120"/>
      <c r="EZ32" s="120"/>
      <c r="FA32" s="120"/>
      <c r="FB32" s="120"/>
      <c r="FC32" s="120"/>
      <c r="FD32" s="120"/>
      <c r="FE32" s="120"/>
      <c r="FF32" s="120"/>
      <c r="FG32" s="120"/>
      <c r="FH32" s="120"/>
      <c r="FI32" s="120"/>
      <c r="FJ32" s="120"/>
      <c r="FK32" s="120"/>
      <c r="FL32" s="120"/>
      <c r="FM32" s="120"/>
      <c r="FN32" s="120"/>
      <c r="FO32" s="120"/>
      <c r="FP32" s="120"/>
      <c r="FQ32" s="120"/>
      <c r="FR32" s="120"/>
      <c r="FS32" s="120"/>
      <c r="FT32" s="120"/>
      <c r="FU32" s="120"/>
      <c r="FV32" s="120"/>
      <c r="FW32" s="120"/>
      <c r="FX32" s="120"/>
      <c r="FY32" s="120"/>
      <c r="FZ32" s="120"/>
      <c r="GA32" s="120"/>
      <c r="GB32" s="120"/>
      <c r="GC32" s="120"/>
    </row>
    <row r="33" spans="1:185" s="121" customFormat="1" ht="13">
      <c r="A33" s="96" t="s">
        <v>1814</v>
      </c>
      <c r="B33" s="90" t="s">
        <v>1931</v>
      </c>
      <c r="C33" s="206">
        <f t="shared" si="5"/>
        <v>0</v>
      </c>
      <c r="D33" s="237">
        <f t="shared" ref="D33:AG33" si="7">D31+D32</f>
        <v>0</v>
      </c>
      <c r="E33" s="206">
        <f t="shared" si="7"/>
        <v>0</v>
      </c>
      <c r="F33" s="206">
        <f t="shared" si="7"/>
        <v>0</v>
      </c>
      <c r="G33" s="206">
        <f t="shared" si="7"/>
        <v>0</v>
      </c>
      <c r="H33" s="206">
        <f t="shared" si="7"/>
        <v>0</v>
      </c>
      <c r="I33" s="206">
        <f t="shared" si="7"/>
        <v>0</v>
      </c>
      <c r="J33" s="206">
        <f t="shared" si="7"/>
        <v>0</v>
      </c>
      <c r="K33" s="206">
        <f t="shared" si="7"/>
        <v>0</v>
      </c>
      <c r="L33" s="206">
        <f t="shared" si="7"/>
        <v>0</v>
      </c>
      <c r="M33" s="206">
        <f t="shared" si="7"/>
        <v>0</v>
      </c>
      <c r="N33" s="206">
        <f t="shared" si="7"/>
        <v>0</v>
      </c>
      <c r="O33" s="206">
        <f t="shared" si="7"/>
        <v>0</v>
      </c>
      <c r="P33" s="206">
        <f t="shared" si="7"/>
        <v>0</v>
      </c>
      <c r="Q33" s="206">
        <f t="shared" si="7"/>
        <v>0</v>
      </c>
      <c r="R33" s="206">
        <f t="shared" si="7"/>
        <v>0</v>
      </c>
      <c r="S33" s="206">
        <f t="shared" si="7"/>
        <v>0</v>
      </c>
      <c r="T33" s="206">
        <f t="shared" si="7"/>
        <v>0</v>
      </c>
      <c r="U33" s="206">
        <f t="shared" si="7"/>
        <v>0</v>
      </c>
      <c r="V33" s="206">
        <f t="shared" si="7"/>
        <v>0</v>
      </c>
      <c r="W33" s="206">
        <f t="shared" si="7"/>
        <v>0</v>
      </c>
      <c r="X33" s="206">
        <f t="shared" si="7"/>
        <v>0</v>
      </c>
      <c r="Y33" s="206">
        <f t="shared" si="7"/>
        <v>0</v>
      </c>
      <c r="Z33" s="206">
        <f t="shared" si="7"/>
        <v>0</v>
      </c>
      <c r="AA33" s="206">
        <f t="shared" si="7"/>
        <v>0</v>
      </c>
      <c r="AB33" s="206">
        <f t="shared" si="7"/>
        <v>0</v>
      </c>
      <c r="AC33" s="206">
        <f t="shared" si="7"/>
        <v>0</v>
      </c>
      <c r="AD33" s="206">
        <f t="shared" si="7"/>
        <v>0</v>
      </c>
      <c r="AE33" s="206">
        <f t="shared" si="7"/>
        <v>0</v>
      </c>
      <c r="AF33" s="206">
        <f t="shared" si="7"/>
        <v>0</v>
      </c>
      <c r="AG33" s="206">
        <f t="shared" si="7"/>
        <v>0</v>
      </c>
      <c r="AH33" s="170"/>
      <c r="AI33" s="171"/>
      <c r="AJ33" s="120"/>
      <c r="AK33" s="120"/>
      <c r="AL33" s="120"/>
      <c r="AM33" s="120"/>
      <c r="AN33" s="120"/>
      <c r="AO33" s="120"/>
      <c r="AP33" s="120"/>
      <c r="AQ33" s="120"/>
      <c r="AR33" s="120"/>
      <c r="AS33" s="120"/>
      <c r="AT33" s="120"/>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c r="BY33" s="120"/>
      <c r="BZ33" s="120"/>
      <c r="CA33" s="120"/>
      <c r="CB33" s="120"/>
      <c r="CC33" s="120"/>
      <c r="CD33" s="120"/>
      <c r="CE33" s="120"/>
      <c r="CF33" s="120"/>
      <c r="CG33" s="120"/>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c r="EU33" s="120"/>
      <c r="EV33" s="120"/>
      <c r="EW33" s="120"/>
      <c r="EX33" s="120"/>
      <c r="EY33" s="120"/>
      <c r="EZ33" s="120"/>
      <c r="FA33" s="120"/>
      <c r="FB33" s="120"/>
      <c r="FC33" s="120"/>
      <c r="FD33" s="120"/>
      <c r="FE33" s="120"/>
      <c r="FF33" s="120"/>
      <c r="FG33" s="120"/>
      <c r="FH33" s="120"/>
      <c r="FI33" s="120"/>
      <c r="FJ33" s="120"/>
      <c r="FK33" s="120"/>
      <c r="FL33" s="120"/>
      <c r="FM33" s="120"/>
      <c r="FN33" s="120"/>
      <c r="FO33" s="120"/>
      <c r="FP33" s="120"/>
      <c r="FQ33" s="120"/>
      <c r="FR33" s="120"/>
      <c r="FS33" s="120"/>
      <c r="FT33" s="120"/>
      <c r="FU33" s="120"/>
      <c r="FV33" s="120"/>
      <c r="FW33" s="120"/>
      <c r="FX33" s="120"/>
      <c r="FY33" s="120"/>
      <c r="FZ33" s="120"/>
      <c r="GA33" s="120"/>
      <c r="GB33" s="120"/>
      <c r="GC33" s="120"/>
    </row>
    <row r="34" spans="1:185" s="121" customFormat="1" ht="13">
      <c r="A34" s="98" t="s">
        <v>1868</v>
      </c>
      <c r="B34" s="92" t="s">
        <v>1878</v>
      </c>
      <c r="C34" s="206">
        <f t="shared" si="5"/>
        <v>0</v>
      </c>
      <c r="D34" s="261"/>
      <c r="E34" s="209"/>
      <c r="F34" s="209"/>
      <c r="G34" s="209"/>
      <c r="H34" s="209"/>
      <c r="I34" s="209"/>
      <c r="J34" s="209"/>
      <c r="K34" s="210"/>
      <c r="L34" s="210"/>
      <c r="M34" s="210"/>
      <c r="N34" s="210"/>
      <c r="O34" s="210"/>
      <c r="P34" s="210"/>
      <c r="Q34" s="210"/>
      <c r="R34" s="210"/>
      <c r="S34" s="210"/>
      <c r="T34" s="210"/>
      <c r="U34" s="210"/>
      <c r="V34" s="210"/>
      <c r="W34" s="210"/>
      <c r="X34" s="210"/>
      <c r="Y34" s="210"/>
      <c r="Z34" s="210"/>
      <c r="AA34" s="210"/>
      <c r="AB34" s="210"/>
      <c r="AC34" s="210"/>
      <c r="AD34" s="210"/>
      <c r="AE34" s="210"/>
      <c r="AF34" s="210"/>
      <c r="AG34" s="210"/>
      <c r="AH34" s="170"/>
      <c r="AI34" s="171"/>
      <c r="AJ34" s="120"/>
      <c r="AK34" s="120"/>
      <c r="AL34" s="120"/>
      <c r="AM34" s="120"/>
      <c r="AN34" s="120"/>
      <c r="AO34" s="120"/>
      <c r="AP34" s="120"/>
      <c r="AQ34" s="120"/>
      <c r="AR34" s="120"/>
      <c r="AS34" s="120"/>
      <c r="AT34" s="120"/>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c r="BY34" s="120"/>
      <c r="BZ34" s="120"/>
      <c r="CA34" s="120"/>
      <c r="CB34" s="120"/>
      <c r="CC34" s="120"/>
      <c r="CD34" s="120"/>
      <c r="CE34" s="120"/>
      <c r="CF34" s="120"/>
      <c r="CG34" s="120"/>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c r="EU34" s="120"/>
      <c r="EV34" s="120"/>
      <c r="EW34" s="120"/>
      <c r="EX34" s="120"/>
      <c r="EY34" s="120"/>
      <c r="EZ34" s="120"/>
      <c r="FA34" s="120"/>
      <c r="FB34" s="120"/>
      <c r="FC34" s="120"/>
      <c r="FD34" s="120"/>
      <c r="FE34" s="120"/>
      <c r="FF34" s="120"/>
      <c r="FG34" s="120"/>
      <c r="FH34" s="120"/>
      <c r="FI34" s="120"/>
      <c r="FJ34" s="120"/>
      <c r="FK34" s="120"/>
      <c r="FL34" s="120"/>
      <c r="FM34" s="120"/>
      <c r="FN34" s="120"/>
      <c r="FO34" s="120"/>
      <c r="FP34" s="120"/>
      <c r="FQ34" s="120"/>
      <c r="FR34" s="120"/>
      <c r="FS34" s="120"/>
      <c r="FT34" s="120"/>
      <c r="FU34" s="120"/>
      <c r="FV34" s="120"/>
      <c r="FW34" s="120"/>
      <c r="FX34" s="120"/>
      <c r="FY34" s="120"/>
      <c r="FZ34" s="120"/>
      <c r="GA34" s="120"/>
      <c r="GB34" s="120"/>
      <c r="GC34" s="120"/>
    </row>
    <row r="35" spans="1:185" s="121" customFormat="1" ht="13">
      <c r="A35" s="98" t="s">
        <v>1869</v>
      </c>
      <c r="B35" s="92" t="s">
        <v>1879</v>
      </c>
      <c r="C35" s="206">
        <f t="shared" si="5"/>
        <v>0</v>
      </c>
      <c r="D35" s="261"/>
      <c r="E35" s="209"/>
      <c r="F35" s="209"/>
      <c r="G35" s="209"/>
      <c r="H35" s="209"/>
      <c r="I35" s="209"/>
      <c r="J35" s="209"/>
      <c r="K35" s="210"/>
      <c r="L35" s="210"/>
      <c r="M35" s="210"/>
      <c r="N35" s="210"/>
      <c r="O35" s="210"/>
      <c r="P35" s="210"/>
      <c r="Q35" s="210"/>
      <c r="R35" s="210"/>
      <c r="S35" s="210"/>
      <c r="T35" s="210"/>
      <c r="U35" s="210"/>
      <c r="V35" s="210"/>
      <c r="W35" s="210"/>
      <c r="X35" s="210"/>
      <c r="Y35" s="210"/>
      <c r="Z35" s="210"/>
      <c r="AA35" s="210"/>
      <c r="AB35" s="210"/>
      <c r="AC35" s="210"/>
      <c r="AD35" s="210"/>
      <c r="AE35" s="210"/>
      <c r="AF35" s="210"/>
      <c r="AG35" s="210"/>
      <c r="AH35" s="170"/>
      <c r="AI35" s="171"/>
      <c r="AJ35" s="120"/>
      <c r="AK35" s="120"/>
      <c r="AL35" s="120"/>
      <c r="AM35" s="120"/>
      <c r="AN35" s="120"/>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c r="BZ35" s="120"/>
      <c r="CA35" s="120"/>
      <c r="CB35" s="120"/>
      <c r="CC35" s="120"/>
      <c r="CD35" s="120"/>
      <c r="CE35" s="120"/>
      <c r="CF35" s="120"/>
      <c r="CG35" s="120"/>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c r="EU35" s="120"/>
      <c r="EV35" s="120"/>
      <c r="EW35" s="120"/>
      <c r="EX35" s="120"/>
      <c r="EY35" s="120"/>
      <c r="EZ35" s="120"/>
      <c r="FA35" s="120"/>
      <c r="FB35" s="120"/>
      <c r="FC35" s="120"/>
      <c r="FD35" s="120"/>
      <c r="FE35" s="120"/>
      <c r="FF35" s="120"/>
      <c r="FG35" s="120"/>
      <c r="FH35" s="120"/>
      <c r="FI35" s="120"/>
      <c r="FJ35" s="120"/>
      <c r="FK35" s="120"/>
      <c r="FL35" s="120"/>
      <c r="FM35" s="120"/>
      <c r="FN35" s="120"/>
      <c r="FO35" s="120"/>
      <c r="FP35" s="120"/>
      <c r="FQ35" s="120"/>
      <c r="FR35" s="120"/>
      <c r="FS35" s="120"/>
      <c r="FT35" s="120"/>
      <c r="FU35" s="120"/>
      <c r="FV35" s="120"/>
      <c r="FW35" s="120"/>
      <c r="FX35" s="120"/>
      <c r="FY35" s="120"/>
      <c r="FZ35" s="120"/>
      <c r="GA35" s="120"/>
      <c r="GB35" s="120"/>
      <c r="GC35" s="120"/>
    </row>
    <row r="36" spans="1:185" s="121" customFormat="1" ht="13">
      <c r="A36" s="98" t="s">
        <v>1870</v>
      </c>
      <c r="B36" s="92" t="s">
        <v>1880</v>
      </c>
      <c r="C36" s="206">
        <f t="shared" si="5"/>
        <v>0</v>
      </c>
      <c r="D36" s="261"/>
      <c r="E36" s="209"/>
      <c r="F36" s="209"/>
      <c r="G36" s="209"/>
      <c r="H36" s="209"/>
      <c r="I36" s="209"/>
      <c r="J36" s="209"/>
      <c r="K36" s="210"/>
      <c r="L36" s="210"/>
      <c r="M36" s="210"/>
      <c r="N36" s="210"/>
      <c r="O36" s="210"/>
      <c r="P36" s="210"/>
      <c r="Q36" s="210"/>
      <c r="R36" s="210"/>
      <c r="S36" s="210"/>
      <c r="T36" s="210"/>
      <c r="U36" s="210"/>
      <c r="V36" s="210"/>
      <c r="W36" s="210"/>
      <c r="X36" s="210"/>
      <c r="Y36" s="210"/>
      <c r="Z36" s="210"/>
      <c r="AA36" s="210"/>
      <c r="AB36" s="210"/>
      <c r="AC36" s="210"/>
      <c r="AD36" s="210"/>
      <c r="AE36" s="210"/>
      <c r="AF36" s="210"/>
      <c r="AG36" s="210"/>
      <c r="AH36" s="170"/>
      <c r="AI36" s="171"/>
      <c r="AJ36" s="120"/>
      <c r="AK36" s="120"/>
      <c r="AL36" s="120"/>
      <c r="AM36" s="120"/>
      <c r="AN36" s="120"/>
      <c r="AO36" s="120"/>
      <c r="AP36" s="120"/>
      <c r="AQ36" s="120"/>
      <c r="AR36" s="120"/>
      <c r="AS36" s="120"/>
      <c r="AT36" s="120"/>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120"/>
      <c r="CF36" s="120"/>
      <c r="CG36" s="120"/>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c r="EU36" s="120"/>
      <c r="EV36" s="120"/>
      <c r="EW36" s="120"/>
      <c r="EX36" s="120"/>
      <c r="EY36" s="120"/>
      <c r="EZ36" s="120"/>
      <c r="FA36" s="120"/>
      <c r="FB36" s="120"/>
      <c r="FC36" s="120"/>
      <c r="FD36" s="120"/>
      <c r="FE36" s="120"/>
      <c r="FF36" s="120"/>
      <c r="FG36" s="120"/>
      <c r="FH36" s="120"/>
      <c r="FI36" s="120"/>
      <c r="FJ36" s="120"/>
      <c r="FK36" s="120"/>
      <c r="FL36" s="120"/>
      <c r="FM36" s="120"/>
      <c r="FN36" s="120"/>
      <c r="FO36" s="120"/>
      <c r="FP36" s="120"/>
      <c r="FQ36" s="120"/>
      <c r="FR36" s="120"/>
      <c r="FS36" s="120"/>
      <c r="FT36" s="120"/>
      <c r="FU36" s="120"/>
      <c r="FV36" s="120"/>
      <c r="FW36" s="120"/>
      <c r="FX36" s="120"/>
      <c r="FY36" s="120"/>
      <c r="FZ36" s="120"/>
      <c r="GA36" s="120"/>
      <c r="GB36" s="120"/>
      <c r="GC36" s="120"/>
    </row>
    <row r="37" spans="1:185" s="121" customFormat="1" ht="13">
      <c r="A37" s="96" t="s">
        <v>1820</v>
      </c>
      <c r="B37" s="90" t="s">
        <v>1932</v>
      </c>
      <c r="C37" s="206">
        <f t="shared" si="5"/>
        <v>0</v>
      </c>
      <c r="D37" s="237">
        <f t="shared" ref="D37:AG37" si="8">D34+D35+D36</f>
        <v>0</v>
      </c>
      <c r="E37" s="206">
        <f t="shared" si="8"/>
        <v>0</v>
      </c>
      <c r="F37" s="206">
        <f t="shared" si="8"/>
        <v>0</v>
      </c>
      <c r="G37" s="206">
        <f t="shared" si="8"/>
        <v>0</v>
      </c>
      <c r="H37" s="206">
        <f t="shared" si="8"/>
        <v>0</v>
      </c>
      <c r="I37" s="206">
        <f t="shared" si="8"/>
        <v>0</v>
      </c>
      <c r="J37" s="206">
        <f t="shared" si="8"/>
        <v>0</v>
      </c>
      <c r="K37" s="206">
        <f t="shared" si="8"/>
        <v>0</v>
      </c>
      <c r="L37" s="206">
        <f t="shared" si="8"/>
        <v>0</v>
      </c>
      <c r="M37" s="206">
        <f t="shared" si="8"/>
        <v>0</v>
      </c>
      <c r="N37" s="206">
        <f t="shared" si="8"/>
        <v>0</v>
      </c>
      <c r="O37" s="206">
        <f t="shared" si="8"/>
        <v>0</v>
      </c>
      <c r="P37" s="206">
        <f t="shared" si="8"/>
        <v>0</v>
      </c>
      <c r="Q37" s="206">
        <f t="shared" si="8"/>
        <v>0</v>
      </c>
      <c r="R37" s="206">
        <f t="shared" si="8"/>
        <v>0</v>
      </c>
      <c r="S37" s="206">
        <f t="shared" si="8"/>
        <v>0</v>
      </c>
      <c r="T37" s="206">
        <f t="shared" si="8"/>
        <v>0</v>
      </c>
      <c r="U37" s="206">
        <f t="shared" si="8"/>
        <v>0</v>
      </c>
      <c r="V37" s="206">
        <f t="shared" si="8"/>
        <v>0</v>
      </c>
      <c r="W37" s="206">
        <f t="shared" si="8"/>
        <v>0</v>
      </c>
      <c r="X37" s="206">
        <f t="shared" si="8"/>
        <v>0</v>
      </c>
      <c r="Y37" s="206">
        <f t="shared" si="8"/>
        <v>0</v>
      </c>
      <c r="Z37" s="206">
        <f t="shared" si="8"/>
        <v>0</v>
      </c>
      <c r="AA37" s="206">
        <f t="shared" si="8"/>
        <v>0</v>
      </c>
      <c r="AB37" s="206">
        <f t="shared" si="8"/>
        <v>0</v>
      </c>
      <c r="AC37" s="206">
        <f t="shared" si="8"/>
        <v>0</v>
      </c>
      <c r="AD37" s="206">
        <f t="shared" si="8"/>
        <v>0</v>
      </c>
      <c r="AE37" s="206">
        <f t="shared" si="8"/>
        <v>0</v>
      </c>
      <c r="AF37" s="206">
        <f t="shared" si="8"/>
        <v>0</v>
      </c>
      <c r="AG37" s="206">
        <f t="shared" si="8"/>
        <v>0</v>
      </c>
      <c r="AH37" s="170"/>
      <c r="AI37" s="171"/>
      <c r="AJ37" s="120"/>
      <c r="AK37" s="120"/>
      <c r="AL37" s="120"/>
      <c r="AM37" s="120"/>
      <c r="AN37" s="120"/>
      <c r="AO37" s="120"/>
      <c r="AP37" s="120"/>
      <c r="AQ37" s="120"/>
      <c r="AR37" s="120"/>
      <c r="AS37" s="120"/>
      <c r="AT37" s="120"/>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c r="BS37" s="120"/>
      <c r="BT37" s="120"/>
      <c r="BU37" s="120"/>
      <c r="BV37" s="120"/>
      <c r="BW37" s="120"/>
      <c r="BX37" s="120"/>
      <c r="BY37" s="120"/>
      <c r="BZ37" s="120"/>
      <c r="CA37" s="120"/>
      <c r="CB37" s="120"/>
      <c r="CC37" s="120"/>
      <c r="CD37" s="120"/>
      <c r="CE37" s="120"/>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c r="EU37" s="120"/>
      <c r="EV37" s="120"/>
      <c r="EW37" s="120"/>
      <c r="EX37" s="120"/>
      <c r="EY37" s="120"/>
      <c r="EZ37" s="120"/>
      <c r="FA37" s="120"/>
      <c r="FB37" s="120"/>
      <c r="FC37" s="120"/>
      <c r="FD37" s="120"/>
      <c r="FE37" s="120"/>
      <c r="FF37" s="120"/>
      <c r="FG37" s="120"/>
      <c r="FH37" s="120"/>
      <c r="FI37" s="120"/>
      <c r="FJ37" s="120"/>
      <c r="FK37" s="120"/>
      <c r="FL37" s="120"/>
      <c r="FM37" s="120"/>
      <c r="FN37" s="120"/>
      <c r="FO37" s="120"/>
      <c r="FP37" s="120"/>
      <c r="FQ37" s="120"/>
      <c r="FR37" s="120"/>
      <c r="FS37" s="120"/>
      <c r="FT37" s="120"/>
      <c r="FU37" s="120"/>
      <c r="FV37" s="120"/>
      <c r="FW37" s="120"/>
      <c r="FX37" s="120"/>
      <c r="FY37" s="120"/>
      <c r="FZ37" s="120"/>
      <c r="GA37" s="120"/>
      <c r="GB37" s="120"/>
      <c r="GC37" s="120"/>
    </row>
    <row r="38" spans="1:185" s="123" customFormat="1" ht="13">
      <c r="A38" s="97"/>
      <c r="B38" s="93" t="s">
        <v>1854</v>
      </c>
      <c r="C38" s="204">
        <f t="shared" si="5"/>
        <v>0</v>
      </c>
      <c r="D38" s="236">
        <f t="shared" ref="D38:AG38" si="9">D33+D37</f>
        <v>0</v>
      </c>
      <c r="E38" s="204">
        <f t="shared" si="9"/>
        <v>0</v>
      </c>
      <c r="F38" s="204">
        <f t="shared" si="9"/>
        <v>0</v>
      </c>
      <c r="G38" s="204">
        <f t="shared" si="9"/>
        <v>0</v>
      </c>
      <c r="H38" s="204">
        <f t="shared" si="9"/>
        <v>0</v>
      </c>
      <c r="I38" s="204">
        <f t="shared" si="9"/>
        <v>0</v>
      </c>
      <c r="J38" s="204">
        <f t="shared" si="9"/>
        <v>0</v>
      </c>
      <c r="K38" s="204">
        <f t="shared" si="9"/>
        <v>0</v>
      </c>
      <c r="L38" s="204">
        <f t="shared" si="9"/>
        <v>0</v>
      </c>
      <c r="M38" s="204">
        <f t="shared" si="9"/>
        <v>0</v>
      </c>
      <c r="N38" s="204">
        <f t="shared" si="9"/>
        <v>0</v>
      </c>
      <c r="O38" s="204">
        <f t="shared" si="9"/>
        <v>0</v>
      </c>
      <c r="P38" s="204">
        <f t="shared" si="9"/>
        <v>0</v>
      </c>
      <c r="Q38" s="204">
        <f t="shared" si="9"/>
        <v>0</v>
      </c>
      <c r="R38" s="204">
        <f t="shared" si="9"/>
        <v>0</v>
      </c>
      <c r="S38" s="204">
        <f t="shared" si="9"/>
        <v>0</v>
      </c>
      <c r="T38" s="204">
        <f t="shared" si="9"/>
        <v>0</v>
      </c>
      <c r="U38" s="204">
        <f t="shared" si="9"/>
        <v>0</v>
      </c>
      <c r="V38" s="204">
        <f t="shared" si="9"/>
        <v>0</v>
      </c>
      <c r="W38" s="204">
        <f t="shared" si="9"/>
        <v>0</v>
      </c>
      <c r="X38" s="204">
        <f t="shared" si="9"/>
        <v>0</v>
      </c>
      <c r="Y38" s="204">
        <f t="shared" si="9"/>
        <v>0</v>
      </c>
      <c r="Z38" s="204">
        <f t="shared" si="9"/>
        <v>0</v>
      </c>
      <c r="AA38" s="204">
        <f t="shared" si="9"/>
        <v>0</v>
      </c>
      <c r="AB38" s="204">
        <f t="shared" si="9"/>
        <v>0</v>
      </c>
      <c r="AC38" s="204">
        <f t="shared" si="9"/>
        <v>0</v>
      </c>
      <c r="AD38" s="204">
        <f t="shared" si="9"/>
        <v>0</v>
      </c>
      <c r="AE38" s="204">
        <f t="shared" si="9"/>
        <v>0</v>
      </c>
      <c r="AF38" s="204">
        <f t="shared" si="9"/>
        <v>0</v>
      </c>
      <c r="AG38" s="204">
        <f t="shared" si="9"/>
        <v>0</v>
      </c>
      <c r="AH38" s="172"/>
      <c r="AI38" s="173"/>
      <c r="AJ38" s="122"/>
      <c r="AK38" s="122"/>
      <c r="AL38" s="122"/>
      <c r="AM38" s="122"/>
      <c r="AN38" s="122"/>
      <c r="AO38" s="122"/>
      <c r="AP38" s="122"/>
      <c r="AQ38" s="122"/>
      <c r="AR38" s="122"/>
      <c r="AS38" s="122"/>
      <c r="AT38" s="122"/>
      <c r="AU38" s="122"/>
      <c r="AV38" s="122"/>
      <c r="AW38" s="122"/>
      <c r="AX38" s="122"/>
      <c r="AY38" s="122"/>
      <c r="AZ38" s="122"/>
      <c r="BA38" s="122"/>
      <c r="BB38" s="122"/>
      <c r="BC38" s="122"/>
      <c r="BD38" s="122"/>
      <c r="BE38" s="122"/>
      <c r="BF38" s="122"/>
      <c r="BG38" s="122"/>
      <c r="BH38" s="122"/>
      <c r="BI38" s="122"/>
      <c r="BJ38" s="122"/>
      <c r="BK38" s="122"/>
      <c r="BL38" s="122"/>
      <c r="BM38" s="122"/>
      <c r="BN38" s="122"/>
      <c r="BO38" s="122"/>
      <c r="BP38" s="122"/>
      <c r="BQ38" s="122"/>
      <c r="BR38" s="122"/>
      <c r="BS38" s="122"/>
      <c r="BT38" s="122"/>
      <c r="BU38" s="122"/>
      <c r="BV38" s="122"/>
      <c r="BW38" s="122"/>
      <c r="BX38" s="122"/>
      <c r="BY38" s="122"/>
      <c r="BZ38" s="122"/>
      <c r="CA38" s="122"/>
      <c r="CB38" s="122"/>
      <c r="CC38" s="122"/>
      <c r="CD38" s="122"/>
      <c r="CE38" s="122"/>
      <c r="CF38" s="122"/>
      <c r="CG38" s="122"/>
      <c r="CH38" s="122"/>
      <c r="CI38" s="122"/>
      <c r="CJ38" s="122"/>
      <c r="CK38" s="122"/>
      <c r="CL38" s="122"/>
      <c r="CM38" s="122"/>
      <c r="CN38" s="122"/>
      <c r="CO38" s="122"/>
      <c r="CP38" s="122"/>
      <c r="CQ38" s="122"/>
      <c r="CR38" s="122"/>
      <c r="CS38" s="122"/>
      <c r="CT38" s="122"/>
      <c r="CU38" s="122"/>
      <c r="CV38" s="122"/>
      <c r="CW38" s="122"/>
      <c r="CX38" s="122"/>
      <c r="CY38" s="122"/>
      <c r="CZ38" s="122"/>
      <c r="DA38" s="122"/>
      <c r="DB38" s="122"/>
      <c r="DC38" s="122"/>
      <c r="DD38" s="122"/>
      <c r="DE38" s="122"/>
      <c r="DF38" s="122"/>
      <c r="DG38" s="122"/>
      <c r="DH38" s="122"/>
      <c r="DI38" s="122"/>
      <c r="DJ38" s="122"/>
      <c r="DK38" s="122"/>
      <c r="DL38" s="122"/>
      <c r="DM38" s="122"/>
      <c r="DN38" s="122"/>
      <c r="DO38" s="122"/>
      <c r="DP38" s="122"/>
      <c r="DQ38" s="122"/>
      <c r="DR38" s="122"/>
      <c r="DS38" s="122"/>
      <c r="DT38" s="122"/>
      <c r="DU38" s="122"/>
      <c r="DV38" s="122"/>
      <c r="DW38" s="122"/>
      <c r="DX38" s="122"/>
      <c r="DY38" s="122"/>
      <c r="DZ38" s="122"/>
      <c r="EA38" s="122"/>
      <c r="EB38" s="122"/>
      <c r="EC38" s="122"/>
      <c r="ED38" s="122"/>
      <c r="EE38" s="122"/>
      <c r="EF38" s="122"/>
      <c r="EG38" s="122"/>
      <c r="EH38" s="122"/>
      <c r="EI38" s="122"/>
      <c r="EJ38" s="122"/>
      <c r="EK38" s="122"/>
      <c r="EL38" s="122"/>
      <c r="EM38" s="122"/>
      <c r="EN38" s="122"/>
      <c r="EO38" s="122"/>
      <c r="EP38" s="122"/>
      <c r="EQ38" s="122"/>
      <c r="ER38" s="122"/>
      <c r="ES38" s="122"/>
      <c r="ET38" s="122"/>
      <c r="EU38" s="122"/>
      <c r="EV38" s="122"/>
      <c r="EW38" s="122"/>
      <c r="EX38" s="122"/>
      <c r="EY38" s="122"/>
      <c r="EZ38" s="122"/>
      <c r="FA38" s="122"/>
      <c r="FB38" s="122"/>
      <c r="FC38" s="122"/>
      <c r="FD38" s="122"/>
      <c r="FE38" s="122"/>
      <c r="FF38" s="122"/>
      <c r="FG38" s="122"/>
      <c r="FH38" s="122"/>
      <c r="FI38" s="122"/>
      <c r="FJ38" s="122"/>
      <c r="FK38" s="122"/>
      <c r="FL38" s="122"/>
      <c r="FM38" s="122"/>
      <c r="FN38" s="122"/>
      <c r="FO38" s="122"/>
      <c r="FP38" s="122"/>
      <c r="FQ38" s="122"/>
      <c r="FR38" s="122"/>
      <c r="FS38" s="122"/>
      <c r="FT38" s="122"/>
      <c r="FU38" s="122"/>
      <c r="FV38" s="122"/>
      <c r="FW38" s="122"/>
      <c r="FX38" s="122"/>
      <c r="FY38" s="122"/>
      <c r="FZ38" s="122"/>
      <c r="GA38" s="122"/>
      <c r="GB38" s="122"/>
      <c r="GC38" s="122"/>
    </row>
    <row r="39" spans="1:185" s="121" customFormat="1" ht="13">
      <c r="A39" s="96"/>
      <c r="B39" s="94"/>
      <c r="C39" s="206"/>
      <c r="D39" s="261"/>
      <c r="E39" s="209"/>
      <c r="F39" s="209"/>
      <c r="G39" s="209"/>
      <c r="H39" s="209"/>
      <c r="I39" s="209"/>
      <c r="J39" s="209"/>
      <c r="K39" s="210"/>
      <c r="L39" s="210"/>
      <c r="M39" s="210"/>
      <c r="N39" s="210"/>
      <c r="O39" s="210"/>
      <c r="P39" s="210"/>
      <c r="Q39" s="210"/>
      <c r="R39" s="210"/>
      <c r="S39" s="210"/>
      <c r="T39" s="210"/>
      <c r="U39" s="210"/>
      <c r="V39" s="210"/>
      <c r="W39" s="210"/>
      <c r="X39" s="210"/>
      <c r="Y39" s="210"/>
      <c r="Z39" s="210"/>
      <c r="AA39" s="210"/>
      <c r="AB39" s="210"/>
      <c r="AC39" s="210"/>
      <c r="AD39" s="210"/>
      <c r="AE39" s="210"/>
      <c r="AF39" s="210"/>
      <c r="AG39" s="210"/>
      <c r="AH39" s="170"/>
      <c r="AI39" s="171"/>
      <c r="AJ39" s="120"/>
      <c r="AK39" s="120"/>
      <c r="AL39" s="120"/>
      <c r="AM39" s="120"/>
      <c r="AN39" s="120"/>
      <c r="AO39" s="120"/>
      <c r="AP39" s="120"/>
      <c r="AQ39" s="120"/>
      <c r="AR39" s="120"/>
      <c r="AS39" s="120"/>
      <c r="AT39" s="120"/>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c r="BR39" s="120"/>
      <c r="BS39" s="120"/>
      <c r="BT39" s="120"/>
      <c r="BU39" s="120"/>
      <c r="BV39" s="120"/>
      <c r="BW39" s="120"/>
      <c r="BX39" s="120"/>
      <c r="BY39" s="120"/>
      <c r="BZ39" s="120"/>
      <c r="CA39" s="120"/>
      <c r="CB39" s="120"/>
      <c r="CC39" s="120"/>
      <c r="CD39" s="120"/>
      <c r="CE39" s="120"/>
      <c r="CF39" s="120"/>
      <c r="CG39" s="120"/>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c r="EU39" s="120"/>
      <c r="EV39" s="120"/>
      <c r="EW39" s="120"/>
      <c r="EX39" s="120"/>
      <c r="EY39" s="120"/>
      <c r="EZ39" s="120"/>
      <c r="FA39" s="120"/>
      <c r="FB39" s="120"/>
      <c r="FC39" s="120"/>
      <c r="FD39" s="120"/>
      <c r="FE39" s="120"/>
      <c r="FF39" s="120"/>
      <c r="FG39" s="120"/>
      <c r="FH39" s="120"/>
      <c r="FI39" s="120"/>
      <c r="FJ39" s="120"/>
      <c r="FK39" s="120"/>
      <c r="FL39" s="120"/>
      <c r="FM39" s="120"/>
      <c r="FN39" s="120"/>
      <c r="FO39" s="120"/>
      <c r="FP39" s="120"/>
      <c r="FQ39" s="120"/>
      <c r="FR39" s="120"/>
      <c r="FS39" s="120"/>
      <c r="FT39" s="120"/>
      <c r="FU39" s="120"/>
      <c r="FV39" s="120"/>
      <c r="FW39" s="120"/>
      <c r="FX39" s="120"/>
      <c r="FY39" s="120"/>
      <c r="FZ39" s="120"/>
      <c r="GA39" s="120"/>
      <c r="GB39" s="120"/>
      <c r="GC39" s="120"/>
    </row>
    <row r="40" spans="1:185" s="121" customFormat="1" ht="13">
      <c r="A40" s="96" t="s">
        <v>1821</v>
      </c>
      <c r="B40" s="90" t="s">
        <v>1822</v>
      </c>
      <c r="C40" s="206">
        <f t="shared" ref="C40:C46" si="10">SUM(E40:AG40)</f>
        <v>0</v>
      </c>
      <c r="D40" s="261"/>
      <c r="E40" s="209"/>
      <c r="F40" s="209"/>
      <c r="G40" s="209"/>
      <c r="H40" s="209"/>
      <c r="I40" s="209"/>
      <c r="J40" s="209"/>
      <c r="K40" s="210"/>
      <c r="L40" s="210"/>
      <c r="M40" s="210"/>
      <c r="N40" s="210"/>
      <c r="O40" s="210"/>
      <c r="P40" s="210"/>
      <c r="Q40" s="210"/>
      <c r="R40" s="210"/>
      <c r="S40" s="210"/>
      <c r="T40" s="210"/>
      <c r="U40" s="210"/>
      <c r="V40" s="210"/>
      <c r="W40" s="210"/>
      <c r="X40" s="210"/>
      <c r="Y40" s="210"/>
      <c r="Z40" s="210"/>
      <c r="AA40" s="210"/>
      <c r="AB40" s="210"/>
      <c r="AC40" s="210"/>
      <c r="AD40" s="210"/>
      <c r="AE40" s="210"/>
      <c r="AF40" s="210"/>
      <c r="AG40" s="210"/>
      <c r="AH40" s="170"/>
      <c r="AI40" s="171"/>
      <c r="AJ40" s="120"/>
      <c r="AK40" s="120"/>
      <c r="AL40" s="120"/>
      <c r="AM40" s="120"/>
      <c r="AN40" s="120"/>
      <c r="AO40" s="120"/>
      <c r="AP40" s="120"/>
      <c r="AQ40" s="120"/>
      <c r="AR40" s="120"/>
      <c r="AS40" s="120"/>
      <c r="AT40" s="120"/>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row>
    <row r="41" spans="1:185" s="121" customFormat="1" ht="13">
      <c r="A41" s="96" t="s">
        <v>1823</v>
      </c>
      <c r="B41" s="90" t="s">
        <v>1824</v>
      </c>
      <c r="C41" s="206">
        <f t="shared" si="10"/>
        <v>0</v>
      </c>
      <c r="D41" s="261"/>
      <c r="E41" s="209"/>
      <c r="F41" s="209"/>
      <c r="G41" s="209"/>
      <c r="H41" s="209"/>
      <c r="I41" s="209"/>
      <c r="J41" s="209"/>
      <c r="K41" s="210"/>
      <c r="L41" s="210"/>
      <c r="M41" s="210"/>
      <c r="N41" s="210"/>
      <c r="O41" s="210"/>
      <c r="P41" s="210"/>
      <c r="Q41" s="210"/>
      <c r="R41" s="210"/>
      <c r="S41" s="210"/>
      <c r="T41" s="210"/>
      <c r="U41" s="210"/>
      <c r="V41" s="210"/>
      <c r="W41" s="210"/>
      <c r="X41" s="210"/>
      <c r="Y41" s="210"/>
      <c r="Z41" s="210"/>
      <c r="AA41" s="210"/>
      <c r="AB41" s="210"/>
      <c r="AC41" s="210"/>
      <c r="AD41" s="210"/>
      <c r="AE41" s="210"/>
      <c r="AF41" s="210"/>
      <c r="AG41" s="210"/>
      <c r="AH41" s="170"/>
      <c r="AI41" s="171"/>
      <c r="AJ41" s="120"/>
      <c r="AK41" s="120"/>
      <c r="AL41" s="120"/>
      <c r="AM41" s="120"/>
      <c r="AN41" s="120"/>
      <c r="AO41" s="120"/>
      <c r="AP41" s="120"/>
      <c r="AQ41" s="120"/>
      <c r="AR41" s="120"/>
      <c r="AS41" s="120"/>
      <c r="AT41" s="120"/>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row>
    <row r="42" spans="1:185" s="121" customFormat="1" ht="13">
      <c r="A42" s="96" t="s">
        <v>1825</v>
      </c>
      <c r="B42" s="90" t="s">
        <v>1826</v>
      </c>
      <c r="C42" s="206">
        <f t="shared" si="10"/>
        <v>0</v>
      </c>
      <c r="D42" s="261"/>
      <c r="E42" s="209"/>
      <c r="F42" s="209"/>
      <c r="G42" s="209"/>
      <c r="H42" s="209"/>
      <c r="I42" s="209"/>
      <c r="J42" s="209"/>
      <c r="K42" s="210"/>
      <c r="L42" s="210"/>
      <c r="M42" s="210"/>
      <c r="N42" s="210"/>
      <c r="O42" s="210"/>
      <c r="P42" s="210"/>
      <c r="Q42" s="210"/>
      <c r="R42" s="210"/>
      <c r="S42" s="210"/>
      <c r="T42" s="210"/>
      <c r="U42" s="210"/>
      <c r="V42" s="210"/>
      <c r="W42" s="210"/>
      <c r="X42" s="210"/>
      <c r="Y42" s="210"/>
      <c r="Z42" s="210"/>
      <c r="AA42" s="210"/>
      <c r="AB42" s="210"/>
      <c r="AC42" s="210"/>
      <c r="AD42" s="210"/>
      <c r="AE42" s="210"/>
      <c r="AF42" s="210"/>
      <c r="AG42" s="210"/>
      <c r="AH42" s="170"/>
      <c r="AI42" s="171"/>
      <c r="AJ42" s="120"/>
      <c r="AK42" s="120"/>
      <c r="AL42" s="120"/>
      <c r="AM42" s="120"/>
      <c r="AN42" s="120"/>
      <c r="AO42" s="120"/>
      <c r="AP42" s="120"/>
      <c r="AQ42" s="120"/>
      <c r="AR42" s="120"/>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row>
    <row r="43" spans="1:185" s="121" customFormat="1" ht="13">
      <c r="A43" s="96" t="s">
        <v>1827</v>
      </c>
      <c r="B43" s="90" t="s">
        <v>1829</v>
      </c>
      <c r="C43" s="206">
        <f t="shared" si="10"/>
        <v>0</v>
      </c>
      <c r="D43" s="261"/>
      <c r="E43" s="209"/>
      <c r="F43" s="209"/>
      <c r="G43" s="209"/>
      <c r="H43" s="209"/>
      <c r="I43" s="209"/>
      <c r="J43" s="209"/>
      <c r="K43" s="210"/>
      <c r="L43" s="210"/>
      <c r="M43" s="210"/>
      <c r="N43" s="210"/>
      <c r="O43" s="210"/>
      <c r="P43" s="210"/>
      <c r="Q43" s="210"/>
      <c r="R43" s="210"/>
      <c r="S43" s="210"/>
      <c r="T43" s="210"/>
      <c r="U43" s="210"/>
      <c r="V43" s="210"/>
      <c r="W43" s="210"/>
      <c r="X43" s="210"/>
      <c r="Y43" s="210"/>
      <c r="Z43" s="210"/>
      <c r="AA43" s="210"/>
      <c r="AB43" s="210"/>
      <c r="AC43" s="210"/>
      <c r="AD43" s="210"/>
      <c r="AE43" s="210"/>
      <c r="AF43" s="210"/>
      <c r="AG43" s="210"/>
      <c r="AH43" s="170"/>
      <c r="AI43" s="171"/>
      <c r="AJ43" s="120"/>
      <c r="AK43" s="120"/>
      <c r="AL43" s="120"/>
      <c r="AM43" s="120"/>
      <c r="AN43" s="120"/>
      <c r="AO43" s="120"/>
      <c r="AP43" s="120"/>
      <c r="AQ43" s="120"/>
      <c r="AR43" s="120"/>
      <c r="AS43" s="120"/>
      <c r="AT43" s="120"/>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row>
    <row r="44" spans="1:185" s="121" customFormat="1" ht="13">
      <c r="A44" s="98" t="s">
        <v>1871</v>
      </c>
      <c r="B44" s="90" t="s">
        <v>1898</v>
      </c>
      <c r="C44" s="206">
        <f t="shared" si="10"/>
        <v>0</v>
      </c>
      <c r="D44" s="261"/>
      <c r="E44" s="209"/>
      <c r="F44" s="209"/>
      <c r="G44" s="209"/>
      <c r="H44" s="209"/>
      <c r="I44" s="209"/>
      <c r="J44" s="209"/>
      <c r="K44" s="210"/>
      <c r="L44" s="210"/>
      <c r="M44" s="210"/>
      <c r="N44" s="210"/>
      <c r="O44" s="210"/>
      <c r="P44" s="210"/>
      <c r="Q44" s="210"/>
      <c r="R44" s="210"/>
      <c r="S44" s="210"/>
      <c r="T44" s="210"/>
      <c r="U44" s="210"/>
      <c r="V44" s="210"/>
      <c r="W44" s="210"/>
      <c r="X44" s="210"/>
      <c r="Y44" s="210"/>
      <c r="Z44" s="210"/>
      <c r="AA44" s="210"/>
      <c r="AB44" s="210"/>
      <c r="AC44" s="210"/>
      <c r="AD44" s="210"/>
      <c r="AE44" s="210"/>
      <c r="AF44" s="210"/>
      <c r="AG44" s="210"/>
      <c r="AH44" s="170"/>
      <c r="AI44" s="171"/>
      <c r="AJ44" s="120"/>
      <c r="AK44" s="120"/>
      <c r="AL44" s="120"/>
      <c r="AM44" s="120"/>
      <c r="AN44" s="120"/>
      <c r="AO44" s="120"/>
      <c r="AP44" s="120"/>
      <c r="AQ44" s="120"/>
      <c r="AR44" s="120"/>
      <c r="AS44" s="120"/>
      <c r="AT44" s="120"/>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row>
    <row r="45" spans="1:185" s="121" customFormat="1" ht="13">
      <c r="A45" s="14" t="s">
        <v>1830</v>
      </c>
      <c r="B45" s="90" t="s">
        <v>1831</v>
      </c>
      <c r="C45" s="206">
        <f t="shared" si="10"/>
        <v>0</v>
      </c>
      <c r="D45" s="261"/>
      <c r="E45" s="209"/>
      <c r="F45" s="209"/>
      <c r="G45" s="209"/>
      <c r="H45" s="209"/>
      <c r="I45" s="209"/>
      <c r="J45" s="209"/>
      <c r="K45" s="210"/>
      <c r="L45" s="210"/>
      <c r="M45" s="210"/>
      <c r="N45" s="210"/>
      <c r="O45" s="210"/>
      <c r="P45" s="210"/>
      <c r="Q45" s="210"/>
      <c r="R45" s="210"/>
      <c r="S45" s="210"/>
      <c r="T45" s="210"/>
      <c r="U45" s="210"/>
      <c r="V45" s="210"/>
      <c r="W45" s="210"/>
      <c r="X45" s="210"/>
      <c r="Y45" s="210"/>
      <c r="Z45" s="210"/>
      <c r="AA45" s="210"/>
      <c r="AB45" s="210"/>
      <c r="AC45" s="210"/>
      <c r="AD45" s="210"/>
      <c r="AE45" s="210"/>
      <c r="AF45" s="210"/>
      <c r="AG45" s="210"/>
      <c r="AH45" s="170"/>
      <c r="AI45" s="171"/>
      <c r="AJ45" s="120"/>
      <c r="AK45" s="120"/>
      <c r="AL45" s="120"/>
      <c r="AM45" s="120"/>
      <c r="AN45" s="120"/>
      <c r="AO45" s="120"/>
      <c r="AP45" s="120"/>
      <c r="AQ45" s="120"/>
      <c r="AR45" s="120"/>
      <c r="AS45" s="120"/>
      <c r="AT45" s="120"/>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row>
    <row r="46" spans="1:185" s="123" customFormat="1" ht="13">
      <c r="A46" s="20"/>
      <c r="B46" s="93" t="s">
        <v>1855</v>
      </c>
      <c r="C46" s="204">
        <f t="shared" si="10"/>
        <v>0</v>
      </c>
      <c r="D46" s="236">
        <f t="shared" ref="D46:AG46" si="11">SUM(D40:D45)</f>
        <v>0</v>
      </c>
      <c r="E46" s="204">
        <f t="shared" si="11"/>
        <v>0</v>
      </c>
      <c r="F46" s="204">
        <f t="shared" si="11"/>
        <v>0</v>
      </c>
      <c r="G46" s="204">
        <f t="shared" si="11"/>
        <v>0</v>
      </c>
      <c r="H46" s="204">
        <f t="shared" si="11"/>
        <v>0</v>
      </c>
      <c r="I46" s="204">
        <f t="shared" si="11"/>
        <v>0</v>
      </c>
      <c r="J46" s="204">
        <f t="shared" si="11"/>
        <v>0</v>
      </c>
      <c r="K46" s="204">
        <f t="shared" si="11"/>
        <v>0</v>
      </c>
      <c r="L46" s="204">
        <f t="shared" si="11"/>
        <v>0</v>
      </c>
      <c r="M46" s="204">
        <f t="shared" si="11"/>
        <v>0</v>
      </c>
      <c r="N46" s="204">
        <f t="shared" si="11"/>
        <v>0</v>
      </c>
      <c r="O46" s="204">
        <f t="shared" si="11"/>
        <v>0</v>
      </c>
      <c r="P46" s="204">
        <f t="shared" si="11"/>
        <v>0</v>
      </c>
      <c r="Q46" s="204">
        <f t="shared" si="11"/>
        <v>0</v>
      </c>
      <c r="R46" s="204">
        <f t="shared" si="11"/>
        <v>0</v>
      </c>
      <c r="S46" s="204">
        <f t="shared" si="11"/>
        <v>0</v>
      </c>
      <c r="T46" s="204">
        <f t="shared" si="11"/>
        <v>0</v>
      </c>
      <c r="U46" s="204">
        <f t="shared" si="11"/>
        <v>0</v>
      </c>
      <c r="V46" s="204">
        <f t="shared" si="11"/>
        <v>0</v>
      </c>
      <c r="W46" s="204">
        <f t="shared" si="11"/>
        <v>0</v>
      </c>
      <c r="X46" s="204">
        <f t="shared" si="11"/>
        <v>0</v>
      </c>
      <c r="Y46" s="204">
        <f t="shared" si="11"/>
        <v>0</v>
      </c>
      <c r="Z46" s="204">
        <f t="shared" si="11"/>
        <v>0</v>
      </c>
      <c r="AA46" s="204">
        <f t="shared" si="11"/>
        <v>0</v>
      </c>
      <c r="AB46" s="204">
        <f t="shared" si="11"/>
        <v>0</v>
      </c>
      <c r="AC46" s="204">
        <f t="shared" si="11"/>
        <v>0</v>
      </c>
      <c r="AD46" s="204">
        <f t="shared" si="11"/>
        <v>0</v>
      </c>
      <c r="AE46" s="204">
        <f t="shared" si="11"/>
        <v>0</v>
      </c>
      <c r="AF46" s="204">
        <f t="shared" si="11"/>
        <v>0</v>
      </c>
      <c r="AG46" s="204">
        <f t="shared" si="11"/>
        <v>0</v>
      </c>
      <c r="AH46" s="172"/>
      <c r="AI46" s="173"/>
      <c r="AJ46" s="122"/>
      <c r="AK46" s="122"/>
      <c r="AL46" s="122"/>
      <c r="AM46" s="122"/>
      <c r="AN46" s="122"/>
      <c r="AO46" s="122"/>
      <c r="AP46" s="122"/>
      <c r="AQ46" s="122"/>
      <c r="AR46" s="122"/>
      <c r="AS46" s="122"/>
      <c r="AT46" s="122"/>
      <c r="AU46" s="122"/>
      <c r="AV46" s="122"/>
      <c r="AW46" s="122"/>
      <c r="AX46" s="122"/>
      <c r="AY46" s="122"/>
      <c r="AZ46" s="122"/>
      <c r="BA46" s="122"/>
      <c r="BB46" s="122"/>
      <c r="BC46" s="122"/>
      <c r="BD46" s="122"/>
      <c r="BE46" s="122"/>
      <c r="BF46" s="122"/>
      <c r="BG46" s="122"/>
      <c r="BH46" s="122"/>
      <c r="BI46" s="122"/>
      <c r="BJ46" s="122"/>
      <c r="BK46" s="122"/>
      <c r="BL46" s="122"/>
      <c r="BM46" s="122"/>
      <c r="BN46" s="122"/>
      <c r="BO46" s="122"/>
      <c r="BP46" s="122"/>
      <c r="BQ46" s="122"/>
      <c r="BR46" s="122"/>
      <c r="BS46" s="122"/>
      <c r="BT46" s="122"/>
      <c r="BU46" s="122"/>
      <c r="BV46" s="122"/>
      <c r="BW46" s="122"/>
      <c r="BX46" s="122"/>
      <c r="BY46" s="122"/>
      <c r="BZ46" s="122"/>
      <c r="CA46" s="122"/>
      <c r="CB46" s="122"/>
      <c r="CC46" s="122"/>
      <c r="CD46" s="122"/>
      <c r="CE46" s="122"/>
      <c r="CF46" s="122"/>
      <c r="CG46" s="122"/>
      <c r="CH46" s="122"/>
      <c r="CI46" s="122"/>
      <c r="CJ46" s="122"/>
      <c r="CK46" s="122"/>
      <c r="CL46" s="122"/>
      <c r="CM46" s="122"/>
      <c r="CN46" s="122"/>
      <c r="CO46" s="122"/>
      <c r="CP46" s="122"/>
      <c r="CQ46" s="122"/>
      <c r="CR46" s="122"/>
      <c r="CS46" s="122"/>
      <c r="CT46" s="122"/>
      <c r="CU46" s="122"/>
      <c r="CV46" s="122"/>
      <c r="CW46" s="122"/>
      <c r="CX46" s="122"/>
      <c r="CY46" s="122"/>
      <c r="CZ46" s="122"/>
      <c r="DA46" s="122"/>
      <c r="DB46" s="122"/>
      <c r="DC46" s="122"/>
      <c r="DD46" s="122"/>
      <c r="DE46" s="122"/>
      <c r="DF46" s="122"/>
      <c r="DG46" s="122"/>
      <c r="DH46" s="122"/>
      <c r="DI46" s="122"/>
      <c r="DJ46" s="122"/>
      <c r="DK46" s="122"/>
      <c r="DL46" s="122"/>
      <c r="DM46" s="122"/>
      <c r="DN46" s="122"/>
      <c r="DO46" s="122"/>
      <c r="DP46" s="122"/>
      <c r="DQ46" s="122"/>
      <c r="DR46" s="122"/>
      <c r="DS46" s="122"/>
      <c r="DT46" s="122"/>
      <c r="DU46" s="122"/>
      <c r="DV46" s="122"/>
      <c r="DW46" s="122"/>
      <c r="DX46" s="122"/>
      <c r="DY46" s="122"/>
      <c r="DZ46" s="122"/>
      <c r="EA46" s="122"/>
      <c r="EB46" s="122"/>
      <c r="EC46" s="122"/>
      <c r="ED46" s="122"/>
      <c r="EE46" s="122"/>
      <c r="EF46" s="122"/>
      <c r="EG46" s="122"/>
      <c r="EH46" s="122"/>
      <c r="EI46" s="122"/>
      <c r="EJ46" s="122"/>
      <c r="EK46" s="122"/>
      <c r="EL46" s="122"/>
      <c r="EM46" s="122"/>
      <c r="EN46" s="122"/>
      <c r="EO46" s="122"/>
      <c r="EP46" s="122"/>
      <c r="EQ46" s="122"/>
      <c r="ER46" s="122"/>
      <c r="ES46" s="122"/>
      <c r="ET46" s="122"/>
      <c r="EU46" s="122"/>
      <c r="EV46" s="122"/>
      <c r="EW46" s="122"/>
      <c r="EX46" s="122"/>
      <c r="EY46" s="122"/>
      <c r="EZ46" s="122"/>
      <c r="FA46" s="122"/>
      <c r="FB46" s="122"/>
      <c r="FC46" s="122"/>
      <c r="FD46" s="122"/>
      <c r="FE46" s="122"/>
      <c r="FF46" s="122"/>
      <c r="FG46" s="122"/>
      <c r="FH46" s="122"/>
      <c r="FI46" s="122"/>
      <c r="FJ46" s="122"/>
      <c r="FK46" s="122"/>
      <c r="FL46" s="122"/>
      <c r="FM46" s="122"/>
      <c r="FN46" s="122"/>
      <c r="FO46" s="122"/>
      <c r="FP46" s="122"/>
      <c r="FQ46" s="122"/>
      <c r="FR46" s="122"/>
      <c r="FS46" s="122"/>
      <c r="FT46" s="122"/>
      <c r="FU46" s="122"/>
      <c r="FV46" s="122"/>
      <c r="FW46" s="122"/>
      <c r="FX46" s="122"/>
      <c r="FY46" s="122"/>
      <c r="FZ46" s="122"/>
      <c r="GA46" s="122"/>
      <c r="GB46" s="122"/>
      <c r="GC46" s="122"/>
    </row>
    <row r="47" spans="1:185" s="121" customFormat="1" ht="13">
      <c r="A47" s="14"/>
      <c r="B47" s="17"/>
      <c r="C47" s="206"/>
      <c r="D47" s="261"/>
      <c r="E47" s="209"/>
      <c r="F47" s="209"/>
      <c r="G47" s="209"/>
      <c r="H47" s="209"/>
      <c r="I47" s="209"/>
      <c r="J47" s="209"/>
      <c r="K47" s="209"/>
      <c r="L47" s="209"/>
      <c r="M47" s="209"/>
      <c r="N47" s="209"/>
      <c r="O47" s="209"/>
      <c r="P47" s="209"/>
      <c r="Q47" s="209"/>
      <c r="R47" s="209"/>
      <c r="S47" s="209"/>
      <c r="T47" s="209"/>
      <c r="U47" s="209"/>
      <c r="V47" s="209"/>
      <c r="W47" s="209"/>
      <c r="X47" s="209"/>
      <c r="Y47" s="209"/>
      <c r="Z47" s="209"/>
      <c r="AA47" s="209"/>
      <c r="AB47" s="209"/>
      <c r="AC47" s="209"/>
      <c r="AD47" s="209"/>
      <c r="AE47" s="209"/>
      <c r="AF47" s="209"/>
      <c r="AG47" s="209"/>
      <c r="AH47" s="170"/>
      <c r="AI47" s="171"/>
      <c r="AJ47" s="120"/>
      <c r="AK47" s="120"/>
      <c r="AL47" s="120"/>
      <c r="AM47" s="120"/>
      <c r="AN47" s="120"/>
      <c r="AO47" s="120"/>
      <c r="AP47" s="120"/>
      <c r="AQ47" s="120"/>
      <c r="AR47" s="120"/>
      <c r="AS47" s="120"/>
      <c r="AT47" s="120"/>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row>
    <row r="48" spans="1:185" s="123" customFormat="1" ht="13">
      <c r="A48" s="21" t="s">
        <v>1832</v>
      </c>
      <c r="B48" s="19" t="s">
        <v>1963</v>
      </c>
      <c r="C48" s="211">
        <f>SUM(E48:AG48)</f>
        <v>0</v>
      </c>
      <c r="D48" s="238">
        <f t="shared" ref="D48:AG48" si="12">D22+D38+D46</f>
        <v>0</v>
      </c>
      <c r="E48" s="211">
        <f t="shared" si="12"/>
        <v>0</v>
      </c>
      <c r="F48" s="211">
        <f t="shared" si="12"/>
        <v>0</v>
      </c>
      <c r="G48" s="211">
        <f t="shared" si="12"/>
        <v>0</v>
      </c>
      <c r="H48" s="211">
        <f t="shared" si="12"/>
        <v>0</v>
      </c>
      <c r="I48" s="211">
        <f t="shared" si="12"/>
        <v>0</v>
      </c>
      <c r="J48" s="211">
        <f t="shared" si="12"/>
        <v>0</v>
      </c>
      <c r="K48" s="211">
        <f t="shared" si="12"/>
        <v>0</v>
      </c>
      <c r="L48" s="211">
        <f t="shared" si="12"/>
        <v>0</v>
      </c>
      <c r="M48" s="211">
        <f t="shared" si="12"/>
        <v>0</v>
      </c>
      <c r="N48" s="211">
        <f t="shared" si="12"/>
        <v>0</v>
      </c>
      <c r="O48" s="211">
        <f t="shared" si="12"/>
        <v>0</v>
      </c>
      <c r="P48" s="211">
        <f t="shared" si="12"/>
        <v>0</v>
      </c>
      <c r="Q48" s="211">
        <f t="shared" si="12"/>
        <v>0</v>
      </c>
      <c r="R48" s="211">
        <f t="shared" si="12"/>
        <v>0</v>
      </c>
      <c r="S48" s="211">
        <f t="shared" si="12"/>
        <v>0</v>
      </c>
      <c r="T48" s="211">
        <f t="shared" si="12"/>
        <v>0</v>
      </c>
      <c r="U48" s="211">
        <f t="shared" si="12"/>
        <v>0</v>
      </c>
      <c r="V48" s="211">
        <f t="shared" si="12"/>
        <v>0</v>
      </c>
      <c r="W48" s="211">
        <f t="shared" si="12"/>
        <v>0</v>
      </c>
      <c r="X48" s="211">
        <f t="shared" si="12"/>
        <v>0</v>
      </c>
      <c r="Y48" s="211">
        <f t="shared" si="12"/>
        <v>0</v>
      </c>
      <c r="Z48" s="211">
        <f t="shared" si="12"/>
        <v>0</v>
      </c>
      <c r="AA48" s="211">
        <f t="shared" si="12"/>
        <v>0</v>
      </c>
      <c r="AB48" s="211">
        <f t="shared" si="12"/>
        <v>0</v>
      </c>
      <c r="AC48" s="211">
        <f t="shared" si="12"/>
        <v>0</v>
      </c>
      <c r="AD48" s="211">
        <f t="shared" si="12"/>
        <v>0</v>
      </c>
      <c r="AE48" s="211">
        <f t="shared" si="12"/>
        <v>0</v>
      </c>
      <c r="AF48" s="211">
        <f t="shared" si="12"/>
        <v>0</v>
      </c>
      <c r="AG48" s="211">
        <f t="shared" si="12"/>
        <v>0</v>
      </c>
      <c r="AH48" s="172"/>
      <c r="AI48" s="173"/>
      <c r="AJ48" s="122"/>
      <c r="AK48" s="122"/>
      <c r="AL48" s="122"/>
      <c r="AM48" s="122"/>
      <c r="AN48" s="122"/>
      <c r="AO48" s="122"/>
      <c r="AP48" s="122"/>
      <c r="AQ48" s="122"/>
      <c r="AR48" s="122"/>
      <c r="AS48" s="122"/>
      <c r="AT48" s="122"/>
      <c r="AU48" s="122"/>
      <c r="AV48" s="122"/>
      <c r="AW48" s="122"/>
      <c r="AX48" s="122"/>
      <c r="AY48" s="122"/>
      <c r="AZ48" s="122"/>
      <c r="BA48" s="122"/>
      <c r="BB48" s="122"/>
      <c r="BC48" s="122"/>
      <c r="BD48" s="122"/>
      <c r="BE48" s="122"/>
      <c r="BF48" s="122"/>
      <c r="BG48" s="122"/>
      <c r="BH48" s="122"/>
      <c r="BI48" s="122"/>
      <c r="BJ48" s="122"/>
      <c r="BK48" s="122"/>
      <c r="BL48" s="122"/>
      <c r="BM48" s="122"/>
      <c r="BN48" s="122"/>
      <c r="BO48" s="122"/>
      <c r="BP48" s="122"/>
      <c r="BQ48" s="122"/>
      <c r="BR48" s="122"/>
      <c r="BS48" s="122"/>
      <c r="BT48" s="122"/>
      <c r="BU48" s="122"/>
      <c r="BV48" s="122"/>
      <c r="BW48" s="122"/>
      <c r="BX48" s="122"/>
      <c r="BY48" s="122"/>
      <c r="BZ48" s="122"/>
      <c r="CA48" s="122"/>
      <c r="CB48" s="122"/>
      <c r="CC48" s="122"/>
      <c r="CD48" s="122"/>
      <c r="CE48" s="122"/>
      <c r="CF48" s="122"/>
      <c r="CG48" s="122"/>
      <c r="CH48" s="122"/>
      <c r="CI48" s="122"/>
      <c r="CJ48" s="122"/>
      <c r="CK48" s="122"/>
      <c r="CL48" s="122"/>
      <c r="CM48" s="122"/>
      <c r="CN48" s="122"/>
      <c r="CO48" s="122"/>
      <c r="CP48" s="122"/>
      <c r="CQ48" s="122"/>
      <c r="CR48" s="122"/>
      <c r="CS48" s="122"/>
      <c r="CT48" s="122"/>
      <c r="CU48" s="122"/>
      <c r="CV48" s="122"/>
      <c r="CW48" s="122"/>
      <c r="CX48" s="122"/>
      <c r="CY48" s="122"/>
      <c r="CZ48" s="122"/>
      <c r="DA48" s="122"/>
      <c r="DB48" s="122"/>
      <c r="DC48" s="122"/>
      <c r="DD48" s="122"/>
      <c r="DE48" s="122"/>
      <c r="DF48" s="122"/>
      <c r="DG48" s="122"/>
      <c r="DH48" s="122"/>
      <c r="DI48" s="122"/>
      <c r="DJ48" s="122"/>
      <c r="DK48" s="122"/>
      <c r="DL48" s="122"/>
      <c r="DM48" s="122"/>
      <c r="DN48" s="122"/>
      <c r="DO48" s="122"/>
      <c r="DP48" s="122"/>
      <c r="DQ48" s="122"/>
      <c r="DR48" s="122"/>
      <c r="DS48" s="122"/>
      <c r="DT48" s="122"/>
      <c r="DU48" s="122"/>
      <c r="DV48" s="122"/>
      <c r="DW48" s="122"/>
      <c r="DX48" s="122"/>
      <c r="DY48" s="122"/>
      <c r="DZ48" s="122"/>
      <c r="EA48" s="122"/>
      <c r="EB48" s="122"/>
      <c r="EC48" s="122"/>
      <c r="ED48" s="122"/>
      <c r="EE48" s="122"/>
      <c r="EF48" s="122"/>
      <c r="EG48" s="122"/>
      <c r="EH48" s="122"/>
      <c r="EI48" s="122"/>
      <c r="EJ48" s="122"/>
      <c r="EK48" s="122"/>
      <c r="EL48" s="122"/>
      <c r="EM48" s="122"/>
      <c r="EN48" s="122"/>
      <c r="EO48" s="122"/>
      <c r="EP48" s="122"/>
      <c r="EQ48" s="122"/>
      <c r="ER48" s="122"/>
      <c r="ES48" s="122"/>
      <c r="ET48" s="122"/>
      <c r="EU48" s="122"/>
      <c r="EV48" s="122"/>
      <c r="EW48" s="122"/>
      <c r="EX48" s="122"/>
      <c r="EY48" s="122"/>
      <c r="EZ48" s="122"/>
      <c r="FA48" s="122"/>
      <c r="FB48" s="122"/>
      <c r="FC48" s="122"/>
      <c r="FD48" s="122"/>
      <c r="FE48" s="122"/>
      <c r="FF48" s="122"/>
      <c r="FG48" s="122"/>
      <c r="FH48" s="122"/>
      <c r="FI48" s="122"/>
      <c r="FJ48" s="122"/>
      <c r="FK48" s="122"/>
      <c r="FL48" s="122"/>
      <c r="FM48" s="122"/>
      <c r="FN48" s="122"/>
      <c r="FO48" s="122"/>
      <c r="FP48" s="122"/>
      <c r="FQ48" s="122"/>
      <c r="FR48" s="122"/>
      <c r="FS48" s="122"/>
      <c r="FT48" s="122"/>
      <c r="FU48" s="122"/>
      <c r="FV48" s="122"/>
      <c r="FW48" s="122"/>
      <c r="FX48" s="122"/>
      <c r="FY48" s="122"/>
      <c r="FZ48" s="122"/>
      <c r="GA48" s="122"/>
      <c r="GB48" s="122"/>
      <c r="GC48" s="122"/>
    </row>
    <row r="49" spans="1:185" s="121" customFormat="1" ht="13">
      <c r="A49" s="14"/>
      <c r="B49" s="16"/>
      <c r="C49" s="207"/>
      <c r="D49" s="261"/>
      <c r="E49" s="209"/>
      <c r="F49" s="209"/>
      <c r="G49" s="209"/>
      <c r="H49" s="209"/>
      <c r="I49" s="209"/>
      <c r="J49" s="209"/>
      <c r="K49" s="209"/>
      <c r="L49" s="209"/>
      <c r="M49" s="209"/>
      <c r="N49" s="209"/>
      <c r="O49" s="209"/>
      <c r="P49" s="209"/>
      <c r="Q49" s="209"/>
      <c r="R49" s="209"/>
      <c r="S49" s="209"/>
      <c r="T49" s="209"/>
      <c r="U49" s="209"/>
      <c r="V49" s="209"/>
      <c r="W49" s="209"/>
      <c r="X49" s="209"/>
      <c r="Y49" s="209"/>
      <c r="Z49" s="209"/>
      <c r="AA49" s="209"/>
      <c r="AB49" s="209"/>
      <c r="AC49" s="209"/>
      <c r="AD49" s="209"/>
      <c r="AE49" s="209"/>
      <c r="AF49" s="209"/>
      <c r="AG49" s="209"/>
      <c r="AH49" s="170"/>
      <c r="AI49" s="171"/>
      <c r="AJ49" s="120"/>
      <c r="AK49" s="120"/>
      <c r="AL49" s="120"/>
      <c r="AM49" s="120"/>
      <c r="AN49" s="120"/>
      <c r="AO49" s="120"/>
      <c r="AP49" s="120"/>
      <c r="AQ49" s="120"/>
      <c r="AR49" s="120"/>
      <c r="AS49" s="120"/>
      <c r="AT49" s="120"/>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c r="EU49" s="120"/>
      <c r="EV49" s="120"/>
      <c r="EW49" s="120"/>
      <c r="EX49" s="120"/>
      <c r="EY49" s="120"/>
      <c r="EZ49" s="120"/>
      <c r="FA49" s="120"/>
      <c r="FB49" s="120"/>
      <c r="FC49" s="120"/>
      <c r="FD49" s="120"/>
      <c r="FE49" s="120"/>
      <c r="FF49" s="120"/>
      <c r="FG49" s="120"/>
      <c r="FH49" s="120"/>
      <c r="FI49" s="120"/>
      <c r="FJ49" s="120"/>
      <c r="FK49" s="120"/>
      <c r="FL49" s="120"/>
      <c r="FM49" s="120"/>
      <c r="FN49" s="120"/>
      <c r="FO49" s="120"/>
      <c r="FP49" s="120"/>
      <c r="FQ49" s="120"/>
      <c r="FR49" s="120"/>
      <c r="FS49" s="120"/>
      <c r="FT49" s="120"/>
      <c r="FU49" s="120"/>
      <c r="FV49" s="120"/>
      <c r="FW49" s="120"/>
      <c r="FX49" s="120"/>
      <c r="FY49" s="120"/>
      <c r="FZ49" s="120"/>
      <c r="GA49" s="120"/>
      <c r="GB49" s="120"/>
      <c r="GC49" s="120"/>
    </row>
    <row r="50" spans="1:185" s="121" customFormat="1" ht="13">
      <c r="A50" s="14" t="s">
        <v>1833</v>
      </c>
      <c r="B50" s="15" t="s">
        <v>1834</v>
      </c>
      <c r="C50" s="206">
        <f>SUM(E50:AG50)</f>
        <v>0</v>
      </c>
      <c r="D50" s="261"/>
      <c r="E50" s="209"/>
      <c r="F50" s="209"/>
      <c r="G50" s="209"/>
      <c r="H50" s="209"/>
      <c r="I50" s="209"/>
      <c r="J50" s="209"/>
      <c r="K50" s="210"/>
      <c r="L50" s="210"/>
      <c r="M50" s="210"/>
      <c r="N50" s="210"/>
      <c r="O50" s="210"/>
      <c r="P50" s="210"/>
      <c r="Q50" s="210"/>
      <c r="R50" s="210"/>
      <c r="S50" s="210"/>
      <c r="T50" s="210"/>
      <c r="U50" s="210"/>
      <c r="V50" s="210"/>
      <c r="W50" s="210"/>
      <c r="X50" s="210"/>
      <c r="Y50" s="210"/>
      <c r="Z50" s="210"/>
      <c r="AA50" s="210"/>
      <c r="AB50" s="210"/>
      <c r="AC50" s="210"/>
      <c r="AD50" s="210"/>
      <c r="AE50" s="210"/>
      <c r="AF50" s="210"/>
      <c r="AG50" s="210"/>
      <c r="AH50" s="170"/>
      <c r="AI50" s="171"/>
      <c r="AJ50" s="120"/>
      <c r="AK50" s="120"/>
      <c r="AL50" s="120"/>
      <c r="AM50" s="120"/>
      <c r="AN50" s="120"/>
      <c r="AO50" s="120"/>
      <c r="AP50" s="120"/>
      <c r="AQ50" s="120"/>
      <c r="AR50" s="120"/>
      <c r="AS50" s="120"/>
      <c r="AT50" s="120"/>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c r="EU50" s="120"/>
      <c r="EV50" s="120"/>
      <c r="EW50" s="120"/>
      <c r="EX50" s="120"/>
      <c r="EY50" s="120"/>
      <c r="EZ50" s="120"/>
      <c r="FA50" s="120"/>
      <c r="FB50" s="120"/>
      <c r="FC50" s="120"/>
      <c r="FD50" s="120"/>
      <c r="FE50" s="120"/>
      <c r="FF50" s="120"/>
      <c r="FG50" s="120"/>
      <c r="FH50" s="120"/>
      <c r="FI50" s="120"/>
      <c r="FJ50" s="120"/>
      <c r="FK50" s="120"/>
      <c r="FL50" s="120"/>
      <c r="FM50" s="120"/>
      <c r="FN50" s="120"/>
      <c r="FO50" s="120"/>
      <c r="FP50" s="120"/>
      <c r="FQ50" s="120"/>
      <c r="FR50" s="120"/>
      <c r="FS50" s="120"/>
      <c r="FT50" s="120"/>
      <c r="FU50" s="120"/>
      <c r="FV50" s="120"/>
      <c r="FW50" s="120"/>
      <c r="FX50" s="120"/>
      <c r="FY50" s="120"/>
      <c r="FZ50" s="120"/>
      <c r="GA50" s="120"/>
      <c r="GB50" s="120"/>
      <c r="GC50" s="120"/>
    </row>
    <row r="51" spans="1:185" s="121" customFormat="1" ht="13">
      <c r="A51" s="14" t="s">
        <v>1835</v>
      </c>
      <c r="B51" s="15" t="s">
        <v>1836</v>
      </c>
      <c r="C51" s="206">
        <f>SUM(E51:AG51)</f>
        <v>0</v>
      </c>
      <c r="D51" s="261"/>
      <c r="E51" s="209"/>
      <c r="F51" s="209"/>
      <c r="G51" s="209"/>
      <c r="H51" s="209"/>
      <c r="I51" s="209"/>
      <c r="J51" s="209"/>
      <c r="K51" s="210"/>
      <c r="L51" s="210"/>
      <c r="M51" s="210"/>
      <c r="N51" s="210"/>
      <c r="O51" s="210"/>
      <c r="P51" s="210"/>
      <c r="Q51" s="210"/>
      <c r="R51" s="210"/>
      <c r="S51" s="210"/>
      <c r="T51" s="210"/>
      <c r="U51" s="210"/>
      <c r="V51" s="210"/>
      <c r="W51" s="210"/>
      <c r="X51" s="210"/>
      <c r="Y51" s="210"/>
      <c r="Z51" s="210"/>
      <c r="AA51" s="210"/>
      <c r="AB51" s="210"/>
      <c r="AC51" s="210"/>
      <c r="AD51" s="210"/>
      <c r="AE51" s="210"/>
      <c r="AF51" s="210"/>
      <c r="AG51" s="210"/>
      <c r="AH51" s="170"/>
      <c r="AI51" s="171"/>
      <c r="AJ51" s="120"/>
      <c r="AK51" s="120"/>
      <c r="AL51" s="120"/>
      <c r="AM51" s="120"/>
      <c r="AN51" s="120"/>
      <c r="AO51" s="120"/>
      <c r="AP51" s="120"/>
      <c r="AQ51" s="120"/>
      <c r="AR51" s="120"/>
      <c r="AS51" s="120"/>
      <c r="AT51" s="120"/>
      <c r="AU51" s="120"/>
      <c r="AV51" s="120"/>
      <c r="AW51" s="120"/>
      <c r="AX51" s="120"/>
      <c r="AY51" s="120"/>
      <c r="AZ51" s="120"/>
      <c r="BA51" s="120"/>
      <c r="BB51" s="120"/>
      <c r="BC51" s="120"/>
      <c r="BD51" s="120"/>
      <c r="BE51" s="120"/>
      <c r="BF51" s="120"/>
      <c r="BG51" s="120"/>
      <c r="BH51" s="120"/>
      <c r="BI51" s="120"/>
      <c r="BJ51" s="120"/>
      <c r="BK51" s="120"/>
      <c r="BL51" s="120"/>
      <c r="BM51" s="120"/>
      <c r="BN51" s="120"/>
      <c r="BO51" s="120"/>
      <c r="BP51" s="120"/>
      <c r="BQ51" s="120"/>
      <c r="BR51" s="120"/>
      <c r="BS51" s="120"/>
      <c r="BT51" s="120"/>
      <c r="BU51" s="120"/>
      <c r="BV51" s="120"/>
      <c r="BW51" s="120"/>
      <c r="BX51" s="120"/>
      <c r="BY51" s="120"/>
      <c r="BZ51" s="120"/>
      <c r="CA51" s="120"/>
      <c r="CB51" s="120"/>
      <c r="CC51" s="120"/>
      <c r="CD51" s="120"/>
      <c r="CE51" s="120"/>
      <c r="CF51" s="120"/>
      <c r="CG51" s="120"/>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c r="EU51" s="120"/>
      <c r="EV51" s="120"/>
      <c r="EW51" s="120"/>
      <c r="EX51" s="120"/>
      <c r="EY51" s="120"/>
      <c r="EZ51" s="120"/>
      <c r="FA51" s="120"/>
      <c r="FB51" s="120"/>
      <c r="FC51" s="120"/>
      <c r="FD51" s="120"/>
      <c r="FE51" s="120"/>
      <c r="FF51" s="120"/>
      <c r="FG51" s="120"/>
      <c r="FH51" s="120"/>
      <c r="FI51" s="120"/>
      <c r="FJ51" s="120"/>
      <c r="FK51" s="120"/>
      <c r="FL51" s="120"/>
      <c r="FM51" s="120"/>
      <c r="FN51" s="120"/>
      <c r="FO51" s="120"/>
      <c r="FP51" s="120"/>
      <c r="FQ51" s="120"/>
      <c r="FR51" s="120"/>
      <c r="FS51" s="120"/>
      <c r="FT51" s="120"/>
      <c r="FU51" s="120"/>
      <c r="FV51" s="120"/>
      <c r="FW51" s="120"/>
      <c r="FX51" s="120"/>
      <c r="FY51" s="120"/>
      <c r="FZ51" s="120"/>
      <c r="GA51" s="120"/>
      <c r="GB51" s="120"/>
      <c r="GC51" s="120"/>
    </row>
    <row r="52" spans="1:185" s="123" customFormat="1" ht="13">
      <c r="A52" s="20" t="s">
        <v>1837</v>
      </c>
      <c r="B52" s="16" t="s">
        <v>1897</v>
      </c>
      <c r="C52" s="204">
        <f>SUM(E52:AG52)</f>
        <v>0</v>
      </c>
      <c r="D52" s="236">
        <f t="shared" ref="D52:AG52" si="13">D50-D51</f>
        <v>0</v>
      </c>
      <c r="E52" s="204">
        <f t="shared" si="13"/>
        <v>0</v>
      </c>
      <c r="F52" s="204">
        <f t="shared" si="13"/>
        <v>0</v>
      </c>
      <c r="G52" s="204">
        <f t="shared" si="13"/>
        <v>0</v>
      </c>
      <c r="H52" s="204">
        <f t="shared" si="13"/>
        <v>0</v>
      </c>
      <c r="I52" s="204">
        <f t="shared" si="13"/>
        <v>0</v>
      </c>
      <c r="J52" s="204">
        <f t="shared" si="13"/>
        <v>0</v>
      </c>
      <c r="K52" s="204">
        <f t="shared" si="13"/>
        <v>0</v>
      </c>
      <c r="L52" s="204">
        <f t="shared" si="13"/>
        <v>0</v>
      </c>
      <c r="M52" s="204">
        <f t="shared" si="13"/>
        <v>0</v>
      </c>
      <c r="N52" s="204">
        <f t="shared" si="13"/>
        <v>0</v>
      </c>
      <c r="O52" s="204">
        <f t="shared" si="13"/>
        <v>0</v>
      </c>
      <c r="P52" s="204">
        <f t="shared" si="13"/>
        <v>0</v>
      </c>
      <c r="Q52" s="204">
        <f t="shared" si="13"/>
        <v>0</v>
      </c>
      <c r="R52" s="204">
        <f t="shared" si="13"/>
        <v>0</v>
      </c>
      <c r="S52" s="204">
        <f t="shared" si="13"/>
        <v>0</v>
      </c>
      <c r="T52" s="204">
        <f t="shared" si="13"/>
        <v>0</v>
      </c>
      <c r="U52" s="204">
        <f t="shared" si="13"/>
        <v>0</v>
      </c>
      <c r="V52" s="204">
        <f t="shared" si="13"/>
        <v>0</v>
      </c>
      <c r="W52" s="204">
        <f t="shared" si="13"/>
        <v>0</v>
      </c>
      <c r="X52" s="204">
        <f t="shared" si="13"/>
        <v>0</v>
      </c>
      <c r="Y52" s="204">
        <f t="shared" si="13"/>
        <v>0</v>
      </c>
      <c r="Z52" s="204">
        <f t="shared" si="13"/>
        <v>0</v>
      </c>
      <c r="AA52" s="204">
        <f t="shared" si="13"/>
        <v>0</v>
      </c>
      <c r="AB52" s="204">
        <f t="shared" si="13"/>
        <v>0</v>
      </c>
      <c r="AC52" s="204">
        <f t="shared" si="13"/>
        <v>0</v>
      </c>
      <c r="AD52" s="204">
        <f t="shared" si="13"/>
        <v>0</v>
      </c>
      <c r="AE52" s="204">
        <f t="shared" si="13"/>
        <v>0</v>
      </c>
      <c r="AF52" s="204">
        <f t="shared" si="13"/>
        <v>0</v>
      </c>
      <c r="AG52" s="204">
        <f t="shared" si="13"/>
        <v>0</v>
      </c>
      <c r="AH52" s="172"/>
      <c r="AI52" s="173"/>
      <c r="AJ52" s="122"/>
      <c r="AK52" s="122"/>
      <c r="AL52" s="122"/>
      <c r="AM52" s="122"/>
      <c r="AN52" s="122"/>
      <c r="AO52" s="122"/>
      <c r="AP52" s="122"/>
      <c r="AQ52" s="122"/>
      <c r="AR52" s="122"/>
      <c r="AS52" s="122"/>
      <c r="AT52" s="122"/>
      <c r="AU52" s="122"/>
      <c r="AV52" s="122"/>
      <c r="AW52" s="122"/>
      <c r="AX52" s="122"/>
      <c r="AY52" s="122"/>
      <c r="AZ52" s="122"/>
      <c r="BA52" s="122"/>
      <c r="BB52" s="122"/>
      <c r="BC52" s="122"/>
      <c r="BD52" s="122"/>
      <c r="BE52" s="122"/>
      <c r="BF52" s="122"/>
      <c r="BG52" s="122"/>
      <c r="BH52" s="122"/>
      <c r="BI52" s="122"/>
      <c r="BJ52" s="122"/>
      <c r="BK52" s="122"/>
      <c r="BL52" s="122"/>
      <c r="BM52" s="122"/>
      <c r="BN52" s="122"/>
      <c r="BO52" s="122"/>
      <c r="BP52" s="122"/>
      <c r="BQ52" s="122"/>
      <c r="BR52" s="122"/>
      <c r="BS52" s="122"/>
      <c r="BT52" s="122"/>
      <c r="BU52" s="122"/>
      <c r="BV52" s="122"/>
      <c r="BW52" s="122"/>
      <c r="BX52" s="122"/>
      <c r="BY52" s="122"/>
      <c r="BZ52" s="122"/>
      <c r="CA52" s="122"/>
      <c r="CB52" s="122"/>
      <c r="CC52" s="122"/>
      <c r="CD52" s="122"/>
      <c r="CE52" s="122"/>
      <c r="CF52" s="122"/>
      <c r="CG52" s="122"/>
      <c r="CH52" s="122"/>
      <c r="CI52" s="122"/>
      <c r="CJ52" s="122"/>
      <c r="CK52" s="122"/>
      <c r="CL52" s="122"/>
      <c r="CM52" s="122"/>
      <c r="CN52" s="122"/>
      <c r="CO52" s="122"/>
      <c r="CP52" s="122"/>
      <c r="CQ52" s="122"/>
      <c r="CR52" s="122"/>
      <c r="CS52" s="122"/>
      <c r="CT52" s="122"/>
      <c r="CU52" s="122"/>
      <c r="CV52" s="122"/>
      <c r="CW52" s="122"/>
      <c r="CX52" s="122"/>
      <c r="CY52" s="122"/>
      <c r="CZ52" s="122"/>
      <c r="DA52" s="122"/>
      <c r="DB52" s="122"/>
      <c r="DC52" s="122"/>
      <c r="DD52" s="122"/>
      <c r="DE52" s="122"/>
      <c r="DF52" s="122"/>
      <c r="DG52" s="122"/>
      <c r="DH52" s="122"/>
      <c r="DI52" s="122"/>
      <c r="DJ52" s="122"/>
      <c r="DK52" s="122"/>
      <c r="DL52" s="122"/>
      <c r="DM52" s="122"/>
      <c r="DN52" s="122"/>
      <c r="DO52" s="122"/>
      <c r="DP52" s="122"/>
      <c r="DQ52" s="122"/>
      <c r="DR52" s="122"/>
      <c r="DS52" s="122"/>
      <c r="DT52" s="122"/>
      <c r="DU52" s="122"/>
      <c r="DV52" s="122"/>
      <c r="DW52" s="122"/>
      <c r="DX52" s="122"/>
      <c r="DY52" s="122"/>
      <c r="DZ52" s="122"/>
      <c r="EA52" s="122"/>
      <c r="EB52" s="122"/>
      <c r="EC52" s="122"/>
      <c r="ED52" s="122"/>
      <c r="EE52" s="122"/>
      <c r="EF52" s="122"/>
      <c r="EG52" s="122"/>
      <c r="EH52" s="122"/>
      <c r="EI52" s="122"/>
      <c r="EJ52" s="122"/>
      <c r="EK52" s="122"/>
      <c r="EL52" s="122"/>
      <c r="EM52" s="122"/>
      <c r="EN52" s="122"/>
      <c r="EO52" s="122"/>
      <c r="EP52" s="122"/>
      <c r="EQ52" s="122"/>
      <c r="ER52" s="122"/>
      <c r="ES52" s="122"/>
      <c r="ET52" s="122"/>
      <c r="EU52" s="122"/>
      <c r="EV52" s="122"/>
      <c r="EW52" s="122"/>
      <c r="EX52" s="122"/>
      <c r="EY52" s="122"/>
      <c r="EZ52" s="122"/>
      <c r="FA52" s="122"/>
      <c r="FB52" s="122"/>
      <c r="FC52" s="122"/>
      <c r="FD52" s="122"/>
      <c r="FE52" s="122"/>
      <c r="FF52" s="122"/>
      <c r="FG52" s="122"/>
      <c r="FH52" s="122"/>
      <c r="FI52" s="122"/>
      <c r="FJ52" s="122"/>
      <c r="FK52" s="122"/>
      <c r="FL52" s="122"/>
      <c r="FM52" s="122"/>
      <c r="FN52" s="122"/>
      <c r="FO52" s="122"/>
      <c r="FP52" s="122"/>
      <c r="FQ52" s="122"/>
      <c r="FR52" s="122"/>
      <c r="FS52" s="122"/>
      <c r="FT52" s="122"/>
      <c r="FU52" s="122"/>
      <c r="FV52" s="122"/>
      <c r="FW52" s="122"/>
      <c r="FX52" s="122"/>
      <c r="FY52" s="122"/>
      <c r="FZ52" s="122"/>
      <c r="GA52" s="122"/>
      <c r="GB52" s="122"/>
      <c r="GC52" s="122"/>
    </row>
    <row r="53" spans="1:185" s="123" customFormat="1" ht="13">
      <c r="A53" s="20" t="s">
        <v>1847</v>
      </c>
      <c r="B53" s="16" t="s">
        <v>1848</v>
      </c>
      <c r="C53" s="211">
        <f>SUM(E53:AG53)</f>
        <v>0</v>
      </c>
      <c r="D53" s="236">
        <f t="shared" ref="D53:AG53" si="14">D12-D48</f>
        <v>0</v>
      </c>
      <c r="E53" s="204">
        <f t="shared" si="14"/>
        <v>0</v>
      </c>
      <c r="F53" s="204">
        <f t="shared" si="14"/>
        <v>0</v>
      </c>
      <c r="G53" s="204">
        <f t="shared" si="14"/>
        <v>0</v>
      </c>
      <c r="H53" s="204">
        <f t="shared" si="14"/>
        <v>0</v>
      </c>
      <c r="I53" s="204">
        <f t="shared" si="14"/>
        <v>0</v>
      </c>
      <c r="J53" s="204">
        <f t="shared" si="14"/>
        <v>0</v>
      </c>
      <c r="K53" s="204">
        <f t="shared" si="14"/>
        <v>0</v>
      </c>
      <c r="L53" s="204">
        <f t="shared" si="14"/>
        <v>0</v>
      </c>
      <c r="M53" s="204">
        <f t="shared" si="14"/>
        <v>0</v>
      </c>
      <c r="N53" s="204">
        <f t="shared" si="14"/>
        <v>0</v>
      </c>
      <c r="O53" s="204">
        <f t="shared" si="14"/>
        <v>0</v>
      </c>
      <c r="P53" s="204">
        <f t="shared" si="14"/>
        <v>0</v>
      </c>
      <c r="Q53" s="204">
        <f t="shared" si="14"/>
        <v>0</v>
      </c>
      <c r="R53" s="204">
        <f t="shared" si="14"/>
        <v>0</v>
      </c>
      <c r="S53" s="204">
        <f t="shared" si="14"/>
        <v>0</v>
      </c>
      <c r="T53" s="204">
        <f t="shared" si="14"/>
        <v>0</v>
      </c>
      <c r="U53" s="204">
        <f t="shared" si="14"/>
        <v>0</v>
      </c>
      <c r="V53" s="204">
        <f t="shared" si="14"/>
        <v>0</v>
      </c>
      <c r="W53" s="204">
        <f t="shared" si="14"/>
        <v>0</v>
      </c>
      <c r="X53" s="204">
        <f t="shared" si="14"/>
        <v>0</v>
      </c>
      <c r="Y53" s="204">
        <f t="shared" si="14"/>
        <v>0</v>
      </c>
      <c r="Z53" s="204">
        <f t="shared" si="14"/>
        <v>0</v>
      </c>
      <c r="AA53" s="204">
        <f t="shared" si="14"/>
        <v>0</v>
      </c>
      <c r="AB53" s="204">
        <f t="shared" si="14"/>
        <v>0</v>
      </c>
      <c r="AC53" s="204">
        <f t="shared" si="14"/>
        <v>0</v>
      </c>
      <c r="AD53" s="204">
        <f t="shared" si="14"/>
        <v>0</v>
      </c>
      <c r="AE53" s="204">
        <f t="shared" si="14"/>
        <v>0</v>
      </c>
      <c r="AF53" s="204">
        <f t="shared" si="14"/>
        <v>0</v>
      </c>
      <c r="AG53" s="204">
        <f t="shared" si="14"/>
        <v>0</v>
      </c>
      <c r="AH53" s="172"/>
      <c r="AI53" s="173"/>
      <c r="AJ53" s="122"/>
      <c r="AK53" s="122"/>
      <c r="AL53" s="122"/>
      <c r="AM53" s="122"/>
      <c r="AN53" s="122"/>
      <c r="AO53" s="122"/>
      <c r="AP53" s="122"/>
      <c r="AQ53" s="122"/>
      <c r="AR53" s="122"/>
      <c r="AS53" s="122"/>
      <c r="AT53" s="122"/>
      <c r="AU53" s="122"/>
      <c r="AV53" s="122"/>
      <c r="AW53" s="122"/>
      <c r="AX53" s="122"/>
      <c r="AY53" s="122"/>
      <c r="AZ53" s="122"/>
      <c r="BA53" s="122"/>
      <c r="BB53" s="122"/>
      <c r="BC53" s="122"/>
      <c r="BD53" s="122"/>
      <c r="BE53" s="122"/>
      <c r="BF53" s="122"/>
      <c r="BG53" s="122"/>
      <c r="BH53" s="122"/>
      <c r="BI53" s="122"/>
      <c r="BJ53" s="122"/>
      <c r="BK53" s="122"/>
      <c r="BL53" s="122"/>
      <c r="BM53" s="122"/>
      <c r="BN53" s="122"/>
      <c r="BO53" s="122"/>
      <c r="BP53" s="122"/>
      <c r="BQ53" s="122"/>
      <c r="BR53" s="122"/>
      <c r="BS53" s="122"/>
      <c r="BT53" s="122"/>
      <c r="BU53" s="122"/>
      <c r="BV53" s="122"/>
      <c r="BW53" s="122"/>
      <c r="BX53" s="122"/>
      <c r="BY53" s="122"/>
      <c r="BZ53" s="122"/>
      <c r="CA53" s="122"/>
      <c r="CB53" s="122"/>
      <c r="CC53" s="122"/>
      <c r="CD53" s="122"/>
      <c r="CE53" s="122"/>
      <c r="CF53" s="122"/>
      <c r="CG53" s="122"/>
      <c r="CH53" s="122"/>
      <c r="CI53" s="122"/>
      <c r="CJ53" s="122"/>
      <c r="CK53" s="122"/>
      <c r="CL53" s="122"/>
      <c r="CM53" s="122"/>
      <c r="CN53" s="122"/>
      <c r="CO53" s="122"/>
      <c r="CP53" s="122"/>
      <c r="CQ53" s="122"/>
      <c r="CR53" s="122"/>
      <c r="CS53" s="122"/>
      <c r="CT53" s="122"/>
      <c r="CU53" s="122"/>
      <c r="CV53" s="122"/>
      <c r="CW53" s="122"/>
      <c r="CX53" s="122"/>
      <c r="CY53" s="122"/>
      <c r="CZ53" s="122"/>
      <c r="DA53" s="122"/>
      <c r="DB53" s="122"/>
      <c r="DC53" s="122"/>
      <c r="DD53" s="122"/>
      <c r="DE53" s="122"/>
      <c r="DF53" s="122"/>
      <c r="DG53" s="122"/>
      <c r="DH53" s="122"/>
      <c r="DI53" s="122"/>
      <c r="DJ53" s="122"/>
      <c r="DK53" s="122"/>
      <c r="DL53" s="122"/>
      <c r="DM53" s="122"/>
      <c r="DN53" s="122"/>
      <c r="DO53" s="122"/>
      <c r="DP53" s="122"/>
      <c r="DQ53" s="122"/>
      <c r="DR53" s="122"/>
      <c r="DS53" s="122"/>
      <c r="DT53" s="122"/>
      <c r="DU53" s="122"/>
      <c r="DV53" s="122"/>
      <c r="DW53" s="122"/>
      <c r="DX53" s="122"/>
      <c r="DY53" s="122"/>
      <c r="DZ53" s="122"/>
      <c r="EA53" s="122"/>
      <c r="EB53" s="122"/>
      <c r="EC53" s="122"/>
      <c r="ED53" s="122"/>
      <c r="EE53" s="122"/>
      <c r="EF53" s="122"/>
      <c r="EG53" s="122"/>
      <c r="EH53" s="122"/>
      <c r="EI53" s="122"/>
      <c r="EJ53" s="122"/>
      <c r="EK53" s="122"/>
      <c r="EL53" s="122"/>
      <c r="EM53" s="122"/>
      <c r="EN53" s="122"/>
      <c r="EO53" s="122"/>
      <c r="EP53" s="122"/>
      <c r="EQ53" s="122"/>
      <c r="ER53" s="122"/>
      <c r="ES53" s="122"/>
      <c r="ET53" s="122"/>
      <c r="EU53" s="122"/>
      <c r="EV53" s="122"/>
      <c r="EW53" s="122"/>
      <c r="EX53" s="122"/>
      <c r="EY53" s="122"/>
      <c r="EZ53" s="122"/>
      <c r="FA53" s="122"/>
      <c r="FB53" s="122"/>
      <c r="FC53" s="122"/>
      <c r="FD53" s="122"/>
      <c r="FE53" s="122"/>
      <c r="FF53" s="122"/>
      <c r="FG53" s="122"/>
      <c r="FH53" s="122"/>
      <c r="FI53" s="122"/>
      <c r="FJ53" s="122"/>
      <c r="FK53" s="122"/>
      <c r="FL53" s="122"/>
      <c r="FM53" s="122"/>
      <c r="FN53" s="122"/>
      <c r="FO53" s="122"/>
      <c r="FP53" s="122"/>
      <c r="FQ53" s="122"/>
      <c r="FR53" s="122"/>
      <c r="FS53" s="122"/>
      <c r="FT53" s="122"/>
      <c r="FU53" s="122"/>
      <c r="FV53" s="122"/>
      <c r="FW53" s="122"/>
      <c r="FX53" s="122"/>
      <c r="FY53" s="122"/>
      <c r="FZ53" s="122"/>
      <c r="GA53" s="122"/>
      <c r="GB53" s="122"/>
      <c r="GC53" s="122"/>
    </row>
    <row r="54" spans="1:185" s="121" customFormat="1" ht="13">
      <c r="A54" s="18"/>
      <c r="B54" s="95"/>
      <c r="C54" s="207"/>
      <c r="D54" s="262"/>
      <c r="E54" s="208"/>
      <c r="F54" s="208"/>
      <c r="G54" s="208"/>
      <c r="H54" s="208"/>
      <c r="I54" s="208"/>
      <c r="J54" s="208"/>
      <c r="K54" s="212"/>
      <c r="L54" s="212"/>
      <c r="M54" s="212"/>
      <c r="N54" s="212"/>
      <c r="O54" s="212"/>
      <c r="P54" s="212"/>
      <c r="Q54" s="212"/>
      <c r="R54" s="212"/>
      <c r="S54" s="212"/>
      <c r="T54" s="212"/>
      <c r="U54" s="212"/>
      <c r="V54" s="212"/>
      <c r="W54" s="212"/>
      <c r="X54" s="212"/>
      <c r="Y54" s="212"/>
      <c r="Z54" s="212"/>
      <c r="AA54" s="212"/>
      <c r="AB54" s="212"/>
      <c r="AC54" s="212"/>
      <c r="AD54" s="212"/>
      <c r="AE54" s="212"/>
      <c r="AF54" s="212"/>
      <c r="AG54" s="212"/>
      <c r="AH54" s="170"/>
      <c r="AI54" s="171"/>
      <c r="AJ54" s="120"/>
      <c r="AK54" s="120"/>
      <c r="AL54" s="120"/>
      <c r="AM54" s="120"/>
      <c r="AN54" s="120"/>
      <c r="AO54" s="120"/>
      <c r="AP54" s="120"/>
      <c r="AQ54" s="120"/>
      <c r="AR54" s="120"/>
      <c r="AS54" s="120"/>
      <c r="AT54" s="120"/>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c r="BR54" s="120"/>
      <c r="BS54" s="120"/>
      <c r="BT54" s="120"/>
      <c r="BU54" s="120"/>
      <c r="BV54" s="120"/>
      <c r="BW54" s="120"/>
      <c r="BX54" s="120"/>
      <c r="BY54" s="120"/>
      <c r="BZ54" s="120"/>
      <c r="CA54" s="120"/>
      <c r="CB54" s="120"/>
      <c r="CC54" s="120"/>
      <c r="CD54" s="120"/>
      <c r="CE54" s="120"/>
      <c r="CF54" s="120"/>
      <c r="CG54" s="120"/>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c r="EU54" s="120"/>
      <c r="EV54" s="120"/>
      <c r="EW54" s="120"/>
      <c r="EX54" s="120"/>
      <c r="EY54" s="120"/>
      <c r="EZ54" s="120"/>
      <c r="FA54" s="120"/>
      <c r="FB54" s="120"/>
      <c r="FC54" s="120"/>
      <c r="FD54" s="120"/>
      <c r="FE54" s="120"/>
      <c r="FF54" s="120"/>
      <c r="FG54" s="120"/>
      <c r="FH54" s="120"/>
      <c r="FI54" s="120"/>
      <c r="FJ54" s="120"/>
      <c r="FK54" s="120"/>
      <c r="FL54" s="120"/>
      <c r="FM54" s="120"/>
      <c r="FN54" s="120"/>
      <c r="FO54" s="120"/>
      <c r="FP54" s="120"/>
      <c r="FQ54" s="120"/>
      <c r="FR54" s="120"/>
      <c r="FS54" s="120"/>
      <c r="FT54" s="120"/>
      <c r="FU54" s="120"/>
      <c r="FV54" s="120"/>
      <c r="FW54" s="120"/>
      <c r="FX54" s="120"/>
      <c r="FY54" s="120"/>
      <c r="FZ54" s="120"/>
      <c r="GA54" s="120"/>
      <c r="GB54" s="120"/>
      <c r="GC54" s="120"/>
    </row>
    <row r="55" spans="1:185" s="123" customFormat="1" ht="13">
      <c r="A55" s="98" t="s">
        <v>1872</v>
      </c>
      <c r="B55" s="93" t="s">
        <v>2179</v>
      </c>
      <c r="C55" s="204">
        <f>SUM(E55:AG55)</f>
        <v>0</v>
      </c>
      <c r="D55" s="263"/>
      <c r="E55" s="205"/>
      <c r="F55" s="205"/>
      <c r="G55" s="205"/>
      <c r="H55" s="205"/>
      <c r="I55" s="205"/>
      <c r="J55" s="205"/>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172"/>
      <c r="AI55" s="173"/>
      <c r="AJ55" s="122"/>
      <c r="AK55" s="122"/>
      <c r="AL55" s="122"/>
      <c r="AM55" s="122"/>
      <c r="AN55" s="122"/>
      <c r="AO55" s="122"/>
      <c r="AP55" s="122"/>
      <c r="AQ55" s="122"/>
      <c r="AR55" s="122"/>
      <c r="AS55" s="122"/>
      <c r="AT55" s="122"/>
      <c r="AU55" s="122"/>
      <c r="AV55" s="122"/>
      <c r="AW55" s="122"/>
      <c r="AX55" s="122"/>
      <c r="AY55" s="122"/>
      <c r="AZ55" s="122"/>
      <c r="BA55" s="122"/>
      <c r="BB55" s="122"/>
      <c r="BC55" s="122"/>
      <c r="BD55" s="122"/>
      <c r="BE55" s="122"/>
      <c r="BF55" s="122"/>
      <c r="BG55" s="122"/>
      <c r="BH55" s="122"/>
      <c r="BI55" s="122"/>
      <c r="BJ55" s="122"/>
      <c r="BK55" s="122"/>
      <c r="BL55" s="122"/>
      <c r="BM55" s="122"/>
      <c r="BN55" s="122"/>
      <c r="BO55" s="122"/>
      <c r="BP55" s="122"/>
      <c r="BQ55" s="122"/>
      <c r="BR55" s="122"/>
      <c r="BS55" s="122"/>
      <c r="BT55" s="122"/>
      <c r="BU55" s="122"/>
      <c r="BV55" s="122"/>
      <c r="BW55" s="122"/>
      <c r="BX55" s="122"/>
      <c r="BY55" s="122"/>
      <c r="BZ55" s="122"/>
      <c r="CA55" s="122"/>
      <c r="CB55" s="122"/>
      <c r="CC55" s="122"/>
      <c r="CD55" s="122"/>
      <c r="CE55" s="122"/>
      <c r="CF55" s="122"/>
      <c r="CG55" s="122"/>
      <c r="CH55" s="122"/>
      <c r="CI55" s="122"/>
      <c r="CJ55" s="122"/>
      <c r="CK55" s="122"/>
      <c r="CL55" s="122"/>
      <c r="CM55" s="122"/>
      <c r="CN55" s="122"/>
      <c r="CO55" s="122"/>
      <c r="CP55" s="122"/>
      <c r="CQ55" s="122"/>
      <c r="CR55" s="122"/>
      <c r="CS55" s="122"/>
      <c r="CT55" s="122"/>
      <c r="CU55" s="122"/>
      <c r="CV55" s="122"/>
      <c r="CW55" s="122"/>
      <c r="CX55" s="122"/>
      <c r="CY55" s="122"/>
      <c r="CZ55" s="122"/>
      <c r="DA55" s="122"/>
      <c r="DB55" s="122"/>
      <c r="DC55" s="122"/>
      <c r="DD55" s="122"/>
      <c r="DE55" s="122"/>
      <c r="DF55" s="122"/>
      <c r="DG55" s="122"/>
      <c r="DH55" s="122"/>
      <c r="DI55" s="122"/>
      <c r="DJ55" s="122"/>
      <c r="DK55" s="122"/>
      <c r="DL55" s="122"/>
      <c r="DM55" s="122"/>
      <c r="DN55" s="122"/>
      <c r="DO55" s="122"/>
      <c r="DP55" s="122"/>
      <c r="DQ55" s="122"/>
      <c r="DR55" s="122"/>
      <c r="DS55" s="122"/>
      <c r="DT55" s="122"/>
      <c r="DU55" s="122"/>
      <c r="DV55" s="122"/>
      <c r="DW55" s="122"/>
      <c r="DX55" s="122"/>
      <c r="DY55" s="122"/>
      <c r="DZ55" s="122"/>
      <c r="EA55" s="122"/>
      <c r="EB55" s="122"/>
      <c r="EC55" s="122"/>
      <c r="ED55" s="122"/>
      <c r="EE55" s="122"/>
      <c r="EF55" s="122"/>
      <c r="EG55" s="122"/>
      <c r="EH55" s="122"/>
      <c r="EI55" s="122"/>
      <c r="EJ55" s="122"/>
      <c r="EK55" s="122"/>
      <c r="EL55" s="122"/>
      <c r="EM55" s="122"/>
      <c r="EN55" s="122"/>
      <c r="EO55" s="122"/>
      <c r="EP55" s="122"/>
      <c r="EQ55" s="122"/>
      <c r="ER55" s="122"/>
      <c r="ES55" s="122"/>
      <c r="ET55" s="122"/>
      <c r="EU55" s="122"/>
      <c r="EV55" s="122"/>
      <c r="EW55" s="122"/>
      <c r="EX55" s="122"/>
      <c r="EY55" s="122"/>
      <c r="EZ55" s="122"/>
      <c r="FA55" s="122"/>
      <c r="FB55" s="122"/>
      <c r="FC55" s="122"/>
      <c r="FD55" s="122"/>
      <c r="FE55" s="122"/>
      <c r="FF55" s="122"/>
      <c r="FG55" s="122"/>
      <c r="FH55" s="122"/>
      <c r="FI55" s="122"/>
      <c r="FJ55" s="122"/>
      <c r="FK55" s="122"/>
      <c r="FL55" s="122"/>
      <c r="FM55" s="122"/>
      <c r="FN55" s="122"/>
      <c r="FO55" s="122"/>
      <c r="FP55" s="122"/>
      <c r="FQ55" s="122"/>
      <c r="FR55" s="122"/>
      <c r="FS55" s="122"/>
      <c r="FT55" s="122"/>
      <c r="FU55" s="122"/>
      <c r="FV55" s="122"/>
      <c r="FW55" s="122"/>
      <c r="FX55" s="122"/>
      <c r="FY55" s="122"/>
      <c r="FZ55" s="122"/>
      <c r="GA55" s="122"/>
      <c r="GB55" s="122"/>
      <c r="GC55" s="122"/>
    </row>
    <row r="56" spans="1:185" s="121" customFormat="1" ht="13">
      <c r="A56" s="96"/>
      <c r="B56" s="90"/>
      <c r="C56" s="206"/>
      <c r="D56" s="261"/>
      <c r="E56" s="209"/>
      <c r="F56" s="209"/>
      <c r="G56" s="209"/>
      <c r="H56" s="209"/>
      <c r="I56" s="209"/>
      <c r="J56" s="209"/>
      <c r="K56" s="210"/>
      <c r="L56" s="210"/>
      <c r="M56" s="210"/>
      <c r="N56" s="210"/>
      <c r="O56" s="210"/>
      <c r="P56" s="210"/>
      <c r="Q56" s="210"/>
      <c r="R56" s="210"/>
      <c r="S56" s="210"/>
      <c r="T56" s="210"/>
      <c r="U56" s="210"/>
      <c r="V56" s="210"/>
      <c r="W56" s="210"/>
      <c r="X56" s="210"/>
      <c r="Y56" s="210"/>
      <c r="Z56" s="210"/>
      <c r="AA56" s="210"/>
      <c r="AB56" s="210"/>
      <c r="AC56" s="210"/>
      <c r="AD56" s="210"/>
      <c r="AE56" s="210"/>
      <c r="AF56" s="210"/>
      <c r="AG56" s="210"/>
      <c r="AH56" s="170"/>
      <c r="AI56" s="171"/>
      <c r="AJ56" s="120"/>
      <c r="AK56" s="120"/>
      <c r="AL56" s="120"/>
      <c r="AM56" s="120"/>
      <c r="AN56" s="120"/>
      <c r="AO56" s="120"/>
      <c r="AP56" s="120"/>
      <c r="AQ56" s="120"/>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c r="EU56" s="120"/>
      <c r="EV56" s="120"/>
      <c r="EW56" s="120"/>
      <c r="EX56" s="120"/>
      <c r="EY56" s="120"/>
      <c r="EZ56" s="120"/>
      <c r="FA56" s="120"/>
      <c r="FB56" s="120"/>
      <c r="FC56" s="120"/>
      <c r="FD56" s="120"/>
      <c r="FE56" s="120"/>
      <c r="FF56" s="120"/>
      <c r="FG56" s="120"/>
      <c r="FH56" s="120"/>
      <c r="FI56" s="120"/>
      <c r="FJ56" s="120"/>
      <c r="FK56" s="120"/>
      <c r="FL56" s="120"/>
      <c r="FM56" s="120"/>
      <c r="FN56" s="120"/>
      <c r="FO56" s="120"/>
      <c r="FP56" s="120"/>
      <c r="FQ56" s="120"/>
      <c r="FR56" s="120"/>
      <c r="FS56" s="120"/>
      <c r="FT56" s="120"/>
      <c r="FU56" s="120"/>
      <c r="FV56" s="120"/>
      <c r="FW56" s="120"/>
      <c r="FX56" s="120"/>
      <c r="FY56" s="120"/>
      <c r="FZ56" s="120"/>
      <c r="GA56" s="120"/>
      <c r="GB56" s="120"/>
      <c r="GC56" s="120"/>
    </row>
    <row r="57" spans="1:185" s="123" customFormat="1" ht="13">
      <c r="A57" s="97" t="s">
        <v>1838</v>
      </c>
      <c r="B57" s="226" t="s">
        <v>2084</v>
      </c>
      <c r="C57" s="204">
        <f>SUM(E57:AG57)</f>
        <v>0</v>
      </c>
      <c r="D57" s="263"/>
      <c r="E57" s="205"/>
      <c r="F57" s="205"/>
      <c r="G57" s="205"/>
      <c r="H57" s="205"/>
      <c r="I57" s="205"/>
      <c r="J57" s="205"/>
      <c r="K57" s="205"/>
      <c r="L57" s="205"/>
      <c r="M57" s="205"/>
      <c r="N57" s="205"/>
      <c r="O57" s="205"/>
      <c r="P57" s="205"/>
      <c r="Q57" s="205"/>
      <c r="R57" s="205"/>
      <c r="S57" s="205"/>
      <c r="T57" s="205"/>
      <c r="U57" s="205"/>
      <c r="V57" s="205"/>
      <c r="W57" s="205"/>
      <c r="X57" s="205"/>
      <c r="Y57" s="205"/>
      <c r="Z57" s="205"/>
      <c r="AA57" s="205"/>
      <c r="AB57" s="205"/>
      <c r="AC57" s="205"/>
      <c r="AD57" s="205"/>
      <c r="AE57" s="205"/>
      <c r="AF57" s="205"/>
      <c r="AG57" s="205"/>
      <c r="AH57" s="172"/>
      <c r="AI57" s="173"/>
      <c r="AJ57" s="122"/>
      <c r="AK57" s="122"/>
      <c r="AL57" s="122"/>
      <c r="AM57" s="122"/>
      <c r="AN57" s="122"/>
      <c r="AO57" s="122"/>
      <c r="AP57" s="122"/>
      <c r="AQ57" s="122"/>
      <c r="AR57" s="122"/>
      <c r="AS57" s="122"/>
      <c r="AT57" s="122"/>
      <c r="AU57" s="122"/>
      <c r="AV57" s="122"/>
      <c r="AW57" s="122"/>
      <c r="AX57" s="122"/>
      <c r="AY57" s="122"/>
      <c r="AZ57" s="122"/>
      <c r="BA57" s="122"/>
      <c r="BB57" s="122"/>
      <c r="BC57" s="122"/>
      <c r="BD57" s="122"/>
      <c r="BE57" s="122"/>
      <c r="BF57" s="122"/>
      <c r="BG57" s="122"/>
      <c r="BH57" s="122"/>
      <c r="BI57" s="122"/>
      <c r="BJ57" s="122"/>
      <c r="BK57" s="122"/>
      <c r="BL57" s="122"/>
      <c r="BM57" s="122"/>
      <c r="BN57" s="122"/>
      <c r="BO57" s="122"/>
      <c r="BP57" s="122"/>
      <c r="BQ57" s="122"/>
      <c r="BR57" s="122"/>
      <c r="BS57" s="122"/>
      <c r="BT57" s="122"/>
      <c r="BU57" s="122"/>
      <c r="BV57" s="122"/>
      <c r="BW57" s="122"/>
      <c r="BX57" s="122"/>
      <c r="BY57" s="122"/>
      <c r="BZ57" s="122"/>
      <c r="CA57" s="122"/>
      <c r="CB57" s="122"/>
      <c r="CC57" s="122"/>
      <c r="CD57" s="122"/>
      <c r="CE57" s="122"/>
      <c r="CF57" s="122"/>
      <c r="CG57" s="122"/>
      <c r="CH57" s="122"/>
      <c r="CI57" s="122"/>
      <c r="CJ57" s="122"/>
      <c r="CK57" s="122"/>
      <c r="CL57" s="122"/>
      <c r="CM57" s="122"/>
      <c r="CN57" s="122"/>
      <c r="CO57" s="122"/>
      <c r="CP57" s="122"/>
      <c r="CQ57" s="122"/>
      <c r="CR57" s="122"/>
      <c r="CS57" s="122"/>
      <c r="CT57" s="122"/>
      <c r="CU57" s="122"/>
      <c r="CV57" s="122"/>
      <c r="CW57" s="122"/>
      <c r="CX57" s="122"/>
      <c r="CY57" s="122"/>
      <c r="CZ57" s="122"/>
      <c r="DA57" s="122"/>
      <c r="DB57" s="122"/>
      <c r="DC57" s="122"/>
      <c r="DD57" s="122"/>
      <c r="DE57" s="122"/>
      <c r="DF57" s="122"/>
      <c r="DG57" s="122"/>
      <c r="DH57" s="122"/>
      <c r="DI57" s="122"/>
      <c r="DJ57" s="122"/>
      <c r="DK57" s="122"/>
      <c r="DL57" s="122"/>
      <c r="DM57" s="122"/>
      <c r="DN57" s="122"/>
      <c r="DO57" s="122"/>
      <c r="DP57" s="122"/>
      <c r="DQ57" s="122"/>
      <c r="DR57" s="122"/>
      <c r="DS57" s="122"/>
      <c r="DT57" s="122"/>
      <c r="DU57" s="122"/>
      <c r="DV57" s="122"/>
      <c r="DW57" s="122"/>
      <c r="DX57" s="122"/>
      <c r="DY57" s="122"/>
      <c r="DZ57" s="122"/>
      <c r="EA57" s="122"/>
      <c r="EB57" s="122"/>
      <c r="EC57" s="122"/>
      <c r="ED57" s="122"/>
      <c r="EE57" s="122"/>
      <c r="EF57" s="122"/>
      <c r="EG57" s="122"/>
      <c r="EH57" s="122"/>
      <c r="EI57" s="122"/>
      <c r="EJ57" s="122"/>
      <c r="EK57" s="122"/>
      <c r="EL57" s="122"/>
      <c r="EM57" s="122"/>
      <c r="EN57" s="122"/>
      <c r="EO57" s="122"/>
      <c r="EP57" s="122"/>
      <c r="EQ57" s="122"/>
      <c r="ER57" s="122"/>
      <c r="ES57" s="122"/>
      <c r="ET57" s="122"/>
      <c r="EU57" s="122"/>
      <c r="EV57" s="122"/>
      <c r="EW57" s="122"/>
      <c r="EX57" s="122"/>
      <c r="EY57" s="122"/>
      <c r="EZ57" s="122"/>
      <c r="FA57" s="122"/>
      <c r="FB57" s="122"/>
      <c r="FC57" s="122"/>
      <c r="FD57" s="122"/>
      <c r="FE57" s="122"/>
      <c r="FF57" s="122"/>
      <c r="FG57" s="122"/>
      <c r="FH57" s="122"/>
      <c r="FI57" s="122"/>
      <c r="FJ57" s="122"/>
      <c r="FK57" s="122"/>
      <c r="FL57" s="122"/>
      <c r="FM57" s="122"/>
      <c r="FN57" s="122"/>
      <c r="FO57" s="122"/>
      <c r="FP57" s="122"/>
      <c r="FQ57" s="122"/>
      <c r="FR57" s="122"/>
      <c r="FS57" s="122"/>
      <c r="FT57" s="122"/>
      <c r="FU57" s="122"/>
      <c r="FV57" s="122"/>
      <c r="FW57" s="122"/>
      <c r="FX57" s="122"/>
      <c r="FY57" s="122"/>
      <c r="FZ57" s="122"/>
      <c r="GA57" s="122"/>
      <c r="GB57" s="122"/>
      <c r="GC57" s="122"/>
    </row>
    <row r="58" spans="1:185" s="121" customFormat="1" ht="13">
      <c r="A58" s="96"/>
      <c r="B58" s="226"/>
      <c r="C58" s="206"/>
      <c r="D58" s="261"/>
      <c r="E58" s="209"/>
      <c r="F58" s="209"/>
      <c r="G58" s="209"/>
      <c r="H58" s="209"/>
      <c r="I58" s="209"/>
      <c r="J58" s="209"/>
      <c r="K58" s="210"/>
      <c r="L58" s="210"/>
      <c r="M58" s="210"/>
      <c r="N58" s="210"/>
      <c r="O58" s="210"/>
      <c r="P58" s="210"/>
      <c r="Q58" s="210"/>
      <c r="R58" s="210"/>
      <c r="S58" s="210"/>
      <c r="T58" s="210"/>
      <c r="U58" s="210"/>
      <c r="V58" s="210"/>
      <c r="W58" s="210"/>
      <c r="X58" s="210"/>
      <c r="Y58" s="210"/>
      <c r="Z58" s="210"/>
      <c r="AA58" s="210"/>
      <c r="AB58" s="210"/>
      <c r="AC58" s="210"/>
      <c r="AD58" s="210"/>
      <c r="AE58" s="210"/>
      <c r="AF58" s="210"/>
      <c r="AG58" s="210"/>
      <c r="AH58" s="170"/>
      <c r="AI58" s="171"/>
      <c r="AJ58" s="120"/>
      <c r="AK58" s="120"/>
      <c r="AL58" s="120"/>
      <c r="AM58" s="120"/>
      <c r="AN58" s="120"/>
      <c r="AO58" s="120"/>
      <c r="AP58" s="120"/>
      <c r="AQ58" s="120"/>
      <c r="AR58" s="120"/>
      <c r="AS58" s="120"/>
      <c r="AT58" s="120"/>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c r="EU58" s="120"/>
      <c r="EV58" s="120"/>
      <c r="EW58" s="120"/>
      <c r="EX58" s="120"/>
      <c r="EY58" s="120"/>
      <c r="EZ58" s="120"/>
      <c r="FA58" s="120"/>
      <c r="FB58" s="120"/>
      <c r="FC58" s="120"/>
      <c r="FD58" s="120"/>
      <c r="FE58" s="120"/>
      <c r="FF58" s="120"/>
      <c r="FG58" s="120"/>
      <c r="FH58" s="120"/>
      <c r="FI58" s="120"/>
      <c r="FJ58" s="120"/>
      <c r="FK58" s="120"/>
      <c r="FL58" s="120"/>
      <c r="FM58" s="120"/>
      <c r="FN58" s="120"/>
      <c r="FO58" s="120"/>
      <c r="FP58" s="120"/>
      <c r="FQ58" s="120"/>
      <c r="FR58" s="120"/>
      <c r="FS58" s="120"/>
      <c r="FT58" s="120"/>
      <c r="FU58" s="120"/>
      <c r="FV58" s="120"/>
      <c r="FW58" s="120"/>
      <c r="FX58" s="120"/>
      <c r="FY58" s="120"/>
      <c r="FZ58" s="120"/>
      <c r="GA58" s="120"/>
      <c r="GB58" s="120"/>
      <c r="GC58" s="120"/>
    </row>
    <row r="59" spans="1:185" s="123" customFormat="1" ht="13">
      <c r="A59" s="97" t="s">
        <v>1839</v>
      </c>
      <c r="B59" s="226" t="s">
        <v>2180</v>
      </c>
      <c r="C59" s="204">
        <f>SUM(E59:AG59)</f>
        <v>0</v>
      </c>
      <c r="D59" s="263"/>
      <c r="E59" s="205"/>
      <c r="F59" s="205"/>
      <c r="G59" s="205"/>
      <c r="H59" s="205"/>
      <c r="I59" s="205"/>
      <c r="J59" s="205"/>
      <c r="K59" s="205"/>
      <c r="L59" s="205"/>
      <c r="M59" s="205"/>
      <c r="N59" s="205"/>
      <c r="O59" s="205"/>
      <c r="P59" s="205"/>
      <c r="Q59" s="205"/>
      <c r="R59" s="205"/>
      <c r="S59" s="205"/>
      <c r="T59" s="205"/>
      <c r="U59" s="205"/>
      <c r="V59" s="205"/>
      <c r="W59" s="205"/>
      <c r="X59" s="205"/>
      <c r="Y59" s="205"/>
      <c r="Z59" s="205"/>
      <c r="AA59" s="205"/>
      <c r="AB59" s="205"/>
      <c r="AC59" s="205"/>
      <c r="AD59" s="205"/>
      <c r="AE59" s="205"/>
      <c r="AF59" s="205"/>
      <c r="AG59" s="205"/>
      <c r="AH59" s="172"/>
      <c r="AI59" s="173"/>
      <c r="AJ59" s="122"/>
      <c r="AK59" s="122"/>
      <c r="AL59" s="122"/>
      <c r="AM59" s="122"/>
      <c r="AN59" s="122"/>
      <c r="AO59" s="122"/>
      <c r="AP59" s="122"/>
      <c r="AQ59" s="122"/>
      <c r="AR59" s="122"/>
      <c r="AS59" s="122"/>
      <c r="AT59" s="122"/>
      <c r="AU59" s="122"/>
      <c r="AV59" s="122"/>
      <c r="AW59" s="122"/>
      <c r="AX59" s="122"/>
      <c r="AY59" s="122"/>
      <c r="AZ59" s="122"/>
      <c r="BA59" s="122"/>
      <c r="BB59" s="122"/>
      <c r="BC59" s="122"/>
      <c r="BD59" s="122"/>
      <c r="BE59" s="122"/>
      <c r="BF59" s="122"/>
      <c r="BG59" s="122"/>
      <c r="BH59" s="122"/>
      <c r="BI59" s="122"/>
      <c r="BJ59" s="122"/>
      <c r="BK59" s="122"/>
      <c r="BL59" s="122"/>
      <c r="BM59" s="122"/>
      <c r="BN59" s="122"/>
      <c r="BO59" s="122"/>
      <c r="BP59" s="122"/>
      <c r="BQ59" s="122"/>
      <c r="BR59" s="122"/>
      <c r="BS59" s="122"/>
      <c r="BT59" s="122"/>
      <c r="BU59" s="122"/>
      <c r="BV59" s="122"/>
      <c r="BW59" s="122"/>
      <c r="BX59" s="122"/>
      <c r="BY59" s="122"/>
      <c r="BZ59" s="122"/>
      <c r="CA59" s="122"/>
      <c r="CB59" s="122"/>
      <c r="CC59" s="122"/>
      <c r="CD59" s="122"/>
      <c r="CE59" s="122"/>
      <c r="CF59" s="122"/>
      <c r="CG59" s="122"/>
      <c r="CH59" s="122"/>
      <c r="CI59" s="122"/>
      <c r="CJ59" s="122"/>
      <c r="CK59" s="122"/>
      <c r="CL59" s="122"/>
      <c r="CM59" s="122"/>
      <c r="CN59" s="122"/>
      <c r="CO59" s="122"/>
      <c r="CP59" s="122"/>
      <c r="CQ59" s="122"/>
      <c r="CR59" s="122"/>
      <c r="CS59" s="122"/>
      <c r="CT59" s="122"/>
      <c r="CU59" s="122"/>
      <c r="CV59" s="122"/>
      <c r="CW59" s="122"/>
      <c r="CX59" s="122"/>
      <c r="CY59" s="122"/>
      <c r="CZ59" s="122"/>
      <c r="DA59" s="122"/>
      <c r="DB59" s="122"/>
      <c r="DC59" s="122"/>
      <c r="DD59" s="122"/>
      <c r="DE59" s="122"/>
      <c r="DF59" s="122"/>
      <c r="DG59" s="122"/>
      <c r="DH59" s="122"/>
      <c r="DI59" s="122"/>
      <c r="DJ59" s="122"/>
      <c r="DK59" s="122"/>
      <c r="DL59" s="122"/>
      <c r="DM59" s="122"/>
      <c r="DN59" s="122"/>
      <c r="DO59" s="122"/>
      <c r="DP59" s="122"/>
      <c r="DQ59" s="122"/>
      <c r="DR59" s="122"/>
      <c r="DS59" s="122"/>
      <c r="DT59" s="122"/>
      <c r="DU59" s="122"/>
      <c r="DV59" s="122"/>
      <c r="DW59" s="122"/>
      <c r="DX59" s="122"/>
      <c r="DY59" s="122"/>
      <c r="DZ59" s="122"/>
      <c r="EA59" s="122"/>
      <c r="EB59" s="122"/>
      <c r="EC59" s="122"/>
      <c r="ED59" s="122"/>
      <c r="EE59" s="122"/>
      <c r="EF59" s="122"/>
      <c r="EG59" s="122"/>
      <c r="EH59" s="122"/>
      <c r="EI59" s="122"/>
      <c r="EJ59" s="122"/>
      <c r="EK59" s="122"/>
      <c r="EL59" s="122"/>
      <c r="EM59" s="122"/>
      <c r="EN59" s="122"/>
      <c r="EO59" s="122"/>
      <c r="EP59" s="122"/>
      <c r="EQ59" s="122"/>
      <c r="ER59" s="122"/>
      <c r="ES59" s="122"/>
      <c r="ET59" s="122"/>
      <c r="EU59" s="122"/>
      <c r="EV59" s="122"/>
      <c r="EW59" s="122"/>
      <c r="EX59" s="122"/>
      <c r="EY59" s="122"/>
      <c r="EZ59" s="122"/>
      <c r="FA59" s="122"/>
      <c r="FB59" s="122"/>
      <c r="FC59" s="122"/>
      <c r="FD59" s="122"/>
      <c r="FE59" s="122"/>
      <c r="FF59" s="122"/>
      <c r="FG59" s="122"/>
      <c r="FH59" s="122"/>
      <c r="FI59" s="122"/>
      <c r="FJ59" s="122"/>
      <c r="FK59" s="122"/>
      <c r="FL59" s="122"/>
      <c r="FM59" s="122"/>
      <c r="FN59" s="122"/>
      <c r="FO59" s="122"/>
      <c r="FP59" s="122"/>
      <c r="FQ59" s="122"/>
      <c r="FR59" s="122"/>
      <c r="FS59" s="122"/>
      <c r="FT59" s="122"/>
      <c r="FU59" s="122"/>
      <c r="FV59" s="122"/>
      <c r="FW59" s="122"/>
      <c r="FX59" s="122"/>
      <c r="FY59" s="122"/>
      <c r="FZ59" s="122"/>
      <c r="GA59" s="122"/>
      <c r="GB59" s="122"/>
      <c r="GC59" s="122"/>
    </row>
    <row r="60" spans="1:185" s="121" customFormat="1" ht="13">
      <c r="A60" s="96"/>
      <c r="B60" s="226"/>
      <c r="C60" s="206"/>
      <c r="D60" s="261"/>
      <c r="E60" s="209"/>
      <c r="F60" s="209"/>
      <c r="G60" s="209"/>
      <c r="H60" s="209"/>
      <c r="I60" s="209"/>
      <c r="J60" s="209"/>
      <c r="K60" s="210"/>
      <c r="L60" s="210"/>
      <c r="M60" s="210"/>
      <c r="N60" s="210"/>
      <c r="O60" s="210"/>
      <c r="P60" s="210"/>
      <c r="Q60" s="210"/>
      <c r="R60" s="210"/>
      <c r="S60" s="210"/>
      <c r="T60" s="210"/>
      <c r="U60" s="210"/>
      <c r="V60" s="210"/>
      <c r="W60" s="210"/>
      <c r="X60" s="210"/>
      <c r="Y60" s="210"/>
      <c r="Z60" s="210"/>
      <c r="AA60" s="210"/>
      <c r="AB60" s="210"/>
      <c r="AC60" s="210"/>
      <c r="AD60" s="210"/>
      <c r="AE60" s="210"/>
      <c r="AF60" s="210"/>
      <c r="AG60" s="210"/>
      <c r="AH60" s="170"/>
      <c r="AI60" s="171"/>
      <c r="AJ60" s="120"/>
      <c r="AK60" s="120"/>
      <c r="AL60" s="120"/>
      <c r="AM60" s="120"/>
      <c r="AN60" s="120"/>
      <c r="AO60" s="120"/>
      <c r="AP60" s="120"/>
      <c r="AQ60" s="120"/>
      <c r="AR60" s="120"/>
      <c r="AS60" s="120"/>
      <c r="AT60" s="120"/>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c r="EU60" s="120"/>
      <c r="EV60" s="120"/>
      <c r="EW60" s="120"/>
      <c r="EX60" s="120"/>
      <c r="EY60" s="120"/>
      <c r="EZ60" s="120"/>
      <c r="FA60" s="120"/>
      <c r="FB60" s="120"/>
      <c r="FC60" s="120"/>
      <c r="FD60" s="120"/>
      <c r="FE60" s="120"/>
      <c r="FF60" s="120"/>
      <c r="FG60" s="120"/>
      <c r="FH60" s="120"/>
      <c r="FI60" s="120"/>
      <c r="FJ60" s="120"/>
      <c r="FK60" s="120"/>
      <c r="FL60" s="120"/>
      <c r="FM60" s="120"/>
      <c r="FN60" s="120"/>
      <c r="FO60" s="120"/>
      <c r="FP60" s="120"/>
      <c r="FQ60" s="120"/>
      <c r="FR60" s="120"/>
      <c r="FS60" s="120"/>
      <c r="FT60" s="120"/>
      <c r="FU60" s="120"/>
      <c r="FV60" s="120"/>
      <c r="FW60" s="120"/>
      <c r="FX60" s="120"/>
      <c r="FY60" s="120"/>
      <c r="FZ60" s="120"/>
      <c r="GA60" s="120"/>
      <c r="GB60" s="120"/>
      <c r="GC60" s="120"/>
    </row>
    <row r="61" spans="1:185" s="121" customFormat="1" ht="13">
      <c r="A61" s="96" t="s">
        <v>1840</v>
      </c>
      <c r="B61" s="227" t="s">
        <v>2181</v>
      </c>
      <c r="C61" s="206">
        <f>SUM(E61:AG61)</f>
        <v>0</v>
      </c>
      <c r="D61" s="261"/>
      <c r="E61" s="209"/>
      <c r="F61" s="209"/>
      <c r="G61" s="209"/>
      <c r="H61" s="209"/>
      <c r="I61" s="209"/>
      <c r="J61" s="209"/>
      <c r="K61" s="210"/>
      <c r="L61" s="210"/>
      <c r="M61" s="210"/>
      <c r="N61" s="210"/>
      <c r="O61" s="210"/>
      <c r="P61" s="210"/>
      <c r="Q61" s="210"/>
      <c r="R61" s="210"/>
      <c r="S61" s="210"/>
      <c r="T61" s="210"/>
      <c r="U61" s="210"/>
      <c r="V61" s="210"/>
      <c r="W61" s="210"/>
      <c r="X61" s="210"/>
      <c r="Y61" s="210"/>
      <c r="Z61" s="210"/>
      <c r="AA61" s="210"/>
      <c r="AB61" s="210"/>
      <c r="AC61" s="210"/>
      <c r="AD61" s="210"/>
      <c r="AE61" s="210"/>
      <c r="AF61" s="210"/>
      <c r="AG61" s="210"/>
      <c r="AH61" s="170"/>
      <c r="AI61" s="171"/>
      <c r="AJ61" s="120"/>
      <c r="AK61" s="120"/>
      <c r="AL61" s="120"/>
      <c r="AM61" s="120"/>
      <c r="AN61" s="120"/>
      <c r="AO61" s="120"/>
      <c r="AP61" s="120"/>
      <c r="AQ61" s="120"/>
      <c r="AR61" s="120"/>
      <c r="AS61" s="120"/>
      <c r="AT61" s="120"/>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c r="EU61" s="120"/>
      <c r="EV61" s="120"/>
      <c r="EW61" s="120"/>
      <c r="EX61" s="120"/>
      <c r="EY61" s="120"/>
      <c r="EZ61" s="120"/>
      <c r="FA61" s="120"/>
      <c r="FB61" s="120"/>
      <c r="FC61" s="120"/>
      <c r="FD61" s="120"/>
      <c r="FE61" s="120"/>
      <c r="FF61" s="120"/>
      <c r="FG61" s="120"/>
      <c r="FH61" s="120"/>
      <c r="FI61" s="120"/>
      <c r="FJ61" s="120"/>
      <c r="FK61" s="120"/>
      <c r="FL61" s="120"/>
      <c r="FM61" s="120"/>
      <c r="FN61" s="120"/>
      <c r="FO61" s="120"/>
      <c r="FP61" s="120"/>
      <c r="FQ61" s="120"/>
      <c r="FR61" s="120"/>
      <c r="FS61" s="120"/>
      <c r="FT61" s="120"/>
      <c r="FU61" s="120"/>
      <c r="FV61" s="120"/>
      <c r="FW61" s="120"/>
      <c r="FX61" s="120"/>
      <c r="FY61" s="120"/>
      <c r="FZ61" s="120"/>
      <c r="GA61" s="120"/>
      <c r="GB61" s="120"/>
      <c r="GC61" s="120"/>
    </row>
    <row r="62" spans="1:185" s="121" customFormat="1" ht="13">
      <c r="A62" s="96" t="s">
        <v>1841</v>
      </c>
      <c r="B62" s="227" t="s">
        <v>2182</v>
      </c>
      <c r="C62" s="206">
        <f>SUM(E62:AG62)</f>
        <v>0</v>
      </c>
      <c r="D62" s="261"/>
      <c r="E62" s="209"/>
      <c r="F62" s="209"/>
      <c r="G62" s="209"/>
      <c r="H62" s="209"/>
      <c r="I62" s="209"/>
      <c r="J62" s="209"/>
      <c r="K62" s="210"/>
      <c r="L62" s="210"/>
      <c r="M62" s="210"/>
      <c r="N62" s="210"/>
      <c r="O62" s="210"/>
      <c r="P62" s="210"/>
      <c r="Q62" s="210"/>
      <c r="R62" s="210"/>
      <c r="S62" s="210"/>
      <c r="T62" s="210"/>
      <c r="U62" s="210"/>
      <c r="V62" s="210"/>
      <c r="W62" s="210"/>
      <c r="X62" s="210"/>
      <c r="Y62" s="210"/>
      <c r="Z62" s="210"/>
      <c r="AA62" s="210"/>
      <c r="AB62" s="210"/>
      <c r="AC62" s="210"/>
      <c r="AD62" s="210"/>
      <c r="AE62" s="210"/>
      <c r="AF62" s="210"/>
      <c r="AG62" s="210"/>
      <c r="AH62" s="170"/>
      <c r="AI62" s="171"/>
      <c r="AJ62" s="120"/>
      <c r="AK62" s="120"/>
      <c r="AL62" s="120"/>
      <c r="AM62" s="120"/>
      <c r="AN62" s="120"/>
      <c r="AO62" s="120"/>
      <c r="AP62" s="120"/>
      <c r="AQ62" s="120"/>
      <c r="AR62" s="120"/>
      <c r="AS62" s="120"/>
      <c r="AT62" s="120"/>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0"/>
      <c r="FA62" s="120"/>
      <c r="FB62" s="120"/>
      <c r="FC62" s="120"/>
      <c r="FD62" s="120"/>
      <c r="FE62" s="120"/>
      <c r="FF62" s="120"/>
      <c r="FG62" s="120"/>
      <c r="FH62" s="120"/>
      <c r="FI62" s="120"/>
      <c r="FJ62" s="120"/>
      <c r="FK62" s="120"/>
      <c r="FL62" s="120"/>
      <c r="FM62" s="120"/>
      <c r="FN62" s="120"/>
      <c r="FO62" s="120"/>
      <c r="FP62" s="120"/>
      <c r="FQ62" s="120"/>
      <c r="FR62" s="120"/>
      <c r="FS62" s="120"/>
      <c r="FT62" s="120"/>
      <c r="FU62" s="120"/>
      <c r="FV62" s="120"/>
      <c r="FW62" s="120"/>
      <c r="FX62" s="120"/>
      <c r="FY62" s="120"/>
      <c r="FZ62" s="120"/>
      <c r="GA62" s="120"/>
      <c r="GB62" s="120"/>
      <c r="GC62" s="120"/>
    </row>
    <row r="63" spans="1:185" s="121" customFormat="1" ht="13">
      <c r="A63" s="96" t="s">
        <v>1842</v>
      </c>
      <c r="B63" s="227" t="s">
        <v>2183</v>
      </c>
      <c r="C63" s="206">
        <f>SUM(E63:AG63)</f>
        <v>0</v>
      </c>
      <c r="D63" s="261"/>
      <c r="E63" s="209"/>
      <c r="F63" s="209"/>
      <c r="G63" s="209"/>
      <c r="H63" s="209"/>
      <c r="I63" s="209"/>
      <c r="J63" s="209"/>
      <c r="K63" s="210"/>
      <c r="L63" s="210"/>
      <c r="M63" s="210"/>
      <c r="N63" s="210"/>
      <c r="O63" s="210"/>
      <c r="P63" s="210"/>
      <c r="Q63" s="210"/>
      <c r="R63" s="210"/>
      <c r="S63" s="210"/>
      <c r="T63" s="210"/>
      <c r="U63" s="210"/>
      <c r="V63" s="210"/>
      <c r="W63" s="210"/>
      <c r="X63" s="210"/>
      <c r="Y63" s="210"/>
      <c r="Z63" s="210"/>
      <c r="AA63" s="210"/>
      <c r="AB63" s="210"/>
      <c r="AC63" s="210"/>
      <c r="AD63" s="210"/>
      <c r="AE63" s="210"/>
      <c r="AF63" s="210"/>
      <c r="AG63" s="210"/>
      <c r="AH63" s="170"/>
      <c r="AI63" s="171"/>
      <c r="AJ63" s="120"/>
      <c r="AK63" s="120"/>
      <c r="AL63" s="120"/>
      <c r="AM63" s="120"/>
      <c r="AN63" s="120"/>
      <c r="AO63" s="120"/>
      <c r="AP63" s="120"/>
      <c r="AQ63" s="120"/>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c r="EU63" s="120"/>
      <c r="EV63" s="120"/>
      <c r="EW63" s="120"/>
      <c r="EX63" s="120"/>
      <c r="EY63" s="120"/>
      <c r="EZ63" s="120"/>
      <c r="FA63" s="120"/>
      <c r="FB63" s="120"/>
      <c r="FC63" s="120"/>
      <c r="FD63" s="120"/>
      <c r="FE63" s="120"/>
      <c r="FF63" s="120"/>
      <c r="FG63" s="120"/>
      <c r="FH63" s="120"/>
      <c r="FI63" s="120"/>
      <c r="FJ63" s="120"/>
      <c r="FK63" s="120"/>
      <c r="FL63" s="120"/>
      <c r="FM63" s="120"/>
      <c r="FN63" s="120"/>
      <c r="FO63" s="120"/>
      <c r="FP63" s="120"/>
      <c r="FQ63" s="120"/>
      <c r="FR63" s="120"/>
      <c r="FS63" s="120"/>
      <c r="FT63" s="120"/>
      <c r="FU63" s="120"/>
      <c r="FV63" s="120"/>
      <c r="FW63" s="120"/>
      <c r="FX63" s="120"/>
      <c r="FY63" s="120"/>
      <c r="FZ63" s="120"/>
      <c r="GA63" s="120"/>
      <c r="GB63" s="120"/>
      <c r="GC63" s="120"/>
    </row>
    <row r="64" spans="1:185" s="123" customFormat="1" ht="13">
      <c r="A64" s="97" t="s">
        <v>1843</v>
      </c>
      <c r="B64" s="226" t="s">
        <v>2184</v>
      </c>
      <c r="C64" s="204">
        <f>SUM(E64:AG64)</f>
        <v>0</v>
      </c>
      <c r="D64" s="236">
        <f t="shared" ref="D64:AG64" si="15">SUM(D61:D63)</f>
        <v>0</v>
      </c>
      <c r="E64" s="214">
        <f t="shared" si="15"/>
        <v>0</v>
      </c>
      <c r="F64" s="214">
        <f t="shared" si="15"/>
        <v>0</v>
      </c>
      <c r="G64" s="214">
        <f t="shared" si="15"/>
        <v>0</v>
      </c>
      <c r="H64" s="214">
        <f t="shared" si="15"/>
        <v>0</v>
      </c>
      <c r="I64" s="214">
        <f t="shared" si="15"/>
        <v>0</v>
      </c>
      <c r="J64" s="214">
        <f t="shared" si="15"/>
        <v>0</v>
      </c>
      <c r="K64" s="214">
        <f t="shared" si="15"/>
        <v>0</v>
      </c>
      <c r="L64" s="214">
        <f t="shared" si="15"/>
        <v>0</v>
      </c>
      <c r="M64" s="214">
        <f t="shared" si="15"/>
        <v>0</v>
      </c>
      <c r="N64" s="214">
        <f t="shared" si="15"/>
        <v>0</v>
      </c>
      <c r="O64" s="214">
        <f t="shared" si="15"/>
        <v>0</v>
      </c>
      <c r="P64" s="214">
        <f t="shared" si="15"/>
        <v>0</v>
      </c>
      <c r="Q64" s="214">
        <f t="shared" si="15"/>
        <v>0</v>
      </c>
      <c r="R64" s="214">
        <f t="shared" si="15"/>
        <v>0</v>
      </c>
      <c r="S64" s="214">
        <f t="shared" si="15"/>
        <v>0</v>
      </c>
      <c r="T64" s="214">
        <f t="shared" si="15"/>
        <v>0</v>
      </c>
      <c r="U64" s="214">
        <f t="shared" si="15"/>
        <v>0</v>
      </c>
      <c r="V64" s="214">
        <f t="shared" si="15"/>
        <v>0</v>
      </c>
      <c r="W64" s="214">
        <f t="shared" si="15"/>
        <v>0</v>
      </c>
      <c r="X64" s="214">
        <f t="shared" si="15"/>
        <v>0</v>
      </c>
      <c r="Y64" s="214">
        <f t="shared" si="15"/>
        <v>0</v>
      </c>
      <c r="Z64" s="214">
        <f t="shared" si="15"/>
        <v>0</v>
      </c>
      <c r="AA64" s="214">
        <f t="shared" si="15"/>
        <v>0</v>
      </c>
      <c r="AB64" s="214">
        <f t="shared" si="15"/>
        <v>0</v>
      </c>
      <c r="AC64" s="214">
        <f t="shared" si="15"/>
        <v>0</v>
      </c>
      <c r="AD64" s="214">
        <f t="shared" si="15"/>
        <v>0</v>
      </c>
      <c r="AE64" s="214">
        <f t="shared" si="15"/>
        <v>0</v>
      </c>
      <c r="AF64" s="214">
        <f t="shared" si="15"/>
        <v>0</v>
      </c>
      <c r="AG64" s="214">
        <f t="shared" si="15"/>
        <v>0</v>
      </c>
      <c r="AH64" s="172"/>
      <c r="AI64" s="173"/>
      <c r="AJ64" s="122"/>
      <c r="AK64" s="122"/>
      <c r="AL64" s="122"/>
      <c r="AM64" s="122"/>
      <c r="AN64" s="122"/>
      <c r="AO64" s="122"/>
      <c r="AP64" s="122"/>
      <c r="AQ64" s="122"/>
      <c r="AR64" s="122"/>
      <c r="AS64" s="122"/>
      <c r="AT64" s="122"/>
      <c r="AU64" s="122"/>
      <c r="AV64" s="122"/>
      <c r="AW64" s="122"/>
      <c r="AX64" s="122"/>
      <c r="AY64" s="122"/>
      <c r="AZ64" s="122"/>
      <c r="BA64" s="122"/>
      <c r="BB64" s="122"/>
      <c r="BC64" s="122"/>
      <c r="BD64" s="122"/>
      <c r="BE64" s="122"/>
      <c r="BF64" s="122"/>
      <c r="BG64" s="122"/>
      <c r="BH64" s="122"/>
      <c r="BI64" s="122"/>
      <c r="BJ64" s="122"/>
      <c r="BK64" s="122"/>
      <c r="BL64" s="122"/>
      <c r="BM64" s="122"/>
      <c r="BN64" s="122"/>
      <c r="BO64" s="122"/>
      <c r="BP64" s="122"/>
      <c r="BQ64" s="122"/>
      <c r="BR64" s="122"/>
      <c r="BS64" s="122"/>
      <c r="BT64" s="122"/>
      <c r="BU64" s="122"/>
      <c r="BV64" s="122"/>
      <c r="BW64" s="122"/>
      <c r="BX64" s="122"/>
      <c r="BY64" s="122"/>
      <c r="BZ64" s="122"/>
      <c r="CA64" s="122"/>
      <c r="CB64" s="122"/>
      <c r="CC64" s="122"/>
      <c r="CD64" s="122"/>
      <c r="CE64" s="122"/>
      <c r="CF64" s="122"/>
      <c r="CG64" s="122"/>
      <c r="CH64" s="122"/>
      <c r="CI64" s="122"/>
      <c r="CJ64" s="122"/>
      <c r="CK64" s="122"/>
      <c r="CL64" s="122"/>
      <c r="CM64" s="122"/>
      <c r="CN64" s="122"/>
      <c r="CO64" s="122"/>
      <c r="CP64" s="122"/>
      <c r="CQ64" s="122"/>
      <c r="CR64" s="122"/>
      <c r="CS64" s="122"/>
      <c r="CT64" s="122"/>
      <c r="CU64" s="122"/>
      <c r="CV64" s="122"/>
      <c r="CW64" s="122"/>
      <c r="CX64" s="122"/>
      <c r="CY64" s="122"/>
      <c r="CZ64" s="122"/>
      <c r="DA64" s="122"/>
      <c r="DB64" s="122"/>
      <c r="DC64" s="122"/>
      <c r="DD64" s="122"/>
      <c r="DE64" s="122"/>
      <c r="DF64" s="122"/>
      <c r="DG64" s="122"/>
      <c r="DH64" s="122"/>
      <c r="DI64" s="122"/>
      <c r="DJ64" s="122"/>
      <c r="DK64" s="122"/>
      <c r="DL64" s="122"/>
      <c r="DM64" s="122"/>
      <c r="DN64" s="122"/>
      <c r="DO64" s="122"/>
      <c r="DP64" s="122"/>
      <c r="DQ64" s="122"/>
      <c r="DR64" s="122"/>
      <c r="DS64" s="122"/>
      <c r="DT64" s="122"/>
      <c r="DU64" s="122"/>
      <c r="DV64" s="122"/>
      <c r="DW64" s="122"/>
      <c r="DX64" s="122"/>
      <c r="DY64" s="122"/>
      <c r="DZ64" s="122"/>
      <c r="EA64" s="122"/>
      <c r="EB64" s="122"/>
      <c r="EC64" s="122"/>
      <c r="ED64" s="122"/>
      <c r="EE64" s="122"/>
      <c r="EF64" s="122"/>
      <c r="EG64" s="122"/>
      <c r="EH64" s="122"/>
      <c r="EI64" s="122"/>
      <c r="EJ64" s="122"/>
      <c r="EK64" s="122"/>
      <c r="EL64" s="122"/>
      <c r="EM64" s="122"/>
      <c r="EN64" s="122"/>
      <c r="EO64" s="122"/>
      <c r="EP64" s="122"/>
      <c r="EQ64" s="122"/>
      <c r="ER64" s="122"/>
      <c r="ES64" s="122"/>
      <c r="ET64" s="122"/>
      <c r="EU64" s="122"/>
      <c r="EV64" s="122"/>
      <c r="EW64" s="122"/>
      <c r="EX64" s="122"/>
      <c r="EY64" s="122"/>
      <c r="EZ64" s="122"/>
      <c r="FA64" s="122"/>
      <c r="FB64" s="122"/>
      <c r="FC64" s="122"/>
      <c r="FD64" s="122"/>
      <c r="FE64" s="122"/>
      <c r="FF64" s="122"/>
      <c r="FG64" s="122"/>
      <c r="FH64" s="122"/>
      <c r="FI64" s="122"/>
      <c r="FJ64" s="122"/>
      <c r="FK64" s="122"/>
      <c r="FL64" s="122"/>
      <c r="FM64" s="122"/>
      <c r="FN64" s="122"/>
      <c r="FO64" s="122"/>
      <c r="FP64" s="122"/>
      <c r="FQ64" s="122"/>
      <c r="FR64" s="122"/>
      <c r="FS64" s="122"/>
      <c r="FT64" s="122"/>
      <c r="FU64" s="122"/>
      <c r="FV64" s="122"/>
      <c r="FW64" s="122"/>
      <c r="FX64" s="122"/>
      <c r="FY64" s="122"/>
      <c r="FZ64" s="122"/>
      <c r="GA64" s="122"/>
      <c r="GB64" s="122"/>
      <c r="GC64" s="122"/>
    </row>
    <row r="65" spans="1:185" s="121" customFormat="1" ht="13">
      <c r="A65" s="96"/>
      <c r="B65" s="226"/>
      <c r="C65" s="206"/>
      <c r="D65" s="261"/>
      <c r="E65" s="209"/>
      <c r="F65" s="209"/>
      <c r="G65" s="209"/>
      <c r="H65" s="209"/>
      <c r="I65" s="209"/>
      <c r="J65" s="209"/>
      <c r="K65" s="209"/>
      <c r="L65" s="209"/>
      <c r="M65" s="210"/>
      <c r="N65" s="210"/>
      <c r="O65" s="210"/>
      <c r="P65" s="210"/>
      <c r="Q65" s="210"/>
      <c r="R65" s="210"/>
      <c r="S65" s="210"/>
      <c r="T65" s="210"/>
      <c r="U65" s="210"/>
      <c r="V65" s="210"/>
      <c r="W65" s="210"/>
      <c r="X65" s="210"/>
      <c r="Y65" s="210"/>
      <c r="Z65" s="210"/>
      <c r="AA65" s="210"/>
      <c r="AB65" s="210"/>
      <c r="AC65" s="210"/>
      <c r="AD65" s="210"/>
      <c r="AE65" s="210"/>
      <c r="AF65" s="210"/>
      <c r="AG65" s="210"/>
      <c r="AH65" s="170"/>
      <c r="AI65" s="171"/>
      <c r="AJ65" s="120"/>
      <c r="AK65" s="120"/>
      <c r="AL65" s="120"/>
      <c r="AM65" s="120"/>
      <c r="AN65" s="120"/>
      <c r="AO65" s="120"/>
      <c r="AP65" s="120"/>
      <c r="AQ65" s="120"/>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c r="EU65" s="120"/>
      <c r="EV65" s="120"/>
      <c r="EW65" s="120"/>
      <c r="EX65" s="120"/>
      <c r="EY65" s="120"/>
      <c r="EZ65" s="120"/>
      <c r="FA65" s="120"/>
      <c r="FB65" s="120"/>
      <c r="FC65" s="120"/>
      <c r="FD65" s="120"/>
      <c r="FE65" s="120"/>
      <c r="FF65" s="120"/>
      <c r="FG65" s="120"/>
      <c r="FH65" s="120"/>
      <c r="FI65" s="120"/>
      <c r="FJ65" s="120"/>
      <c r="FK65" s="120"/>
      <c r="FL65" s="120"/>
      <c r="FM65" s="120"/>
      <c r="FN65" s="120"/>
      <c r="FO65" s="120"/>
      <c r="FP65" s="120"/>
      <c r="FQ65" s="120"/>
      <c r="FR65" s="120"/>
      <c r="FS65" s="120"/>
      <c r="FT65" s="120"/>
      <c r="FU65" s="120"/>
      <c r="FV65" s="120"/>
      <c r="FW65" s="120"/>
      <c r="FX65" s="120"/>
      <c r="FY65" s="120"/>
      <c r="FZ65" s="120"/>
      <c r="GA65" s="120"/>
      <c r="GB65" s="120"/>
      <c r="GC65" s="120"/>
    </row>
    <row r="66" spans="1:185" s="121" customFormat="1" ht="13">
      <c r="A66" s="96" t="s">
        <v>1844</v>
      </c>
      <c r="B66" s="227" t="s">
        <v>2185</v>
      </c>
      <c r="C66" s="206">
        <f>SUM(E66:AG66)</f>
        <v>0</v>
      </c>
      <c r="D66" s="261"/>
      <c r="E66" s="209"/>
      <c r="F66" s="209"/>
      <c r="G66" s="209"/>
      <c r="H66" s="209"/>
      <c r="I66" s="209"/>
      <c r="J66" s="209"/>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170"/>
      <c r="AI66" s="171"/>
      <c r="AJ66" s="120"/>
      <c r="AK66" s="120"/>
      <c r="AL66" s="120"/>
      <c r="AM66" s="120"/>
      <c r="AN66" s="120"/>
      <c r="AO66" s="120"/>
      <c r="AP66" s="120"/>
      <c r="AQ66" s="120"/>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c r="EU66" s="120"/>
      <c r="EV66" s="120"/>
      <c r="EW66" s="120"/>
      <c r="EX66" s="120"/>
      <c r="EY66" s="120"/>
      <c r="EZ66" s="120"/>
      <c r="FA66" s="120"/>
      <c r="FB66" s="120"/>
      <c r="FC66" s="120"/>
      <c r="FD66" s="120"/>
      <c r="FE66" s="120"/>
      <c r="FF66" s="120"/>
      <c r="FG66" s="120"/>
      <c r="FH66" s="120"/>
      <c r="FI66" s="120"/>
      <c r="FJ66" s="120"/>
      <c r="FK66" s="120"/>
      <c r="FL66" s="120"/>
      <c r="FM66" s="120"/>
      <c r="FN66" s="120"/>
      <c r="FO66" s="120"/>
      <c r="FP66" s="120"/>
      <c r="FQ66" s="120"/>
      <c r="FR66" s="120"/>
      <c r="FS66" s="120"/>
      <c r="FT66" s="120"/>
      <c r="FU66" s="120"/>
      <c r="FV66" s="120"/>
      <c r="FW66" s="120"/>
      <c r="FX66" s="120"/>
      <c r="FY66" s="120"/>
      <c r="FZ66" s="120"/>
      <c r="GA66" s="120"/>
      <c r="GB66" s="120"/>
      <c r="GC66" s="120"/>
    </row>
    <row r="67" spans="1:185" s="123" customFormat="1" ht="13">
      <c r="A67" s="97" t="s">
        <v>1845</v>
      </c>
      <c r="B67" s="226" t="s">
        <v>2186</v>
      </c>
      <c r="C67" s="204">
        <f>SUM(E67:AG67)</f>
        <v>0</v>
      </c>
      <c r="D67" s="263"/>
      <c r="E67" s="205"/>
      <c r="F67" s="205"/>
      <c r="G67" s="205"/>
      <c r="H67" s="205"/>
      <c r="I67" s="205"/>
      <c r="J67" s="205"/>
      <c r="K67" s="213"/>
      <c r="L67" s="213"/>
      <c r="M67" s="213"/>
      <c r="N67" s="213"/>
      <c r="O67" s="213"/>
      <c r="P67" s="213"/>
      <c r="Q67" s="213"/>
      <c r="R67" s="213"/>
      <c r="S67" s="213"/>
      <c r="T67" s="213"/>
      <c r="U67" s="213"/>
      <c r="V67" s="213"/>
      <c r="W67" s="213"/>
      <c r="X67" s="213"/>
      <c r="Y67" s="213"/>
      <c r="Z67" s="213"/>
      <c r="AA67" s="213"/>
      <c r="AB67" s="213"/>
      <c r="AC67" s="213"/>
      <c r="AD67" s="213"/>
      <c r="AE67" s="213"/>
      <c r="AF67" s="213"/>
      <c r="AG67" s="213"/>
      <c r="AH67" s="172"/>
      <c r="AI67" s="173"/>
      <c r="AJ67" s="122"/>
      <c r="AK67" s="122"/>
      <c r="AL67" s="122"/>
      <c r="AM67" s="122"/>
      <c r="AN67" s="122"/>
      <c r="AO67" s="122"/>
      <c r="AP67" s="122"/>
      <c r="AQ67" s="122"/>
      <c r="AR67" s="122"/>
      <c r="AS67" s="122"/>
      <c r="AT67" s="122"/>
      <c r="AU67" s="122"/>
      <c r="AV67" s="122"/>
      <c r="AW67" s="122"/>
      <c r="AX67" s="122"/>
      <c r="AY67" s="122"/>
      <c r="AZ67" s="122"/>
      <c r="BA67" s="122"/>
      <c r="BB67" s="122"/>
      <c r="BC67" s="122"/>
      <c r="BD67" s="122"/>
      <c r="BE67" s="122"/>
      <c r="BF67" s="122"/>
      <c r="BG67" s="122"/>
      <c r="BH67" s="122"/>
      <c r="BI67" s="122"/>
      <c r="BJ67" s="122"/>
      <c r="BK67" s="122"/>
      <c r="BL67" s="122"/>
      <c r="BM67" s="122"/>
      <c r="BN67" s="122"/>
      <c r="BO67" s="122"/>
      <c r="BP67" s="122"/>
      <c r="BQ67" s="122"/>
      <c r="BR67" s="122"/>
      <c r="BS67" s="122"/>
      <c r="BT67" s="122"/>
      <c r="BU67" s="122"/>
      <c r="BV67" s="122"/>
      <c r="BW67" s="122"/>
      <c r="BX67" s="122"/>
      <c r="BY67" s="122"/>
      <c r="BZ67" s="122"/>
      <c r="CA67" s="122"/>
      <c r="CB67" s="122"/>
      <c r="CC67" s="122"/>
      <c r="CD67" s="122"/>
      <c r="CE67" s="122"/>
      <c r="CF67" s="122"/>
      <c r="CG67" s="122"/>
      <c r="CH67" s="122"/>
      <c r="CI67" s="122"/>
      <c r="CJ67" s="122"/>
      <c r="CK67" s="122"/>
      <c r="CL67" s="122"/>
      <c r="CM67" s="122"/>
      <c r="CN67" s="122"/>
      <c r="CO67" s="122"/>
      <c r="CP67" s="122"/>
      <c r="CQ67" s="122"/>
      <c r="CR67" s="122"/>
      <c r="CS67" s="122"/>
      <c r="CT67" s="122"/>
      <c r="CU67" s="122"/>
      <c r="CV67" s="122"/>
      <c r="CW67" s="122"/>
      <c r="CX67" s="122"/>
      <c r="CY67" s="122"/>
      <c r="CZ67" s="122"/>
      <c r="DA67" s="122"/>
      <c r="DB67" s="122"/>
      <c r="DC67" s="122"/>
      <c r="DD67" s="122"/>
      <c r="DE67" s="122"/>
      <c r="DF67" s="122"/>
      <c r="DG67" s="122"/>
      <c r="DH67" s="122"/>
      <c r="DI67" s="122"/>
      <c r="DJ67" s="122"/>
      <c r="DK67" s="122"/>
      <c r="DL67" s="122"/>
      <c r="DM67" s="122"/>
      <c r="DN67" s="122"/>
      <c r="DO67" s="122"/>
      <c r="DP67" s="122"/>
      <c r="DQ67" s="122"/>
      <c r="DR67" s="122"/>
      <c r="DS67" s="122"/>
      <c r="DT67" s="122"/>
      <c r="DU67" s="122"/>
      <c r="DV67" s="122"/>
      <c r="DW67" s="122"/>
      <c r="DX67" s="122"/>
      <c r="DY67" s="122"/>
      <c r="DZ67" s="122"/>
      <c r="EA67" s="122"/>
      <c r="EB67" s="122"/>
      <c r="EC67" s="122"/>
      <c r="ED67" s="122"/>
      <c r="EE67" s="122"/>
      <c r="EF67" s="122"/>
      <c r="EG67" s="122"/>
      <c r="EH67" s="122"/>
      <c r="EI67" s="122"/>
      <c r="EJ67" s="122"/>
      <c r="EK67" s="122"/>
      <c r="EL67" s="122"/>
      <c r="EM67" s="122"/>
      <c r="EN67" s="122"/>
      <c r="EO67" s="122"/>
      <c r="EP67" s="122"/>
      <c r="EQ67" s="122"/>
      <c r="ER67" s="122"/>
      <c r="ES67" s="122"/>
      <c r="ET67" s="122"/>
      <c r="EU67" s="122"/>
      <c r="EV67" s="122"/>
      <c r="EW67" s="122"/>
      <c r="EX67" s="122"/>
      <c r="EY67" s="122"/>
      <c r="EZ67" s="122"/>
      <c r="FA67" s="122"/>
      <c r="FB67" s="122"/>
      <c r="FC67" s="122"/>
      <c r="FD67" s="122"/>
      <c r="FE67" s="122"/>
      <c r="FF67" s="122"/>
      <c r="FG67" s="122"/>
      <c r="FH67" s="122"/>
      <c r="FI67" s="122"/>
      <c r="FJ67" s="122"/>
      <c r="FK67" s="122"/>
      <c r="FL67" s="122"/>
      <c r="FM67" s="122"/>
      <c r="FN67" s="122"/>
      <c r="FO67" s="122"/>
      <c r="FP67" s="122"/>
      <c r="FQ67" s="122"/>
      <c r="FR67" s="122"/>
      <c r="FS67" s="122"/>
      <c r="FT67" s="122"/>
      <c r="FU67" s="122"/>
      <c r="FV67" s="122"/>
      <c r="FW67" s="122"/>
      <c r="FX67" s="122"/>
      <c r="FY67" s="122"/>
      <c r="FZ67" s="122"/>
      <c r="GA67" s="122"/>
      <c r="GB67" s="122"/>
      <c r="GC67" s="122"/>
    </row>
    <row r="68" spans="1:185" s="123" customFormat="1" ht="13">
      <c r="A68" s="97"/>
      <c r="B68" s="93"/>
      <c r="C68" s="204"/>
      <c r="D68" s="263"/>
      <c r="E68" s="205"/>
      <c r="F68" s="205"/>
      <c r="G68" s="205"/>
      <c r="H68" s="205"/>
      <c r="I68" s="205"/>
      <c r="J68" s="205"/>
      <c r="K68" s="205"/>
      <c r="L68" s="205"/>
      <c r="M68" s="213"/>
      <c r="N68" s="213"/>
      <c r="O68" s="213"/>
      <c r="P68" s="213"/>
      <c r="Q68" s="213"/>
      <c r="R68" s="213"/>
      <c r="S68" s="213"/>
      <c r="T68" s="213"/>
      <c r="U68" s="213"/>
      <c r="V68" s="213"/>
      <c r="W68" s="213"/>
      <c r="X68" s="213"/>
      <c r="Y68" s="213"/>
      <c r="Z68" s="213"/>
      <c r="AA68" s="213"/>
      <c r="AB68" s="213"/>
      <c r="AC68" s="213"/>
      <c r="AD68" s="213"/>
      <c r="AE68" s="213"/>
      <c r="AF68" s="213"/>
      <c r="AG68" s="213"/>
      <c r="AH68" s="172"/>
      <c r="AI68" s="173"/>
      <c r="AJ68" s="122"/>
      <c r="AK68" s="122"/>
      <c r="AL68" s="122"/>
      <c r="AM68" s="122"/>
      <c r="AN68" s="122"/>
      <c r="AO68" s="122"/>
      <c r="AP68" s="122"/>
      <c r="AQ68" s="122"/>
      <c r="AR68" s="122"/>
      <c r="AS68" s="122"/>
      <c r="AT68" s="122"/>
      <c r="AU68" s="122"/>
      <c r="AV68" s="122"/>
      <c r="AW68" s="122"/>
      <c r="AX68" s="122"/>
      <c r="AY68" s="122"/>
      <c r="AZ68" s="122"/>
      <c r="BA68" s="122"/>
      <c r="BB68" s="122"/>
      <c r="BC68" s="122"/>
      <c r="BD68" s="122"/>
      <c r="BE68" s="122"/>
      <c r="BF68" s="122"/>
      <c r="BG68" s="122"/>
      <c r="BH68" s="122"/>
      <c r="BI68" s="122"/>
      <c r="BJ68" s="122"/>
      <c r="BK68" s="122"/>
      <c r="BL68" s="122"/>
      <c r="BM68" s="122"/>
      <c r="BN68" s="122"/>
      <c r="BO68" s="122"/>
      <c r="BP68" s="122"/>
      <c r="BQ68" s="122"/>
      <c r="BR68" s="122"/>
      <c r="BS68" s="122"/>
      <c r="BT68" s="122"/>
      <c r="BU68" s="122"/>
      <c r="BV68" s="122"/>
      <c r="BW68" s="122"/>
      <c r="BX68" s="122"/>
      <c r="BY68" s="122"/>
      <c r="BZ68" s="122"/>
      <c r="CA68" s="122"/>
      <c r="CB68" s="122"/>
      <c r="CC68" s="122"/>
      <c r="CD68" s="122"/>
      <c r="CE68" s="122"/>
      <c r="CF68" s="122"/>
      <c r="CG68" s="122"/>
      <c r="CH68" s="122"/>
      <c r="CI68" s="122"/>
      <c r="CJ68" s="122"/>
      <c r="CK68" s="122"/>
      <c r="CL68" s="122"/>
      <c r="CM68" s="122"/>
      <c r="CN68" s="122"/>
      <c r="CO68" s="122"/>
      <c r="CP68" s="122"/>
      <c r="CQ68" s="122"/>
      <c r="CR68" s="122"/>
      <c r="CS68" s="122"/>
      <c r="CT68" s="122"/>
      <c r="CU68" s="122"/>
      <c r="CV68" s="122"/>
      <c r="CW68" s="122"/>
      <c r="CX68" s="122"/>
      <c r="CY68" s="122"/>
      <c r="CZ68" s="122"/>
      <c r="DA68" s="122"/>
      <c r="DB68" s="122"/>
      <c r="DC68" s="122"/>
      <c r="DD68" s="122"/>
      <c r="DE68" s="122"/>
      <c r="DF68" s="122"/>
      <c r="DG68" s="122"/>
      <c r="DH68" s="122"/>
      <c r="DI68" s="122"/>
      <c r="DJ68" s="122"/>
      <c r="DK68" s="122"/>
      <c r="DL68" s="122"/>
      <c r="DM68" s="122"/>
      <c r="DN68" s="122"/>
      <c r="DO68" s="122"/>
      <c r="DP68" s="122"/>
      <c r="DQ68" s="122"/>
      <c r="DR68" s="122"/>
      <c r="DS68" s="122"/>
      <c r="DT68" s="122"/>
      <c r="DU68" s="122"/>
      <c r="DV68" s="122"/>
      <c r="DW68" s="122"/>
      <c r="DX68" s="122"/>
      <c r="DY68" s="122"/>
      <c r="DZ68" s="122"/>
      <c r="EA68" s="122"/>
      <c r="EB68" s="122"/>
      <c r="EC68" s="122"/>
      <c r="ED68" s="122"/>
      <c r="EE68" s="122"/>
      <c r="EF68" s="122"/>
      <c r="EG68" s="122"/>
      <c r="EH68" s="122"/>
      <c r="EI68" s="122"/>
      <c r="EJ68" s="122"/>
      <c r="EK68" s="122"/>
      <c r="EL68" s="122"/>
      <c r="EM68" s="122"/>
      <c r="EN68" s="122"/>
      <c r="EO68" s="122"/>
      <c r="EP68" s="122"/>
      <c r="EQ68" s="122"/>
      <c r="ER68" s="122"/>
      <c r="ES68" s="122"/>
      <c r="ET68" s="122"/>
      <c r="EU68" s="122"/>
      <c r="EV68" s="122"/>
      <c r="EW68" s="122"/>
      <c r="EX68" s="122"/>
      <c r="EY68" s="122"/>
      <c r="EZ68" s="122"/>
      <c r="FA68" s="122"/>
      <c r="FB68" s="122"/>
      <c r="FC68" s="122"/>
      <c r="FD68" s="122"/>
      <c r="FE68" s="122"/>
      <c r="FF68" s="122"/>
      <c r="FG68" s="122"/>
      <c r="FH68" s="122"/>
      <c r="FI68" s="122"/>
      <c r="FJ68" s="122"/>
      <c r="FK68" s="122"/>
      <c r="FL68" s="122"/>
      <c r="FM68" s="122"/>
      <c r="FN68" s="122"/>
      <c r="FO68" s="122"/>
      <c r="FP68" s="122"/>
      <c r="FQ68" s="122"/>
      <c r="FR68" s="122"/>
      <c r="FS68" s="122"/>
      <c r="FT68" s="122"/>
      <c r="FU68" s="122"/>
      <c r="FV68" s="122"/>
      <c r="FW68" s="122"/>
      <c r="FX68" s="122"/>
      <c r="FY68" s="122"/>
      <c r="FZ68" s="122"/>
      <c r="GA68" s="122"/>
      <c r="GB68" s="122"/>
      <c r="GC68" s="122"/>
    </row>
    <row r="69" spans="1:185" s="121" customFormat="1" ht="13">
      <c r="A69" s="96" t="s">
        <v>1846</v>
      </c>
      <c r="B69" s="90" t="s">
        <v>2195</v>
      </c>
      <c r="C69" s="206">
        <f>SUM(E69:AG69)</f>
        <v>0</v>
      </c>
      <c r="D69" s="261"/>
      <c r="E69" s="209"/>
      <c r="F69" s="209"/>
      <c r="G69" s="209"/>
      <c r="H69" s="209"/>
      <c r="I69" s="209"/>
      <c r="J69" s="209"/>
      <c r="K69" s="210"/>
      <c r="L69" s="210"/>
      <c r="M69" s="210"/>
      <c r="N69" s="210"/>
      <c r="O69" s="210"/>
      <c r="P69" s="210"/>
      <c r="Q69" s="210"/>
      <c r="R69" s="210"/>
      <c r="S69" s="210"/>
      <c r="T69" s="210"/>
      <c r="U69" s="210"/>
      <c r="V69" s="210"/>
      <c r="W69" s="210"/>
      <c r="X69" s="210"/>
      <c r="Y69" s="210"/>
      <c r="Z69" s="210"/>
      <c r="AA69" s="210"/>
      <c r="AB69" s="210"/>
      <c r="AC69" s="210"/>
      <c r="AD69" s="210"/>
      <c r="AE69" s="210"/>
      <c r="AF69" s="210"/>
      <c r="AG69" s="210"/>
      <c r="AH69" s="170"/>
      <c r="AI69" s="171"/>
      <c r="AJ69" s="120"/>
      <c r="AK69" s="120"/>
      <c r="AL69" s="120"/>
      <c r="AM69" s="120"/>
      <c r="AN69" s="120"/>
      <c r="AO69" s="120"/>
      <c r="AP69" s="120"/>
      <c r="AQ69" s="120"/>
      <c r="AR69" s="120"/>
      <c r="AS69" s="120"/>
      <c r="AT69" s="120"/>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c r="EU69" s="120"/>
      <c r="EV69" s="120"/>
      <c r="EW69" s="120"/>
      <c r="EX69" s="120"/>
      <c r="EY69" s="120"/>
      <c r="EZ69" s="120"/>
      <c r="FA69" s="120"/>
      <c r="FB69" s="120"/>
      <c r="FC69" s="120"/>
      <c r="FD69" s="120"/>
      <c r="FE69" s="120"/>
      <c r="FF69" s="120"/>
      <c r="FG69" s="120"/>
      <c r="FH69" s="120"/>
      <c r="FI69" s="120"/>
      <c r="FJ69" s="120"/>
      <c r="FK69" s="120"/>
      <c r="FL69" s="120"/>
      <c r="FM69" s="120"/>
      <c r="FN69" s="120"/>
      <c r="FO69" s="120"/>
      <c r="FP69" s="120"/>
      <c r="FQ69" s="120"/>
      <c r="FR69" s="120"/>
      <c r="FS69" s="120"/>
      <c r="FT69" s="120"/>
      <c r="FU69" s="120"/>
      <c r="FV69" s="120"/>
      <c r="FW69" s="120"/>
      <c r="FX69" s="120"/>
      <c r="FY69" s="120"/>
      <c r="FZ69" s="120"/>
      <c r="GA69" s="120"/>
      <c r="GB69" s="120"/>
      <c r="GC69" s="120"/>
    </row>
    <row r="70" spans="1:185" s="121" customFormat="1" ht="13">
      <c r="A70" s="96" t="s">
        <v>1850</v>
      </c>
      <c r="B70" s="90" t="s">
        <v>270</v>
      </c>
      <c r="C70" s="206">
        <f>SUM(E70:AG70)</f>
        <v>0</v>
      </c>
      <c r="D70" s="261"/>
      <c r="E70" s="209"/>
      <c r="F70" s="209"/>
      <c r="G70" s="209"/>
      <c r="H70" s="209"/>
      <c r="I70" s="209"/>
      <c r="J70" s="209"/>
      <c r="K70" s="210"/>
      <c r="L70" s="210"/>
      <c r="M70" s="210"/>
      <c r="N70" s="210"/>
      <c r="O70" s="210"/>
      <c r="P70" s="210"/>
      <c r="Q70" s="210"/>
      <c r="R70" s="210"/>
      <c r="S70" s="210"/>
      <c r="T70" s="210"/>
      <c r="U70" s="210"/>
      <c r="V70" s="210"/>
      <c r="W70" s="210"/>
      <c r="X70" s="210"/>
      <c r="Y70" s="210"/>
      <c r="Z70" s="210"/>
      <c r="AA70" s="210"/>
      <c r="AB70" s="210"/>
      <c r="AC70" s="210"/>
      <c r="AD70" s="210"/>
      <c r="AE70" s="210"/>
      <c r="AF70" s="210"/>
      <c r="AG70" s="210"/>
      <c r="AH70" s="170"/>
      <c r="AI70" s="171"/>
      <c r="AJ70" s="120"/>
      <c r="AK70" s="120"/>
      <c r="AL70" s="120"/>
      <c r="AM70" s="120"/>
      <c r="AN70" s="120"/>
      <c r="AO70" s="120"/>
      <c r="AP70" s="120"/>
      <c r="AQ70" s="120"/>
      <c r="AR70" s="120"/>
      <c r="AS70" s="120"/>
      <c r="AT70" s="120"/>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c r="EU70" s="120"/>
      <c r="EV70" s="120"/>
      <c r="EW70" s="120"/>
      <c r="EX70" s="120"/>
      <c r="EY70" s="120"/>
      <c r="EZ70" s="120"/>
      <c r="FA70" s="120"/>
      <c r="FB70" s="120"/>
      <c r="FC70" s="120"/>
      <c r="FD70" s="120"/>
      <c r="FE70" s="120"/>
      <c r="FF70" s="120"/>
      <c r="FG70" s="120"/>
      <c r="FH70" s="120"/>
      <c r="FI70" s="120"/>
      <c r="FJ70" s="120"/>
      <c r="FK70" s="120"/>
      <c r="FL70" s="120"/>
      <c r="FM70" s="120"/>
      <c r="FN70" s="120"/>
      <c r="FO70" s="120"/>
      <c r="FP70" s="120"/>
      <c r="FQ70" s="120"/>
      <c r="FR70" s="120"/>
      <c r="FS70" s="120"/>
      <c r="FT70" s="120"/>
      <c r="FU70" s="120"/>
      <c r="FV70" s="120"/>
      <c r="FW70" s="120"/>
      <c r="FX70" s="120"/>
      <c r="FY70" s="120"/>
      <c r="FZ70" s="120"/>
      <c r="GA70" s="120"/>
      <c r="GB70" s="120"/>
      <c r="GC70" s="120"/>
    </row>
    <row r="71" spans="1:185" s="121" customFormat="1" ht="13">
      <c r="A71" s="96" t="s">
        <v>1851</v>
      </c>
      <c r="B71" s="90" t="s">
        <v>2192</v>
      </c>
      <c r="C71" s="206">
        <f>SUM(E71:AG71)</f>
        <v>0</v>
      </c>
      <c r="D71" s="261"/>
      <c r="E71" s="209"/>
      <c r="F71" s="209"/>
      <c r="G71" s="209"/>
      <c r="H71" s="209"/>
      <c r="I71" s="209"/>
      <c r="J71" s="209"/>
      <c r="K71" s="210"/>
      <c r="L71" s="210"/>
      <c r="M71" s="210"/>
      <c r="N71" s="210"/>
      <c r="O71" s="210"/>
      <c r="P71" s="210"/>
      <c r="Q71" s="210"/>
      <c r="R71" s="210"/>
      <c r="S71" s="210"/>
      <c r="T71" s="210"/>
      <c r="U71" s="210"/>
      <c r="V71" s="210"/>
      <c r="W71" s="210"/>
      <c r="X71" s="210"/>
      <c r="Y71" s="210"/>
      <c r="Z71" s="210"/>
      <c r="AA71" s="210"/>
      <c r="AB71" s="210"/>
      <c r="AC71" s="210"/>
      <c r="AD71" s="210"/>
      <c r="AE71" s="210"/>
      <c r="AF71" s="210"/>
      <c r="AG71" s="210"/>
      <c r="AH71" s="170"/>
      <c r="AI71" s="171"/>
      <c r="AJ71" s="120"/>
      <c r="AK71" s="120"/>
      <c r="AL71" s="120"/>
      <c r="AM71" s="120"/>
      <c r="AN71" s="120"/>
      <c r="AO71" s="120"/>
      <c r="AP71" s="120"/>
      <c r="AQ71" s="120"/>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c r="EU71" s="120"/>
      <c r="EV71" s="120"/>
      <c r="EW71" s="120"/>
      <c r="EX71" s="120"/>
      <c r="EY71" s="120"/>
      <c r="EZ71" s="120"/>
      <c r="FA71" s="120"/>
      <c r="FB71" s="120"/>
      <c r="FC71" s="120"/>
      <c r="FD71" s="120"/>
      <c r="FE71" s="120"/>
      <c r="FF71" s="120"/>
      <c r="FG71" s="120"/>
      <c r="FH71" s="120"/>
      <c r="FI71" s="120"/>
      <c r="FJ71" s="120"/>
      <c r="FK71" s="120"/>
      <c r="FL71" s="120"/>
      <c r="FM71" s="120"/>
      <c r="FN71" s="120"/>
      <c r="FO71" s="120"/>
      <c r="FP71" s="120"/>
      <c r="FQ71" s="120"/>
      <c r="FR71" s="120"/>
      <c r="FS71" s="120"/>
      <c r="FT71" s="120"/>
      <c r="FU71" s="120"/>
      <c r="FV71" s="120"/>
      <c r="FW71" s="120"/>
      <c r="FX71" s="120"/>
      <c r="FY71" s="120"/>
      <c r="FZ71" s="120"/>
      <c r="GA71" s="120"/>
      <c r="GB71" s="120"/>
      <c r="GC71" s="120"/>
    </row>
    <row r="72" spans="1:185" s="121" customFormat="1" ht="13">
      <c r="A72" s="96" t="s">
        <v>1852</v>
      </c>
      <c r="B72" s="90" t="s">
        <v>2193</v>
      </c>
      <c r="C72" s="206">
        <f>SUM(E72:AG72)</f>
        <v>0</v>
      </c>
      <c r="D72" s="261"/>
      <c r="E72" s="209"/>
      <c r="F72" s="209"/>
      <c r="G72" s="209"/>
      <c r="H72" s="209"/>
      <c r="I72" s="209"/>
      <c r="J72" s="209"/>
      <c r="K72" s="210"/>
      <c r="L72" s="210"/>
      <c r="M72" s="210"/>
      <c r="N72" s="210"/>
      <c r="O72" s="210"/>
      <c r="P72" s="210"/>
      <c r="Q72" s="210"/>
      <c r="R72" s="210"/>
      <c r="S72" s="210"/>
      <c r="T72" s="210"/>
      <c r="U72" s="210"/>
      <c r="V72" s="210"/>
      <c r="W72" s="210"/>
      <c r="X72" s="210"/>
      <c r="Y72" s="210"/>
      <c r="Z72" s="210"/>
      <c r="AA72" s="210"/>
      <c r="AB72" s="210"/>
      <c r="AC72" s="210"/>
      <c r="AD72" s="210"/>
      <c r="AE72" s="210"/>
      <c r="AF72" s="210"/>
      <c r="AG72" s="210"/>
      <c r="AH72" s="170"/>
      <c r="AI72" s="171"/>
      <c r="AJ72" s="120"/>
      <c r="AK72" s="120"/>
      <c r="AL72" s="120"/>
      <c r="AM72" s="120"/>
      <c r="AN72" s="120"/>
      <c r="AO72" s="120"/>
      <c r="AP72" s="120"/>
      <c r="AQ72" s="120"/>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c r="EU72" s="120"/>
      <c r="EV72" s="120"/>
      <c r="EW72" s="120"/>
      <c r="EX72" s="120"/>
      <c r="EY72" s="120"/>
      <c r="EZ72" s="120"/>
      <c r="FA72" s="120"/>
      <c r="FB72" s="120"/>
      <c r="FC72" s="120"/>
      <c r="FD72" s="120"/>
      <c r="FE72" s="120"/>
      <c r="FF72" s="120"/>
      <c r="FG72" s="120"/>
      <c r="FH72" s="120"/>
      <c r="FI72" s="120"/>
      <c r="FJ72" s="120"/>
      <c r="FK72" s="120"/>
      <c r="FL72" s="120"/>
      <c r="FM72" s="120"/>
      <c r="FN72" s="120"/>
      <c r="FO72" s="120"/>
      <c r="FP72" s="120"/>
      <c r="FQ72" s="120"/>
      <c r="FR72" s="120"/>
      <c r="FS72" s="120"/>
      <c r="FT72" s="120"/>
      <c r="FU72" s="120"/>
      <c r="FV72" s="120"/>
      <c r="FW72" s="120"/>
      <c r="FX72" s="120"/>
      <c r="FY72" s="120"/>
      <c r="FZ72" s="120"/>
      <c r="GA72" s="120"/>
      <c r="GB72" s="120"/>
      <c r="GC72" s="120"/>
    </row>
    <row r="73" spans="1:185" s="121" customFormat="1" ht="13">
      <c r="A73" s="98" t="s">
        <v>1873</v>
      </c>
      <c r="B73" s="90" t="s">
        <v>2194</v>
      </c>
      <c r="C73" s="206">
        <f>SUM(E73:AG73)</f>
        <v>0</v>
      </c>
      <c r="D73" s="261"/>
      <c r="E73" s="209"/>
      <c r="F73" s="209"/>
      <c r="G73" s="209"/>
      <c r="H73" s="209"/>
      <c r="I73" s="209"/>
      <c r="J73" s="209"/>
      <c r="K73" s="210"/>
      <c r="L73" s="210"/>
      <c r="M73" s="210"/>
      <c r="N73" s="210"/>
      <c r="O73" s="210"/>
      <c r="P73" s="210"/>
      <c r="Q73" s="210"/>
      <c r="R73" s="210"/>
      <c r="S73" s="210"/>
      <c r="T73" s="210"/>
      <c r="U73" s="210"/>
      <c r="V73" s="210"/>
      <c r="W73" s="210"/>
      <c r="X73" s="210"/>
      <c r="Y73" s="210"/>
      <c r="Z73" s="210"/>
      <c r="AA73" s="210"/>
      <c r="AB73" s="210"/>
      <c r="AC73" s="210"/>
      <c r="AD73" s="210"/>
      <c r="AE73" s="210"/>
      <c r="AF73" s="210"/>
      <c r="AG73" s="210"/>
      <c r="AH73" s="170"/>
      <c r="AI73" s="171"/>
      <c r="AJ73" s="120"/>
      <c r="AK73" s="120"/>
      <c r="AL73" s="120"/>
      <c r="AM73" s="120"/>
      <c r="AN73" s="120"/>
      <c r="AO73" s="120"/>
      <c r="AP73" s="120"/>
      <c r="AQ73" s="120"/>
      <c r="AR73" s="120"/>
      <c r="AS73" s="120"/>
      <c r="AT73" s="120"/>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c r="EU73" s="120"/>
      <c r="EV73" s="120"/>
      <c r="EW73" s="120"/>
      <c r="EX73" s="120"/>
      <c r="EY73" s="120"/>
      <c r="EZ73" s="120"/>
      <c r="FA73" s="120"/>
      <c r="FB73" s="120"/>
      <c r="FC73" s="120"/>
      <c r="FD73" s="120"/>
      <c r="FE73" s="120"/>
      <c r="FF73" s="120"/>
      <c r="FG73" s="120"/>
      <c r="FH73" s="120"/>
      <c r="FI73" s="120"/>
      <c r="FJ73" s="120"/>
      <c r="FK73" s="120"/>
      <c r="FL73" s="120"/>
      <c r="FM73" s="120"/>
      <c r="FN73" s="120"/>
      <c r="FO73" s="120"/>
      <c r="FP73" s="120"/>
      <c r="FQ73" s="120"/>
      <c r="FR73" s="120"/>
      <c r="FS73" s="120"/>
      <c r="FT73" s="120"/>
      <c r="FU73" s="120"/>
      <c r="FV73" s="120"/>
      <c r="FW73" s="120"/>
      <c r="FX73" s="120"/>
      <c r="FY73" s="120"/>
      <c r="FZ73" s="120"/>
      <c r="GA73" s="120"/>
      <c r="GB73" s="120"/>
      <c r="GC73" s="120"/>
    </row>
    <row r="74" spans="1:185" s="124" customFormat="1" ht="13">
      <c r="A74" s="98" t="s">
        <v>1874</v>
      </c>
      <c r="B74" s="91" t="s">
        <v>2190</v>
      </c>
      <c r="C74" s="201">
        <f t="array" ref="C74">IF(ISNUMBER(SUM((E73:AG73&gt;0)*(E75:AG75&gt;0)*(E73:AG73))/SUM((E73:AG73&gt;0)*(E75:AG75&gt;0)*(E75:AG75))),SUM((E73:AG73&gt;0)*(E75:AG75&gt;0)*(E73:AG73))/SUM((E73:AG73&gt;0)*(E75:AG75&gt;0)*(E75:AG75)),0)</f>
        <v>0</v>
      </c>
      <c r="D74" s="264"/>
      <c r="E74" s="215"/>
      <c r="F74" s="215"/>
      <c r="G74" s="215"/>
      <c r="H74" s="215"/>
      <c r="I74" s="215"/>
      <c r="J74" s="215"/>
      <c r="K74" s="216"/>
      <c r="L74" s="216"/>
      <c r="M74" s="216"/>
      <c r="N74" s="216"/>
      <c r="O74" s="216"/>
      <c r="P74" s="216"/>
      <c r="Q74" s="216"/>
      <c r="R74" s="216"/>
      <c r="S74" s="216"/>
      <c r="T74" s="216"/>
      <c r="U74" s="216"/>
      <c r="V74" s="216"/>
      <c r="W74" s="216"/>
      <c r="X74" s="216"/>
      <c r="Y74" s="216"/>
      <c r="Z74" s="216"/>
      <c r="AA74" s="216"/>
      <c r="AB74" s="216"/>
      <c r="AC74" s="216"/>
      <c r="AD74" s="216"/>
      <c r="AE74" s="216"/>
      <c r="AF74" s="216"/>
      <c r="AG74" s="216"/>
      <c r="AH74" s="170"/>
      <c r="AI74" s="171"/>
      <c r="AJ74" s="120"/>
      <c r="AK74" s="120"/>
      <c r="AL74" s="120"/>
      <c r="AM74" s="120"/>
      <c r="AN74" s="120"/>
      <c r="AO74" s="120"/>
      <c r="AP74" s="120"/>
      <c r="AQ74" s="120"/>
      <c r="AR74" s="120"/>
      <c r="AS74" s="120"/>
      <c r="AT74" s="120"/>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c r="EU74" s="120"/>
      <c r="EV74" s="120"/>
      <c r="EW74" s="120"/>
      <c r="EX74" s="120"/>
      <c r="EY74" s="120"/>
      <c r="EZ74" s="120"/>
      <c r="FA74" s="120"/>
      <c r="FB74" s="120"/>
      <c r="FC74" s="120"/>
      <c r="FD74" s="120"/>
      <c r="FE74" s="120"/>
      <c r="FF74" s="120"/>
      <c r="FG74" s="120"/>
      <c r="FH74" s="120"/>
      <c r="FI74" s="120"/>
      <c r="FJ74" s="120"/>
      <c r="FK74" s="120"/>
      <c r="FL74" s="120"/>
      <c r="FM74" s="120"/>
      <c r="FN74" s="120"/>
      <c r="FO74" s="120"/>
      <c r="FP74" s="120"/>
      <c r="FQ74" s="120"/>
      <c r="FR74" s="120"/>
      <c r="FS74" s="120"/>
      <c r="FT74" s="120"/>
      <c r="FU74" s="120"/>
      <c r="FV74" s="120"/>
      <c r="FW74" s="120"/>
      <c r="FX74" s="120"/>
      <c r="FY74" s="120"/>
      <c r="FZ74" s="120"/>
      <c r="GA74" s="120"/>
      <c r="GB74" s="120"/>
      <c r="GC74" s="120"/>
    </row>
    <row r="75" spans="1:185" ht="13">
      <c r="A75" s="58"/>
      <c r="B75" s="91" t="s">
        <v>249</v>
      </c>
      <c r="C75" s="200">
        <f>SUM(E75:AG75)</f>
        <v>0</v>
      </c>
      <c r="D75" s="235">
        <f>IF(ISNUMBER(D73/D74),D73/D74,0)</f>
        <v>0</v>
      </c>
      <c r="E75" s="200">
        <f t="shared" ref="E75:AG75" si="16">IF(ISNUMBER(E73/E74),E73/E74,0)</f>
        <v>0</v>
      </c>
      <c r="F75" s="200">
        <f t="shared" si="16"/>
        <v>0</v>
      </c>
      <c r="G75" s="200">
        <f t="shared" si="16"/>
        <v>0</v>
      </c>
      <c r="H75" s="200">
        <f t="shared" si="16"/>
        <v>0</v>
      </c>
      <c r="I75" s="200">
        <f t="shared" si="16"/>
        <v>0</v>
      </c>
      <c r="J75" s="200">
        <f t="shared" si="16"/>
        <v>0</v>
      </c>
      <c r="K75" s="200">
        <f t="shared" si="16"/>
        <v>0</v>
      </c>
      <c r="L75" s="200">
        <f t="shared" si="16"/>
        <v>0</v>
      </c>
      <c r="M75" s="200">
        <f t="shared" si="16"/>
        <v>0</v>
      </c>
      <c r="N75" s="200">
        <f t="shared" si="16"/>
        <v>0</v>
      </c>
      <c r="O75" s="200">
        <f t="shared" si="16"/>
        <v>0</v>
      </c>
      <c r="P75" s="200">
        <f t="shared" si="16"/>
        <v>0</v>
      </c>
      <c r="Q75" s="200">
        <f t="shared" si="16"/>
        <v>0</v>
      </c>
      <c r="R75" s="200">
        <f t="shared" si="16"/>
        <v>0</v>
      </c>
      <c r="S75" s="200">
        <f t="shared" si="16"/>
        <v>0</v>
      </c>
      <c r="T75" s="200">
        <f t="shared" si="16"/>
        <v>0</v>
      </c>
      <c r="U75" s="200">
        <f t="shared" si="16"/>
        <v>0</v>
      </c>
      <c r="V75" s="200">
        <f t="shared" si="16"/>
        <v>0</v>
      </c>
      <c r="W75" s="200">
        <f t="shared" si="16"/>
        <v>0</v>
      </c>
      <c r="X75" s="200">
        <f t="shared" si="16"/>
        <v>0</v>
      </c>
      <c r="Y75" s="200">
        <f t="shared" si="16"/>
        <v>0</v>
      </c>
      <c r="Z75" s="200">
        <f t="shared" si="16"/>
        <v>0</v>
      </c>
      <c r="AA75" s="200">
        <f t="shared" si="16"/>
        <v>0</v>
      </c>
      <c r="AB75" s="200">
        <f t="shared" si="16"/>
        <v>0</v>
      </c>
      <c r="AC75" s="200">
        <f t="shared" si="16"/>
        <v>0</v>
      </c>
      <c r="AD75" s="200">
        <f t="shared" si="16"/>
        <v>0</v>
      </c>
      <c r="AE75" s="200">
        <f t="shared" si="16"/>
        <v>0</v>
      </c>
      <c r="AF75" s="200">
        <f t="shared" si="16"/>
        <v>0</v>
      </c>
      <c r="AG75" s="200">
        <f t="shared" si="16"/>
        <v>0</v>
      </c>
      <c r="AH75" s="174"/>
      <c r="AI75" s="175"/>
      <c r="AJ75" s="124"/>
      <c r="AK75" s="124"/>
      <c r="AL75" s="124"/>
      <c r="AM75" s="124"/>
      <c r="AN75" s="124"/>
      <c r="AO75" s="124"/>
      <c r="AP75" s="124"/>
      <c r="AQ75" s="124"/>
      <c r="AR75" s="124"/>
      <c r="AS75" s="124"/>
      <c r="AT75" s="124"/>
      <c r="AU75" s="124"/>
      <c r="AV75" s="124"/>
      <c r="AW75" s="124"/>
      <c r="AX75" s="124"/>
      <c r="AY75" s="124"/>
      <c r="AZ75" s="124"/>
      <c r="BA75" s="124"/>
      <c r="BB75" s="124"/>
      <c r="BC75" s="124"/>
      <c r="BD75" s="124"/>
      <c r="BE75" s="124"/>
      <c r="BF75" s="124"/>
      <c r="BG75" s="124"/>
      <c r="BH75" s="124"/>
      <c r="BI75" s="124"/>
      <c r="BJ75" s="124"/>
      <c r="BK75" s="124"/>
      <c r="BL75" s="124"/>
      <c r="BM75" s="124"/>
      <c r="BN75" s="124"/>
      <c r="BO75" s="124"/>
      <c r="BP75" s="124"/>
      <c r="BQ75" s="124"/>
      <c r="BR75" s="124"/>
      <c r="BS75" s="124"/>
      <c r="BT75" s="124"/>
      <c r="BU75" s="124"/>
      <c r="BV75" s="124"/>
      <c r="BW75" s="124"/>
      <c r="BX75" s="124"/>
      <c r="BY75" s="124"/>
      <c r="BZ75" s="124"/>
      <c r="CA75" s="124"/>
      <c r="CB75" s="124"/>
      <c r="CC75" s="124"/>
      <c r="CD75" s="124"/>
      <c r="CE75" s="124"/>
      <c r="CF75" s="124"/>
      <c r="CG75" s="124"/>
      <c r="CH75" s="124"/>
      <c r="CI75" s="124"/>
      <c r="CJ75" s="124"/>
      <c r="CK75" s="124"/>
      <c r="CL75" s="124"/>
      <c r="CM75" s="124"/>
      <c r="CN75" s="124"/>
      <c r="CO75" s="124"/>
      <c r="CP75" s="124"/>
      <c r="CQ75" s="124"/>
      <c r="CR75" s="124"/>
      <c r="CS75" s="124"/>
      <c r="CT75" s="124"/>
      <c r="CU75" s="124"/>
      <c r="CV75" s="124"/>
      <c r="CW75" s="124"/>
      <c r="CX75" s="124"/>
      <c r="CY75" s="124"/>
      <c r="CZ75" s="124"/>
      <c r="DA75" s="124"/>
      <c r="DB75" s="124"/>
      <c r="DC75" s="124"/>
      <c r="DD75" s="124"/>
      <c r="DE75" s="124"/>
      <c r="DF75" s="124"/>
      <c r="DG75" s="124"/>
      <c r="DH75" s="124"/>
      <c r="DI75" s="124"/>
      <c r="DJ75" s="124"/>
      <c r="DK75" s="124"/>
      <c r="DL75" s="124"/>
      <c r="DM75" s="124"/>
      <c r="DN75" s="124"/>
      <c r="DO75" s="124"/>
      <c r="DP75" s="124"/>
      <c r="DQ75" s="124"/>
      <c r="DR75" s="124"/>
      <c r="DS75" s="124"/>
      <c r="DT75" s="124"/>
      <c r="DU75" s="124"/>
      <c r="DV75" s="124"/>
      <c r="DW75" s="124"/>
      <c r="DX75" s="124"/>
      <c r="DY75" s="124"/>
      <c r="DZ75" s="124"/>
      <c r="EA75" s="124"/>
      <c r="EB75" s="124"/>
      <c r="EC75" s="124"/>
      <c r="ED75" s="124"/>
      <c r="EE75" s="124"/>
      <c r="EF75" s="124"/>
      <c r="EG75" s="124"/>
      <c r="EH75" s="124"/>
      <c r="EI75" s="124"/>
      <c r="EJ75" s="124"/>
      <c r="EK75" s="124"/>
      <c r="EL75" s="124"/>
      <c r="EM75" s="124"/>
      <c r="EN75" s="124"/>
      <c r="EO75" s="124"/>
      <c r="EP75" s="124"/>
      <c r="EQ75" s="124"/>
      <c r="ER75" s="124"/>
      <c r="ES75" s="124"/>
      <c r="ET75" s="124"/>
      <c r="EU75" s="124"/>
      <c r="EV75" s="124"/>
      <c r="EW75" s="124"/>
      <c r="EX75" s="124"/>
      <c r="EY75" s="124"/>
      <c r="EZ75" s="124"/>
      <c r="FA75" s="124"/>
      <c r="FB75" s="124"/>
      <c r="FC75" s="124"/>
      <c r="FD75" s="124"/>
      <c r="FE75" s="124"/>
      <c r="FF75" s="124"/>
      <c r="FG75" s="124"/>
      <c r="FH75" s="124"/>
      <c r="FI75" s="124"/>
      <c r="FJ75" s="124"/>
      <c r="FK75" s="124"/>
      <c r="FL75" s="124"/>
      <c r="FM75" s="124"/>
      <c r="FN75" s="124"/>
      <c r="FO75" s="124"/>
      <c r="FP75" s="124"/>
      <c r="FQ75" s="124"/>
      <c r="FR75" s="124"/>
      <c r="FS75" s="124"/>
      <c r="FT75" s="124"/>
      <c r="FU75" s="124"/>
      <c r="FV75" s="124"/>
      <c r="FW75" s="124"/>
      <c r="FX75" s="124"/>
      <c r="FY75" s="124"/>
      <c r="FZ75" s="124"/>
      <c r="GA75" s="124"/>
      <c r="GB75" s="124"/>
      <c r="GC75" s="124"/>
    </row>
    <row r="76" spans="1:185" ht="10" customHeight="1">
      <c r="A76" s="60"/>
      <c r="B76" s="61"/>
      <c r="C76" s="62"/>
      <c r="D76" s="62"/>
      <c r="E76" s="62"/>
      <c r="F76" s="63"/>
      <c r="G76" s="59"/>
      <c r="H76" s="59"/>
      <c r="I76" s="59"/>
      <c r="J76" s="59"/>
      <c r="K76" s="59"/>
      <c r="L76" s="59"/>
      <c r="M76" s="59"/>
      <c r="N76" s="59"/>
      <c r="O76" s="59"/>
      <c r="P76" s="59"/>
      <c r="Q76" s="59"/>
      <c r="R76" s="59"/>
      <c r="S76" s="59"/>
      <c r="T76" s="59"/>
      <c r="U76" s="59"/>
      <c r="V76" s="59"/>
      <c r="W76" s="59"/>
      <c r="X76" s="59"/>
      <c r="Y76" s="59"/>
      <c r="Z76" s="59"/>
      <c r="AA76" s="59"/>
      <c r="AB76" s="59"/>
      <c r="AC76" s="59"/>
      <c r="AD76" s="59"/>
      <c r="AE76" s="59"/>
      <c r="AF76" s="59"/>
      <c r="AG76" s="59"/>
      <c r="AH76" s="119"/>
      <c r="AI76" s="126"/>
      <c r="AJ76" s="119"/>
      <c r="AK76" s="119"/>
      <c r="AL76" s="119"/>
      <c r="AM76" s="119"/>
      <c r="AN76" s="119"/>
      <c r="AO76" s="119"/>
      <c r="AP76" s="119"/>
      <c r="AQ76" s="119"/>
      <c r="AR76" s="119"/>
      <c r="AS76" s="119"/>
      <c r="AT76" s="119"/>
      <c r="AU76" s="119"/>
      <c r="AV76" s="119"/>
      <c r="AW76" s="119"/>
      <c r="AX76" s="119"/>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row>
    <row r="77" spans="1:185" s="118" customFormat="1" ht="5" customHeight="1">
      <c r="A77" s="127"/>
      <c r="B77" s="128"/>
      <c r="C77" s="127"/>
      <c r="D77" s="115"/>
      <c r="E77" s="115"/>
      <c r="F77" s="115"/>
      <c r="G77" s="115"/>
      <c r="H77" s="115"/>
      <c r="I77" s="115"/>
      <c r="J77" s="115"/>
      <c r="K77" s="115"/>
      <c r="L77" s="115"/>
      <c r="M77" s="115"/>
      <c r="N77" s="115"/>
      <c r="O77" s="115"/>
      <c r="P77" s="115"/>
      <c r="Q77" s="115"/>
      <c r="R77" s="115"/>
      <c r="S77" s="115"/>
      <c r="T77" s="115"/>
      <c r="U77" s="115"/>
      <c r="V77" s="115"/>
      <c r="W77" s="115"/>
      <c r="X77" s="115"/>
      <c r="Y77" s="115"/>
      <c r="Z77" s="115"/>
      <c r="AA77" s="115"/>
      <c r="AB77" s="115"/>
      <c r="AC77" s="115"/>
      <c r="AD77" s="115"/>
      <c r="AE77" s="115"/>
      <c r="AF77" s="115"/>
      <c r="AG77" s="115"/>
      <c r="AH77" s="126"/>
      <c r="AI77" s="126"/>
    </row>
    <row r="78" spans="1:185" ht="13" hidden="1"/>
    <row r="79" spans="1:185" ht="13" hidden="1"/>
    <row r="80" spans="1:185" ht="13" hidden="1"/>
    <row r="81" ht="13" hidden="1"/>
    <row r="82" ht="13" hidden="1"/>
    <row r="83" ht="13" hidden="1"/>
    <row r="84" ht="13" hidden="1"/>
    <row r="85" ht="13" hidden="1"/>
    <row r="86" ht="13" hidden="1"/>
    <row r="87" ht="13" hidden="1"/>
    <row r="88" ht="13" hidden="1"/>
    <row r="89" ht="13" hidden="1"/>
    <row r="90" ht="13" hidden="1"/>
    <row r="91" ht="13" hidden="1"/>
    <row r="92" ht="13" hidden="1"/>
    <row r="93" ht="13" hidden="1"/>
    <row r="94" ht="13" hidden="1"/>
    <row r="95" ht="13" hidden="1"/>
    <row r="96" ht="13" hidden="1"/>
    <row r="97" ht="13" hidden="1"/>
    <row r="98" ht="13" hidden="1"/>
    <row r="99" ht="13" hidden="1"/>
    <row r="100" ht="13" hidden="1"/>
    <row r="101" ht="13" hidden="1"/>
    <row r="102" ht="13" hidden="1"/>
    <row r="103" ht="13" hidden="1"/>
    <row r="104" ht="13" hidden="1"/>
    <row r="105" ht="13" hidden="1"/>
    <row r="106" ht="13" hidden="1"/>
    <row r="107" ht="13" hidden="1"/>
    <row r="108" ht="13" hidden="1"/>
    <row r="109" ht="13" hidden="1"/>
    <row r="110" ht="13" hidden="1"/>
    <row r="111" ht="13" hidden="1"/>
    <row r="112" ht="13" hidden="1"/>
    <row r="113" ht="13" hidden="1"/>
    <row r="114" ht="13" hidden="1"/>
    <row r="115" ht="13" hidden="1"/>
    <row r="116" ht="13" hidden="1"/>
    <row r="117" ht="13" hidden="1"/>
    <row r="118" ht="13" hidden="1"/>
    <row r="119" ht="13" hidden="1"/>
    <row r="120" ht="13" hidden="1"/>
    <row r="121" ht="13" hidden="1"/>
    <row r="122" ht="13" hidden="1"/>
    <row r="123" ht="13" hidden="1"/>
    <row r="124" ht="13" hidden="1"/>
    <row r="125" ht="13" hidden="1"/>
    <row r="126" ht="13" hidden="1"/>
    <row r="127" ht="13" hidden="1"/>
    <row r="128" ht="13" hidden="1"/>
    <row r="129" ht="13" hidden="1"/>
    <row r="130" ht="13" hidden="1"/>
    <row r="131" ht="13" hidden="1"/>
    <row r="132" ht="13" hidden="1"/>
    <row r="133" ht="13" hidden="1"/>
    <row r="134" ht="13" hidden="1"/>
    <row r="135" ht="13" hidden="1"/>
    <row r="136" ht="13" hidden="1"/>
    <row r="137" ht="13" hidden="1"/>
    <row r="138" ht="13" hidden="1"/>
    <row r="139" ht="13" hidden="1"/>
    <row r="140" ht="13" hidden="1"/>
    <row r="141" ht="13" hidden="1"/>
    <row r="142" ht="13" hidden="1"/>
    <row r="143" ht="13" hidden="1"/>
    <row r="144" ht="13" hidden="1"/>
    <row r="145" ht="13" hidden="1"/>
    <row r="146" ht="13" hidden="1"/>
    <row r="147" ht="13" hidden="1"/>
    <row r="148" ht="13" hidden="1"/>
    <row r="149" ht="13" hidden="1"/>
    <row r="150" ht="13" hidden="1"/>
    <row r="151" ht="13" hidden="1"/>
    <row r="152" ht="13" hidden="1"/>
    <row r="153" ht="13" hidden="1"/>
    <row r="154" ht="13" hidden="1"/>
    <row r="155" ht="13" hidden="1"/>
    <row r="156" ht="13" hidden="1"/>
    <row r="157" ht="13" hidden="1"/>
    <row r="158" ht="13" hidden="1"/>
    <row r="159" ht="13" hidden="1"/>
    <row r="160" ht="13" hidden="1"/>
    <row r="161" ht="13" hidden="1"/>
    <row r="162" ht="13" hidden="1"/>
    <row r="163" ht="13" hidden="1"/>
    <row r="164" ht="13" hidden="1"/>
    <row r="165" ht="13" hidden="1"/>
    <row r="166" ht="13" hidden="1"/>
    <row r="167" ht="13" hidden="1"/>
  </sheetData>
  <dataConsolidate/>
  <dataValidations count="1">
    <dataValidation type="list" allowBlank="1" showInputMessage="1" sqref="D7:AG7" xr:uid="{00000000-0002-0000-0700-000000000000}">
      <formula1>ListRoute</formula1>
    </dataValidation>
  </dataValidations>
  <printOptions horizontalCentered="1" gridLinesSet="0"/>
  <pageMargins left="0.75" right="0.75" top="0.5" bottom="0.5" header="0" footer="0.25"/>
  <pageSetup scale="18" fitToHeight="2" orientation="portrait" r:id="rId1"/>
  <headerFooter alignWithMargins="0">
    <oddFooter>&amp;L&amp;F&amp;C&amp;A&amp;R&amp;D</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O53"/>
  <sheetViews>
    <sheetView workbookViewId="0">
      <selection activeCell="G9" sqref="G9"/>
    </sheetView>
  </sheetViews>
  <sheetFormatPr baseColWidth="10" defaultColWidth="0" defaultRowHeight="13" zeroHeight="1"/>
  <cols>
    <col min="1" max="1" width="5.6640625" style="152" customWidth="1"/>
    <col min="2" max="2" width="12.33203125" style="152" customWidth="1"/>
    <col min="3" max="3" width="38.6640625" style="152" bestFit="1" customWidth="1"/>
    <col min="4" max="4" width="5.33203125" style="152" customWidth="1"/>
    <col min="5" max="5" width="4.5" style="152" customWidth="1"/>
    <col min="6" max="6" width="3.5" style="152" customWidth="1"/>
    <col min="7" max="7" width="64.33203125" style="152" customWidth="1"/>
    <col min="8" max="8" width="3.83203125" style="152" customWidth="1"/>
    <col min="9" max="9" width="10.5" style="152" customWidth="1"/>
    <col min="10" max="10" width="3.6640625" style="152" customWidth="1"/>
    <col min="11" max="11" width="15.33203125" style="152" customWidth="1"/>
    <col min="12" max="12" width="1.6640625" style="152" customWidth="1"/>
    <col min="13" max="13" width="0.83203125" style="152" customWidth="1"/>
    <col min="14" max="39" width="9.1640625" style="152" hidden="1" customWidth="1"/>
    <col min="40" max="41" width="1.5" style="152" hidden="1" customWidth="1"/>
    <col min="42" max="16384" width="9.1640625" style="152" hidden="1"/>
  </cols>
  <sheetData>
    <row r="1" spans="1:40" s="102" customFormat="1" ht="42" customHeight="1" thickBot="1">
      <c r="A1" s="112"/>
      <c r="B1" s="112"/>
      <c r="C1" s="112" t="s">
        <v>1960</v>
      </c>
      <c r="D1" s="137"/>
      <c r="E1" s="137"/>
      <c r="F1" s="137"/>
      <c r="G1" s="138"/>
      <c r="H1" s="138"/>
      <c r="I1" s="138"/>
      <c r="J1" s="139"/>
      <c r="K1" s="140"/>
      <c r="L1" s="141"/>
      <c r="M1" s="183"/>
      <c r="N1" s="142"/>
      <c r="O1" s="143"/>
      <c r="P1" s="143"/>
      <c r="Q1" s="143"/>
      <c r="R1" s="143"/>
      <c r="S1" s="143"/>
      <c r="T1" s="143"/>
      <c r="U1" s="143"/>
      <c r="V1" s="143"/>
      <c r="W1" s="143"/>
      <c r="X1" s="143"/>
      <c r="Y1" s="143"/>
      <c r="Z1" s="143"/>
      <c r="AA1" s="143"/>
      <c r="AB1" s="143"/>
      <c r="AC1" s="143"/>
      <c r="AD1" s="143"/>
      <c r="AE1" s="143"/>
      <c r="AF1" s="143"/>
      <c r="AG1" s="143"/>
      <c r="AH1" s="143"/>
      <c r="AI1" s="143"/>
      <c r="AJ1" s="143"/>
      <c r="AK1" s="143"/>
      <c r="AL1" s="143"/>
      <c r="AM1" s="143"/>
      <c r="AN1" s="143"/>
    </row>
    <row r="2" spans="1:40" ht="14" thickTop="1">
      <c r="M2" s="182"/>
    </row>
    <row r="3" spans="1:40">
      <c r="M3" s="182"/>
    </row>
    <row r="4" spans="1:40" ht="17" thickBot="1">
      <c r="B4" s="153" t="s">
        <v>2202</v>
      </c>
      <c r="I4" s="154"/>
      <c r="J4" s="154"/>
      <c r="K4" s="154"/>
      <c r="M4" s="182"/>
    </row>
    <row r="5" spans="1:40">
      <c r="B5" s="720" t="s">
        <v>1952</v>
      </c>
      <c r="C5" s="701" t="s">
        <v>1949</v>
      </c>
      <c r="D5" s="703" t="s">
        <v>1950</v>
      </c>
      <c r="E5" s="704"/>
      <c r="F5" s="705"/>
      <c r="G5" s="701" t="s">
        <v>1951</v>
      </c>
      <c r="H5" s="714" t="s">
        <v>1955</v>
      </c>
      <c r="I5" s="715"/>
      <c r="J5" s="715"/>
      <c r="K5" s="716"/>
      <c r="M5" s="182"/>
    </row>
    <row r="6" spans="1:40" ht="14" thickBot="1">
      <c r="B6" s="721"/>
      <c r="C6" s="702"/>
      <c r="D6" s="722">
        <f>DataCollectionYear</f>
        <v>2018</v>
      </c>
      <c r="E6" s="723"/>
      <c r="F6" s="724"/>
      <c r="G6" s="702"/>
      <c r="H6" s="717"/>
      <c r="I6" s="718"/>
      <c r="J6" s="718"/>
      <c r="K6" s="719"/>
      <c r="M6" s="182"/>
    </row>
    <row r="7" spans="1:40" ht="14">
      <c r="B7" s="330" t="s">
        <v>272</v>
      </c>
      <c r="C7" s="447" t="s">
        <v>2373</v>
      </c>
      <c r="D7" s="725" t="str">
        <f>IF(ISNUMBER('Form 2'!C65/'Form 2'!C66),'Form 2'!C65/'Form 2'!C66,"N/A")</f>
        <v>N/A</v>
      </c>
      <c r="E7" s="726"/>
      <c r="F7" s="726"/>
      <c r="G7" s="446" t="s">
        <v>2370</v>
      </c>
      <c r="H7" s="331" t="s">
        <v>1953</v>
      </c>
      <c r="I7" s="332">
        <v>700</v>
      </c>
      <c r="J7" s="331" t="s">
        <v>1954</v>
      </c>
      <c r="K7" s="333">
        <v>7000</v>
      </c>
      <c r="M7" s="182"/>
    </row>
    <row r="8" spans="1:40" ht="14">
      <c r="B8" s="334" t="s">
        <v>272</v>
      </c>
      <c r="C8" s="155" t="s">
        <v>2198</v>
      </c>
      <c r="D8" s="727" t="str">
        <f>IF(ISNUMBER('Form 2'!C9/'Form 2'!C64*100),'Form 2'!C9/'Form 2'!C64*100,"N/A")</f>
        <v>N/A</v>
      </c>
      <c r="E8" s="728"/>
      <c r="F8" s="728"/>
      <c r="G8" s="329" t="s">
        <v>2231</v>
      </c>
      <c r="H8" s="326" t="s">
        <v>1953</v>
      </c>
      <c r="I8" s="328">
        <v>30</v>
      </c>
      <c r="J8" s="326" t="s">
        <v>1954</v>
      </c>
      <c r="K8" s="335">
        <v>120</v>
      </c>
      <c r="M8" s="182"/>
    </row>
    <row r="9" spans="1:40" ht="14">
      <c r="B9" s="334" t="s">
        <v>272</v>
      </c>
      <c r="C9" s="373" t="s">
        <v>2372</v>
      </c>
      <c r="D9" s="729" t="str">
        <f>IF(ISNUMBER('Form 2'!C56/'Form 2'!C54*1000),'Form 2'!C56/'Form 2'!C54*1000,"N/A")</f>
        <v>N/A</v>
      </c>
      <c r="E9" s="730"/>
      <c r="F9" s="730"/>
      <c r="G9" s="329" t="s">
        <v>2371</v>
      </c>
      <c r="H9" s="326" t="s">
        <v>1953</v>
      </c>
      <c r="I9" s="328">
        <v>80</v>
      </c>
      <c r="J9" s="326" t="s">
        <v>1954</v>
      </c>
      <c r="K9" s="335">
        <v>110</v>
      </c>
      <c r="M9" s="182"/>
    </row>
    <row r="10" spans="1:40" ht="14">
      <c r="B10" s="334" t="s">
        <v>272</v>
      </c>
      <c r="C10" s="155" t="s">
        <v>1956</v>
      </c>
      <c r="D10" s="699" t="str">
        <f>IF(ISNUMBER('Form 2'!C54/'Form 2'!C55),('Form 2'!C54/'Form 2'!C55),"N/A")</f>
        <v>N/A</v>
      </c>
      <c r="E10" s="700"/>
      <c r="F10" s="700"/>
      <c r="G10" s="156" t="s">
        <v>2218</v>
      </c>
      <c r="H10" s="326" t="s">
        <v>1953</v>
      </c>
      <c r="I10" s="327">
        <v>0.4</v>
      </c>
      <c r="J10" s="326" t="s">
        <v>1954</v>
      </c>
      <c r="K10" s="336">
        <v>0.9</v>
      </c>
      <c r="M10" s="182"/>
    </row>
    <row r="11" spans="1:40" ht="14">
      <c r="B11" s="334" t="s">
        <v>272</v>
      </c>
      <c r="C11" s="155" t="s">
        <v>1957</v>
      </c>
      <c r="D11" s="699" t="str">
        <f>IF(ISNUMBER('Form 2'!C58/'Form 2'!C59),('Form 2'!C58/'Form 2'!C59),"N/A")</f>
        <v>N/A</v>
      </c>
      <c r="E11" s="700"/>
      <c r="F11" s="700"/>
      <c r="G11" s="156" t="s">
        <v>2218</v>
      </c>
      <c r="H11" s="326" t="s">
        <v>1953</v>
      </c>
      <c r="I11" s="327">
        <v>0.4</v>
      </c>
      <c r="J11" s="326" t="s">
        <v>1954</v>
      </c>
      <c r="K11" s="336">
        <v>0.9</v>
      </c>
      <c r="M11" s="182"/>
    </row>
    <row r="12" spans="1:40">
      <c r="B12" s="372" t="s">
        <v>272</v>
      </c>
      <c r="C12" s="373" t="s">
        <v>2302</v>
      </c>
      <c r="D12" s="700" t="str">
        <f>IF(AND('Form 2'!C8&gt;0,'Form 2'!C9&gt;0,'Form 2'!C10&gt;0,'Form 2'!C11&gt;0,'Form 2'!C12&gt;0,'Form 2'!C13&gt;0,'Form 2'!C22&gt;0,'Form 2'!C25&gt;0,'Form 2'!C28&gt;0,'Form 2'!C32&gt;0,'Form 2'!C39&gt;0,'Form 2'!C40&gt;0,'Form 2'!C41&gt;0,'Form 2'!C46&gt;0),"OK","No")</f>
        <v>No</v>
      </c>
      <c r="E12" s="700"/>
      <c r="F12" s="700"/>
      <c r="G12" s="373" t="s">
        <v>2366</v>
      </c>
      <c r="H12" s="711" t="s">
        <v>2301</v>
      </c>
      <c r="I12" s="712"/>
      <c r="J12" s="712"/>
      <c r="K12" s="713"/>
      <c r="M12" s="182"/>
    </row>
    <row r="13" spans="1:40" ht="15" customHeight="1">
      <c r="B13" s="334" t="s">
        <v>272</v>
      </c>
      <c r="C13" s="373" t="s">
        <v>2288</v>
      </c>
      <c r="D13" s="710" t="str">
        <f>IF(AND('Form 2'!C92&gt;'Form 2'!C91, 'Form 2'!C91&gt;'Form 2'!C90),"OK","Check again")</f>
        <v>Check again</v>
      </c>
      <c r="E13" s="710"/>
      <c r="F13" s="710"/>
      <c r="G13" s="329" t="s">
        <v>2285</v>
      </c>
      <c r="H13" s="711" t="s">
        <v>2367</v>
      </c>
      <c r="I13" s="712"/>
      <c r="J13" s="712"/>
      <c r="K13" s="713"/>
      <c r="M13" s="182"/>
    </row>
    <row r="14" spans="1:40" ht="13.5" customHeight="1" thickBot="1">
      <c r="B14" s="374" t="s">
        <v>272</v>
      </c>
      <c r="C14" s="375" t="s">
        <v>2287</v>
      </c>
      <c r="D14" s="706" t="str">
        <f>IF(AND('Form 2'!C97&gt;'Form 2'!C96, 'Form 2'!C96&gt;'Form 2'!C95),"OK","Check again")</f>
        <v>Check again</v>
      </c>
      <c r="E14" s="706"/>
      <c r="F14" s="706"/>
      <c r="G14" s="376" t="s">
        <v>2289</v>
      </c>
      <c r="H14" s="707" t="s">
        <v>2368</v>
      </c>
      <c r="I14" s="708"/>
      <c r="J14" s="708"/>
      <c r="K14" s="709"/>
      <c r="M14" s="182"/>
    </row>
    <row r="15" spans="1:40" ht="12.75" hidden="1" customHeight="1">
      <c r="M15" s="182"/>
    </row>
    <row r="16" spans="1:40" ht="12.75" hidden="1" customHeight="1">
      <c r="M16" s="182"/>
    </row>
    <row r="17" spans="4:13" ht="6" customHeight="1">
      <c r="M17" s="182"/>
    </row>
    <row r="18" spans="4:13" ht="12.75" hidden="1" customHeight="1">
      <c r="M18" s="182"/>
    </row>
    <row r="19" spans="4:13" ht="12.75" hidden="1" customHeight="1">
      <c r="M19" s="182"/>
    </row>
    <row r="20" spans="4:13" ht="12.75" hidden="1" customHeight="1">
      <c r="M20" s="182"/>
    </row>
    <row r="21" spans="4:13" ht="12.75" hidden="1" customHeight="1">
      <c r="M21" s="182"/>
    </row>
    <row r="22" spans="4:13" ht="12.75" hidden="1" customHeight="1">
      <c r="M22" s="182"/>
    </row>
    <row r="23" spans="4:13" ht="12.75" hidden="1" customHeight="1">
      <c r="M23" s="182"/>
    </row>
    <row r="24" spans="4:13" hidden="1">
      <c r="M24" s="182"/>
    </row>
    <row r="25" spans="4:13" hidden="1">
      <c r="M25" s="182"/>
    </row>
    <row r="26" spans="4:13" hidden="1">
      <c r="M26" s="182"/>
    </row>
    <row r="27" spans="4:13" hidden="1">
      <c r="D27" s="182"/>
      <c r="E27" s="182"/>
      <c r="F27" s="182"/>
      <c r="M27" s="182"/>
    </row>
    <row r="28" spans="4:13" ht="12.75" hidden="1" customHeight="1">
      <c r="D28" s="182"/>
      <c r="E28" s="182"/>
      <c r="F28" s="182"/>
      <c r="M28" s="182"/>
    </row>
    <row r="29" spans="4:13" ht="12.75" hidden="1" customHeight="1">
      <c r="D29" s="182"/>
      <c r="E29" s="182"/>
      <c r="F29" s="182"/>
      <c r="M29" s="182"/>
    </row>
    <row r="30" spans="4:13" hidden="1">
      <c r="D30" s="182"/>
      <c r="E30" s="182"/>
      <c r="F30" s="182"/>
      <c r="M30" s="182"/>
    </row>
    <row r="31" spans="4:13" hidden="1">
      <c r="D31" s="182"/>
      <c r="E31" s="182"/>
      <c r="F31" s="182"/>
      <c r="M31" s="182"/>
    </row>
    <row r="32" spans="4:13" hidden="1">
      <c r="D32" s="182"/>
      <c r="E32" s="182"/>
      <c r="F32" s="182"/>
      <c r="M32" s="182"/>
    </row>
    <row r="33" spans="4:13" hidden="1">
      <c r="D33" s="182"/>
      <c r="E33" s="182"/>
      <c r="F33" s="182"/>
      <c r="M33" s="182"/>
    </row>
    <row r="34" spans="4:13" hidden="1">
      <c r="D34" s="182"/>
      <c r="E34" s="182"/>
      <c r="F34" s="182"/>
      <c r="M34" s="182"/>
    </row>
    <row r="35" spans="4:13" hidden="1">
      <c r="D35" s="182"/>
      <c r="E35" s="182"/>
      <c r="F35" s="182"/>
      <c r="M35" s="182"/>
    </row>
    <row r="36" spans="4:13" hidden="1">
      <c r="D36" s="182"/>
      <c r="E36" s="182"/>
      <c r="F36" s="182"/>
      <c r="M36" s="182"/>
    </row>
    <row r="37" spans="4:13" hidden="1">
      <c r="D37" s="182"/>
      <c r="E37" s="182"/>
      <c r="F37" s="182"/>
      <c r="M37" s="182"/>
    </row>
    <row r="38" spans="4:13" hidden="1">
      <c r="D38" s="182"/>
      <c r="E38" s="182"/>
      <c r="F38" s="182"/>
      <c r="M38" s="182"/>
    </row>
    <row r="39" spans="4:13" hidden="1">
      <c r="D39" s="182"/>
      <c r="E39" s="182"/>
      <c r="F39" s="182"/>
      <c r="M39" s="182"/>
    </row>
    <row r="40" spans="4:13" hidden="1">
      <c r="D40" s="182"/>
      <c r="E40" s="182"/>
      <c r="F40" s="182"/>
      <c r="M40" s="182"/>
    </row>
    <row r="41" spans="4:13" hidden="1">
      <c r="D41" s="182"/>
      <c r="E41" s="182"/>
      <c r="F41" s="182"/>
      <c r="M41" s="182"/>
    </row>
    <row r="42" spans="4:13" hidden="1">
      <c r="D42" s="182"/>
      <c r="E42" s="182"/>
      <c r="F42" s="182"/>
      <c r="M42" s="182"/>
    </row>
    <row r="43" spans="4:13" hidden="1">
      <c r="D43" s="182"/>
      <c r="E43" s="182"/>
      <c r="F43" s="182"/>
      <c r="M43" s="182"/>
    </row>
    <row r="44" spans="4:13" hidden="1">
      <c r="D44" s="182"/>
      <c r="E44" s="182"/>
      <c r="F44" s="182"/>
      <c r="M44" s="182"/>
    </row>
    <row r="45" spans="4:13" hidden="1">
      <c r="D45" s="182"/>
      <c r="E45" s="182"/>
      <c r="F45" s="182"/>
      <c r="M45" s="182"/>
    </row>
    <row r="46" spans="4:13" hidden="1">
      <c r="M46" s="182"/>
    </row>
    <row r="47" spans="4:13" hidden="1">
      <c r="M47" s="182"/>
    </row>
    <row r="48" spans="4:13" hidden="1">
      <c r="M48" s="182"/>
    </row>
    <row r="49" spans="1:13" ht="12.75" hidden="1" customHeight="1">
      <c r="M49" s="182"/>
    </row>
    <row r="50" spans="1:13" ht="4.5" customHeight="1">
      <c r="A50" s="182"/>
      <c r="B50" s="182"/>
      <c r="C50" s="182"/>
      <c r="D50" s="182"/>
      <c r="E50" s="182"/>
      <c r="F50" s="182"/>
      <c r="G50" s="182"/>
      <c r="H50" s="182"/>
      <c r="I50" s="182"/>
      <c r="J50" s="182"/>
      <c r="K50" s="182"/>
      <c r="L50" s="182"/>
      <c r="M50" s="182"/>
    </row>
    <row r="51" spans="1:13"/>
    <row r="52" spans="1:13"/>
    <row r="53" spans="1:13"/>
  </sheetData>
  <mergeCells count="17">
    <mergeCell ref="B5:B6"/>
    <mergeCell ref="D6:F6"/>
    <mergeCell ref="D7:F7"/>
    <mergeCell ref="D8:F8"/>
    <mergeCell ref="D9:F9"/>
    <mergeCell ref="D10:F10"/>
    <mergeCell ref="C5:C6"/>
    <mergeCell ref="D5:F5"/>
    <mergeCell ref="D14:F14"/>
    <mergeCell ref="H14:K14"/>
    <mergeCell ref="D13:F13"/>
    <mergeCell ref="H13:K13"/>
    <mergeCell ref="G5:G6"/>
    <mergeCell ref="H5:K6"/>
    <mergeCell ref="H12:K12"/>
    <mergeCell ref="D12:F12"/>
    <mergeCell ref="D11:F11"/>
  </mergeCells>
  <conditionalFormatting sqref="D13:F13">
    <cfRule type="containsText" dxfId="80" priority="30" stopIfTrue="1" operator="containsText" text="ok">
      <formula>NOT(ISERROR(SEARCH("ok",D13)))</formula>
    </cfRule>
    <cfRule type="containsText" dxfId="79" priority="32" stopIfTrue="1" operator="containsText" text="Check again">
      <formula>NOT(ISERROR(SEARCH("Check again",D13)))</formula>
    </cfRule>
  </conditionalFormatting>
  <conditionalFormatting sqref="D14:F14">
    <cfRule type="containsText" dxfId="78" priority="1" stopIfTrue="1" operator="containsText" text="ok">
      <formula>NOT(ISERROR(SEARCH("ok",D14)))</formula>
    </cfRule>
    <cfRule type="containsText" dxfId="77" priority="2" stopIfTrue="1" operator="containsText" text="Check again">
      <formula>NOT(ISERROR(SEARCH("Check again",D14)))</formula>
    </cfRule>
  </conditionalFormatting>
  <dataValidations count="2">
    <dataValidation type="list" allowBlank="1" showInputMessage="1" showErrorMessage="1" sqref="J7:J11" xr:uid="{00000000-0002-0000-0800-000000000000}">
      <formula1>ListInequalitySymbolLT</formula1>
    </dataValidation>
    <dataValidation type="list" allowBlank="1" showInputMessage="1" showErrorMessage="1" sqref="H7:H11" xr:uid="{00000000-0002-0000-0800-000001000000}">
      <formula1>ListInequalitySymbolGT</formula1>
    </dataValidation>
  </dataValidations>
  <pageMargins left="0.7" right="0.7" top="0.75" bottom="0.75" header="0.3" footer="0.3"/>
  <pageSetup scale="67"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AN57"/>
  <sheetViews>
    <sheetView workbookViewId="0">
      <selection activeCell="F12" sqref="F12"/>
    </sheetView>
  </sheetViews>
  <sheetFormatPr baseColWidth="10" defaultColWidth="8.83203125" defaultRowHeight="13"/>
  <cols>
    <col min="1" max="1" width="9.1640625" customWidth="1"/>
    <col min="2" max="2" width="5.5" customWidth="1"/>
    <col min="3" max="3" width="45.6640625" customWidth="1"/>
    <col min="4" max="4" width="14.83203125" bestFit="1" customWidth="1"/>
    <col min="5" max="5" width="16.5" bestFit="1" customWidth="1"/>
    <col min="6" max="6" width="14" bestFit="1" customWidth="1"/>
    <col min="7" max="7" width="13.5" bestFit="1" customWidth="1"/>
    <col min="8" max="8" width="13.5" customWidth="1"/>
    <col min="9" max="9" width="5.1640625" customWidth="1"/>
  </cols>
  <sheetData>
    <row r="1" spans="1:40" s="102" customFormat="1" ht="42" customHeight="1" thickBot="1">
      <c r="A1" s="112"/>
      <c r="B1" s="112"/>
      <c r="C1" s="112" t="s">
        <v>2297</v>
      </c>
      <c r="D1" s="137"/>
      <c r="E1" s="137"/>
      <c r="F1" s="137"/>
      <c r="G1" s="138"/>
      <c r="H1" s="138"/>
      <c r="I1" s="138"/>
      <c r="J1" s="139"/>
      <c r="K1" s="140"/>
      <c r="L1" s="140"/>
      <c r="M1" s="140"/>
      <c r="N1" s="140"/>
      <c r="O1" s="140"/>
      <c r="P1" s="140"/>
      <c r="Q1" s="140"/>
      <c r="R1" s="140"/>
      <c r="S1" s="140"/>
      <c r="T1" s="140"/>
      <c r="U1" s="140"/>
      <c r="V1" s="140"/>
      <c r="W1" s="140"/>
      <c r="X1" s="143"/>
      <c r="Y1" s="143"/>
      <c r="Z1" s="143"/>
      <c r="AA1" s="143"/>
      <c r="AB1" s="143"/>
      <c r="AC1" s="143"/>
      <c r="AD1" s="143"/>
      <c r="AE1" s="143"/>
      <c r="AF1" s="143"/>
      <c r="AG1" s="143"/>
      <c r="AH1" s="143"/>
      <c r="AI1" s="143"/>
      <c r="AJ1" s="143"/>
      <c r="AK1" s="143"/>
      <c r="AL1" s="143"/>
      <c r="AM1" s="143"/>
      <c r="AN1" s="143"/>
    </row>
    <row r="2" spans="1:40" ht="14" thickTop="1"/>
    <row r="3" spans="1:40" ht="14" thickBot="1"/>
    <row r="4" spans="1:40">
      <c r="C4" s="731" t="s">
        <v>2474</v>
      </c>
      <c r="D4" s="387" t="s">
        <v>2469</v>
      </c>
      <c r="E4" s="388" t="s">
        <v>2475</v>
      </c>
      <c r="F4" s="308"/>
    </row>
    <row r="5" spans="1:40" ht="14" thickBot="1">
      <c r="C5" s="732"/>
      <c r="D5" s="307" t="s">
        <v>2447</v>
      </c>
      <c r="E5" s="309" t="s">
        <v>2262</v>
      </c>
      <c r="F5" s="318" t="s">
        <v>2260</v>
      </c>
    </row>
    <row r="6" spans="1:40" ht="17">
      <c r="C6" s="544" t="s">
        <v>2253</v>
      </c>
      <c r="D6" s="306">
        <v>9782</v>
      </c>
      <c r="E6" s="313" t="str">
        <f>IF(ISNUMBER('Form 2'!C49/'Form 2'!C68),'Form 2'!C49/'Form 2'!C68,"N/A")</f>
        <v>N/A</v>
      </c>
      <c r="F6" s="312" t="str">
        <f t="shared" ref="F6:F11" si="0">IF(ISNUMBER((E6-D6)/D6),(E6-D6)/D6,"N/A")</f>
        <v>N/A</v>
      </c>
    </row>
    <row r="7" spans="1:40" ht="16">
      <c r="C7" s="545" t="s">
        <v>2463</v>
      </c>
      <c r="D7" s="302">
        <v>6.89</v>
      </c>
      <c r="E7" s="314" t="str">
        <f>IF(ISNUMBER('Form 2'!C49/'Form 2'!C55/10),'Form 2'!C49/'Form 2'!C55/10,"N/A")</f>
        <v>N/A</v>
      </c>
      <c r="F7" s="319" t="str">
        <f t="shared" si="0"/>
        <v>N/A</v>
      </c>
    </row>
    <row r="8" spans="1:40" ht="17">
      <c r="C8" s="546" t="s">
        <v>2464</v>
      </c>
      <c r="D8" s="303">
        <v>47</v>
      </c>
      <c r="E8" s="315" t="str">
        <f>IF(ISNUMBER('Form 2'!C49/'Form 2'!C59/10),'Form 2'!C49/'Form 2'!C59/10,"N/A")</f>
        <v>N/A</v>
      </c>
      <c r="F8" s="319" t="str">
        <f t="shared" si="0"/>
        <v>N/A</v>
      </c>
    </row>
    <row r="9" spans="1:40" ht="17">
      <c r="C9" s="547" t="s">
        <v>2254</v>
      </c>
      <c r="D9" s="304">
        <v>0.245</v>
      </c>
      <c r="E9" s="316" t="str">
        <f>IF(ISNUMBER('Form 2'!C9/'Form 2'!C49),'Form 2'!C9/'Form 2'!C49,"N/A")</f>
        <v>N/A</v>
      </c>
      <c r="F9" s="319" t="str">
        <f>IF(ISNUMBER(E9-D9),(E9-D9),"N/A")</f>
        <v>N/A</v>
      </c>
    </row>
    <row r="10" spans="1:40" ht="16">
      <c r="C10" s="548" t="s">
        <v>2255</v>
      </c>
      <c r="D10" s="305">
        <v>5.2</v>
      </c>
      <c r="E10" s="317" t="str">
        <f>IF(ISNUMBER(('Form 2'!C49-'Form 2'!C9)/'Form 2'!C55/10),('Form 2'!C49-'Form 2'!C9)/'Form 2'!C55/10,"N/A")</f>
        <v>N/A</v>
      </c>
      <c r="F10" s="319" t="str">
        <f t="shared" si="0"/>
        <v>N/A</v>
      </c>
    </row>
    <row r="11" spans="1:40" ht="16">
      <c r="C11" s="545" t="s">
        <v>2465</v>
      </c>
      <c r="D11" s="302">
        <v>70.3</v>
      </c>
      <c r="E11" s="314" t="str">
        <f>IF(ISNUMBER('Form 1'!C8/'Form 2'!C58/10),'Form 1'!C8/'Form 2'!C58/10,"N/A")</f>
        <v>N/A</v>
      </c>
      <c r="F11" s="319" t="str">
        <f t="shared" si="0"/>
        <v>N/A</v>
      </c>
    </row>
    <row r="12" spans="1:40" ht="16.5" customHeight="1">
      <c r="C12" s="549" t="s">
        <v>2466</v>
      </c>
      <c r="D12" s="533">
        <v>3.5000000000000003E-2</v>
      </c>
      <c r="E12" s="534" t="str">
        <f>IF(ISNUMBER(1-'Form 2'!C49/'Form 1'!C8),1-'Form 2'!C49/'Form 1'!C8,"N/A")</f>
        <v>N/A</v>
      </c>
      <c r="F12" s="319" t="str">
        <f>IF(ISNUMBER(E12-D12),(E12-D12),"N/A")</f>
        <v>N/A</v>
      </c>
    </row>
    <row r="13" spans="1:40" ht="17">
      <c r="C13" s="547" t="s">
        <v>2256</v>
      </c>
      <c r="D13" s="304">
        <v>0.79700000000000004</v>
      </c>
      <c r="E13" s="316" t="str">
        <f>IF(ISNUMBER('Form 2'!C61),'Form 2'!C61,"N/A")</f>
        <v>N/A</v>
      </c>
      <c r="F13" s="319" t="str">
        <f>IF(ISNUMBER(E13-D13),(E13-D13),"N/A")</f>
        <v>N/A</v>
      </c>
    </row>
    <row r="14" spans="1:40" ht="17">
      <c r="C14" s="550" t="s">
        <v>2257</v>
      </c>
      <c r="D14" s="535">
        <v>0.69399999999999995</v>
      </c>
      <c r="E14" s="536" t="str">
        <f>IF(ISNUMBER('Form 2'!C62),'Form 2'!C62,"N/A")</f>
        <v>N/A</v>
      </c>
      <c r="F14" s="319" t="str">
        <f>IF(ISNUMBER(E14-D14),(E14-D14),"N/A")</f>
        <v>N/A</v>
      </c>
    </row>
    <row r="15" spans="1:40" ht="16">
      <c r="C15" s="545" t="s">
        <v>2258</v>
      </c>
      <c r="D15" s="302">
        <v>9.4499999999999993</v>
      </c>
      <c r="E15" s="314">
        <f>'Form 2'!C70</f>
        <v>0</v>
      </c>
      <c r="F15" s="319" t="str">
        <f>IF((E15-D15)/D15&lt;=-100%,"N/A", (E15-D15)/D15)</f>
        <v>N/A</v>
      </c>
    </row>
    <row r="16" spans="1:40" ht="17" thickBot="1">
      <c r="C16" s="551" t="s">
        <v>2259</v>
      </c>
      <c r="D16" s="537">
        <v>9.6300000000000008</v>
      </c>
      <c r="E16" s="538">
        <f>'Form 2'!C74</f>
        <v>0</v>
      </c>
      <c r="F16" s="320" t="str">
        <f>IF((E16-D16)/D16&lt;=-100%,"N/A", (E16-D16)/D16)</f>
        <v>N/A</v>
      </c>
    </row>
    <row r="17" spans="3:8">
      <c r="C17" s="311"/>
    </row>
    <row r="22" spans="3:8" ht="14" thickBot="1"/>
    <row r="23" spans="3:8" ht="17.25" customHeight="1" thickBot="1">
      <c r="C23" s="733" t="s">
        <v>2273</v>
      </c>
      <c r="D23" s="737" t="s">
        <v>2477</v>
      </c>
      <c r="E23" s="738"/>
      <c r="F23" s="739" t="s">
        <v>2478</v>
      </c>
      <c r="G23" s="740"/>
      <c r="H23" s="741" t="s">
        <v>2300</v>
      </c>
    </row>
    <row r="24" spans="3:8" ht="14" thickBot="1">
      <c r="C24" s="734"/>
      <c r="D24" s="361" t="s">
        <v>2299</v>
      </c>
      <c r="E24" s="362" t="s">
        <v>2298</v>
      </c>
      <c r="F24" s="501" t="s">
        <v>2299</v>
      </c>
      <c r="G24" s="499" t="s">
        <v>2298</v>
      </c>
      <c r="H24" s="742"/>
    </row>
    <row r="25" spans="3:8" ht="16">
      <c r="C25" s="539" t="s">
        <v>2263</v>
      </c>
      <c r="D25" s="367">
        <v>30305916974.17194</v>
      </c>
      <c r="E25" s="368">
        <v>11.513449869158661</v>
      </c>
      <c r="F25" s="502">
        <f>'Form 2'!C9</f>
        <v>0</v>
      </c>
      <c r="G25" s="368" t="str">
        <f>IF(ISNUMBER(F25/'Form 2'!$C$59/10), F25/'Form 2'!$C$59/10, "N/A")</f>
        <v>N/A</v>
      </c>
      <c r="H25" s="364" t="str">
        <f t="shared" ref="H25:H38" si="1">IF(ISNUMBER((G25-E25)/E25),(G25-E25)/E25,"N/A")</f>
        <v>N/A</v>
      </c>
    </row>
    <row r="26" spans="3:8" ht="16">
      <c r="C26" s="540" t="s">
        <v>2269</v>
      </c>
      <c r="D26" s="541">
        <v>16256233302.790068</v>
      </c>
      <c r="E26" s="542">
        <v>6.1758674833212162</v>
      </c>
      <c r="F26" s="541">
        <f>'Form 2'!C11+'Form 2'!C12</f>
        <v>0</v>
      </c>
      <c r="G26" s="542" t="str">
        <f>IF(ISNUMBER(F26/'Form 2'!$C$59/10), F26/'Form 2'!$C$59/10, "N/A")</f>
        <v>N/A</v>
      </c>
      <c r="H26" s="365" t="str">
        <f>IF(ISNUMBER((G26-E26)/E26),(G26-E26)/E26,"N/A")</f>
        <v>N/A</v>
      </c>
    </row>
    <row r="27" spans="3:8" ht="16">
      <c r="C27" s="539" t="s">
        <v>2264</v>
      </c>
      <c r="D27" s="367">
        <v>13816461579.490637</v>
      </c>
      <c r="E27" s="363">
        <v>5.2489795276675872</v>
      </c>
      <c r="F27" s="367">
        <f>'Form 2'!C22</f>
        <v>0</v>
      </c>
      <c r="G27" s="363" t="str">
        <f>IF(ISNUMBER(F27/'Form 2'!$C$59/10), F27/'Form 2'!$C$59/10, "N/A")</f>
        <v>N/A</v>
      </c>
      <c r="H27" s="365" t="str">
        <f>IF(ISNUMBER((G27-E27)/E27),(G27-E27)/E27,"N/A")</f>
        <v>N/A</v>
      </c>
    </row>
    <row r="28" spans="3:8" ht="16">
      <c r="C28" s="540" t="s">
        <v>2267</v>
      </c>
      <c r="D28" s="541">
        <v>9375404266.060667</v>
      </c>
      <c r="E28" s="542">
        <v>3.5617878552356563</v>
      </c>
      <c r="F28" s="541">
        <f>'Form 2'!C40</f>
        <v>0</v>
      </c>
      <c r="G28" s="542" t="str">
        <f>IF(ISNUMBER(F28/'Form 2'!$C$59/10), F28/'Form 2'!$C$59/10, "N/A")</f>
        <v>N/A</v>
      </c>
      <c r="H28" s="365" t="str">
        <f>IF(ISNUMBER((G28-E28)/E28),(G28-E28)/E28,"N/A")</f>
        <v>N/A</v>
      </c>
    </row>
    <row r="29" spans="3:8" ht="16">
      <c r="C29" s="539" t="s">
        <v>2265</v>
      </c>
      <c r="D29" s="367">
        <v>9570111982.2715034</v>
      </c>
      <c r="E29" s="363">
        <v>3.6357588072329956</v>
      </c>
      <c r="F29" s="367">
        <f>'Form 2'!C46</f>
        <v>0</v>
      </c>
      <c r="G29" s="363" t="str">
        <f>IF(ISNUMBER(F29/'Form 2'!$C$59/10), F29/'Form 2'!$C$59/10, "N/A")</f>
        <v>N/A</v>
      </c>
      <c r="H29" s="365" t="str">
        <f>IF(ISNUMBER((G29-E29)/E29),(G29-E29)/E29,"N/A")</f>
        <v>N/A</v>
      </c>
    </row>
    <row r="30" spans="3:8" ht="16">
      <c r="C30" s="540" t="s">
        <v>2268</v>
      </c>
      <c r="D30" s="541">
        <v>8677870182.660223</v>
      </c>
      <c r="E30" s="542">
        <v>3.2967893168939542</v>
      </c>
      <c r="F30" s="541">
        <f>'Form 2'!C28</f>
        <v>0</v>
      </c>
      <c r="G30" s="542" t="str">
        <f>IF(ISNUMBER(F30/'Form 2'!$C$59/10), F30/'Form 2'!$C$59/10, "N/A")</f>
        <v>N/A</v>
      </c>
      <c r="H30" s="365" t="str">
        <f t="shared" si="1"/>
        <v>N/A</v>
      </c>
    </row>
    <row r="31" spans="3:8" ht="16">
      <c r="C31" s="539" t="s">
        <v>2266</v>
      </c>
      <c r="D31" s="367">
        <v>8412570053.0893726</v>
      </c>
      <c r="E31" s="363">
        <v>3.1959997666322515</v>
      </c>
      <c r="F31" s="367">
        <f>'Form 2'!C8</f>
        <v>0</v>
      </c>
      <c r="G31" s="363" t="str">
        <f>IF(ISNUMBER(F31/'Form 2'!$C$59/10), F31/'Form 2'!$C$59/10, "N/A")</f>
        <v>N/A</v>
      </c>
      <c r="H31" s="365" t="str">
        <f>IF(ISNUMBER((G31-E31)/E31),(G31-E31)/E31,"N/A")</f>
        <v>N/A</v>
      </c>
    </row>
    <row r="32" spans="3:8" ht="16">
      <c r="C32" s="540" t="s">
        <v>2270</v>
      </c>
      <c r="D32" s="541">
        <v>7650121914.4493427</v>
      </c>
      <c r="E32" s="542">
        <v>2.9063398817475052</v>
      </c>
      <c r="F32" s="541">
        <f>'Form 2'!C25</f>
        <v>0</v>
      </c>
      <c r="G32" s="542" t="str">
        <f>IF(ISNUMBER(F32/'Form 2'!$C$59/10), F32/'Form 2'!$C$59/10, "N/A")</f>
        <v>N/A</v>
      </c>
      <c r="H32" s="365" t="str">
        <f t="shared" si="1"/>
        <v>N/A</v>
      </c>
    </row>
    <row r="33" spans="3:8" ht="16">
      <c r="C33" s="539" t="s">
        <v>2468</v>
      </c>
      <c r="D33" s="367">
        <v>6417461261.9540396</v>
      </c>
      <c r="E33" s="363">
        <v>2.4380426630794716</v>
      </c>
      <c r="F33" s="367">
        <f>'Form 2'!C39</f>
        <v>0</v>
      </c>
      <c r="G33" s="363" t="str">
        <f>IF(ISNUMBER(F33/'Form 2'!$C$59/10), F33/'Form 2'!$C$59/10, "N/A")</f>
        <v>N/A</v>
      </c>
      <c r="H33" s="365" t="str">
        <f>IF(ISNUMBER((G33-E33)/E33),(G33-E33)/E33,"N/A")</f>
        <v>N/A</v>
      </c>
    </row>
    <row r="34" spans="3:8" ht="16">
      <c r="C34" s="540" t="s">
        <v>2271</v>
      </c>
      <c r="D34" s="541">
        <v>6336680604.4320831</v>
      </c>
      <c r="E34" s="542">
        <v>2.4073534728606316</v>
      </c>
      <c r="F34" s="541">
        <f>'Form 2'!C32</f>
        <v>0</v>
      </c>
      <c r="G34" s="542" t="str">
        <f>IF(ISNUMBER(F34/'Form 2'!$C$59/10), F34/'Form 2'!$C$59/10, "N/A")</f>
        <v>N/A</v>
      </c>
      <c r="H34" s="365" t="str">
        <f>IF(ISNUMBER((G34-E34)/E34),(G34-E34)/E34,"N/A")</f>
        <v>N/A</v>
      </c>
    </row>
    <row r="35" spans="3:8" ht="16">
      <c r="C35" s="539" t="s">
        <v>2272</v>
      </c>
      <c r="D35" s="367">
        <v>5379050475.5477428</v>
      </c>
      <c r="E35" s="363">
        <v>2.043542455642366</v>
      </c>
      <c r="F35" s="367">
        <f>'Form 2'!C13</f>
        <v>0</v>
      </c>
      <c r="G35" s="363" t="str">
        <f>IF(ISNUMBER(F35/'Form 2'!$C$59/10), F35/'Form 2'!$C$59/10, "N/A")</f>
        <v>N/A</v>
      </c>
      <c r="H35" s="365" t="str">
        <f t="shared" si="1"/>
        <v>N/A</v>
      </c>
    </row>
    <row r="36" spans="3:8" ht="16">
      <c r="C36" s="543" t="s">
        <v>2467</v>
      </c>
      <c r="D36" s="541">
        <v>1374391119.7594001</v>
      </c>
      <c r="E36" s="542">
        <v>0.52214170821666939</v>
      </c>
      <c r="F36" s="541">
        <f>'Form 2'!C41</f>
        <v>0</v>
      </c>
      <c r="G36" s="542" t="str">
        <f>IF(ISNUMBER(F36/'Form 2'!$C$59/10), F36/'Form 2'!$C$59/10, "N/A")</f>
        <v>N/A</v>
      </c>
      <c r="H36" s="365" t="str">
        <f t="shared" si="1"/>
        <v>N/A</v>
      </c>
    </row>
    <row r="37" spans="3:8" ht="16">
      <c r="C37" s="539" t="s">
        <v>2407</v>
      </c>
      <c r="D37" s="367">
        <v>187520817.4695321</v>
      </c>
      <c r="E37" s="363">
        <v>7.1240594145331945E-2</v>
      </c>
      <c r="F37" s="367">
        <f>'Form 2'!C10</f>
        <v>0</v>
      </c>
      <c r="G37" s="363" t="str">
        <f>IF(ISNUMBER(F37/'Form 2'!$C$59/10), F37/'Form 2'!$C$59/10, "N/A")</f>
        <v>N/A</v>
      </c>
      <c r="H37" s="365" t="str">
        <f t="shared" si="1"/>
        <v>N/A</v>
      </c>
    </row>
    <row r="38" spans="3:8" ht="17" thickBot="1">
      <c r="C38" s="310" t="s">
        <v>1849</v>
      </c>
      <c r="D38" s="369">
        <v>123759794534.14653</v>
      </c>
      <c r="E38" s="520">
        <f>SUM(E25:E37)</f>
        <v>47.017293401834301</v>
      </c>
      <c r="F38" s="519">
        <f>SUM(F25:F37)</f>
        <v>0</v>
      </c>
      <c r="G38" s="500" t="str">
        <f>IF(ISNUMBER(F38/'Form 2'!$C$59/10), F38/'Form 2'!$C$59/10, "N/A")</f>
        <v>N/A</v>
      </c>
      <c r="H38" s="366" t="str">
        <f t="shared" si="1"/>
        <v>N/A</v>
      </c>
    </row>
    <row r="39" spans="3:8">
      <c r="C39" s="311" t="s">
        <v>2476</v>
      </c>
    </row>
    <row r="40" spans="3:8">
      <c r="C40" s="297"/>
    </row>
    <row r="41" spans="3:8">
      <c r="C41" s="297"/>
    </row>
    <row r="56" spans="3:9" ht="13.5" customHeight="1">
      <c r="C56" s="735"/>
      <c r="D56" s="735"/>
      <c r="E56" s="735"/>
      <c r="F56" s="735"/>
      <c r="G56" s="735"/>
      <c r="H56" s="735"/>
      <c r="I56" s="735"/>
    </row>
    <row r="57" spans="3:9" ht="77.25" customHeight="1">
      <c r="C57" s="736" t="s">
        <v>2286</v>
      </c>
      <c r="D57" s="736"/>
      <c r="E57" s="736"/>
      <c r="F57" s="736"/>
      <c r="G57" s="736"/>
      <c r="H57" s="736"/>
      <c r="I57" s="736"/>
    </row>
  </sheetData>
  <sheetProtection algorithmName="SHA-512" hashValue="zk1NXSC5B1wcSYunzijv41VvTqCqEXS8Yi7H6veTA+NQBk0DEWszw7csS98r4ZjMd7xzZH4D1BwB8dkTObkiXQ==" saltValue="QXfVIYppFGKqQl/gxtJTIA==" spinCount="100000" sheet="1" objects="1" scenarios="1"/>
  <mergeCells count="7">
    <mergeCell ref="C4:C5"/>
    <mergeCell ref="C23:C24"/>
    <mergeCell ref="C56:I56"/>
    <mergeCell ref="C57:I57"/>
    <mergeCell ref="D23:E23"/>
    <mergeCell ref="F23:G23"/>
    <mergeCell ref="H23:H24"/>
  </mergeCells>
  <conditionalFormatting sqref="F6:F16">
    <cfRule type="containsText" dxfId="76" priority="1" stopIfTrue="1" operator="containsText" text="N/A">
      <formula>NOT(ISERROR(SEARCH("N/A",F6)))</formula>
    </cfRule>
    <cfRule type="cellIs" dxfId="75" priority="2" stopIfTrue="1" operator="lessThan">
      <formula>0</formula>
    </cfRule>
    <cfRule type="cellIs" dxfId="74" priority="3" stopIfTrue="1" operator="greaterThan">
      <formula>0</formula>
    </cfRule>
    <cfRule type="containsText" dxfId="73" priority="7" stopIfTrue="1" operator="containsText" text="N/A">
      <formula>NOT(ISERROR(SEARCH("N/A",F6)))</formula>
    </cfRule>
    <cfRule type="cellIs" dxfId="72" priority="9" stopIfTrue="1" operator="lessThan">
      <formula>0</formula>
    </cfRule>
    <cfRule type="cellIs" dxfId="71" priority="10" stopIfTrue="1" operator="greaterThan">
      <formula>0</formula>
    </cfRule>
  </conditionalFormatting>
  <conditionalFormatting sqref="H25:H38">
    <cfRule type="containsText" dxfId="70" priority="4" stopIfTrue="1" operator="containsText" text="N/A">
      <formula>NOT(ISERROR(SEARCH("N/A",H25)))</formula>
    </cfRule>
    <cfRule type="cellIs" dxfId="69" priority="5" stopIfTrue="1" operator="lessThan">
      <formula>0</formula>
    </cfRule>
    <cfRule type="cellIs" dxfId="68" priority="6" stopIfTrue="1" operator="greaterThan">
      <formula>0</formula>
    </cfRule>
  </conditionalFormatting>
  <pageMargins left="0.7" right="0.7" top="0.75" bottom="0.75" header="0.3" footer="0.3"/>
  <pageSetup orientation="portrait" r:id="rId1"/>
  <ignoredErrors>
    <ignoredError sqref="F9" formula="1"/>
  </ignoredError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BT524"/>
  <sheetViews>
    <sheetView workbookViewId="0">
      <pane xSplit="3" ySplit="34" topLeftCell="D35" activePane="bottomRight" state="frozen"/>
      <selection pane="topRight" activeCell="D1" sqref="D1"/>
      <selection pane="bottomLeft" activeCell="A35" sqref="A35"/>
      <selection pane="bottomRight" activeCell="S35" sqref="S35"/>
    </sheetView>
  </sheetViews>
  <sheetFormatPr baseColWidth="10" defaultColWidth="8.83203125" defaultRowHeight="13"/>
  <cols>
    <col min="1" max="1" width="4.5" customWidth="1"/>
    <col min="2" max="2" width="30" customWidth="1"/>
    <col min="3" max="3" width="11.6640625" customWidth="1"/>
    <col min="4" max="19" width="14.6640625" customWidth="1"/>
    <col min="20" max="20" width="15.5" bestFit="1" customWidth="1"/>
    <col min="21" max="54" width="14.6640625" customWidth="1"/>
  </cols>
  <sheetData>
    <row r="1" spans="1:72" s="102" customFormat="1" ht="67.5" customHeight="1" thickBot="1">
      <c r="A1" s="112"/>
      <c r="B1" s="112"/>
      <c r="C1" s="112"/>
      <c r="D1" s="137" t="s">
        <v>2423</v>
      </c>
      <c r="E1" s="137"/>
      <c r="F1" s="137"/>
      <c r="G1" s="137"/>
      <c r="H1" s="138"/>
      <c r="I1" s="138"/>
      <c r="J1" s="743" t="s">
        <v>2458</v>
      </c>
      <c r="K1" s="743"/>
      <c r="L1" s="743"/>
      <c r="M1" s="743"/>
      <c r="N1" s="743"/>
      <c r="O1" s="532"/>
      <c r="P1" s="532"/>
      <c r="Q1" s="139"/>
      <c r="R1" s="139"/>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c r="BC1" s="140"/>
      <c r="BD1" s="143"/>
      <c r="BE1" s="143"/>
      <c r="BF1" s="143"/>
      <c r="BG1" s="143"/>
      <c r="BH1" s="143"/>
      <c r="BI1" s="143"/>
      <c r="BJ1" s="143"/>
      <c r="BK1" s="143"/>
      <c r="BL1" s="143"/>
      <c r="BM1" s="143"/>
      <c r="BN1" s="143"/>
      <c r="BO1" s="143"/>
      <c r="BP1" s="143"/>
      <c r="BQ1" s="143"/>
      <c r="BR1" s="143"/>
      <c r="BS1" s="143"/>
      <c r="BT1" s="143"/>
    </row>
    <row r="2" spans="1:72" ht="14" hidden="1" thickTop="1"/>
    <row r="3" spans="1:72" ht="29" hidden="1">
      <c r="B3" s="489" t="s">
        <v>2485</v>
      </c>
      <c r="C3" s="489" t="s">
        <v>2427</v>
      </c>
      <c r="D3" s="490" t="s">
        <v>2403</v>
      </c>
      <c r="E3" s="497" t="s">
        <v>2486</v>
      </c>
      <c r="F3" s="497"/>
      <c r="G3" s="490" t="s">
        <v>2404</v>
      </c>
      <c r="H3" s="497" t="s">
        <v>2487</v>
      </c>
      <c r="I3" s="497"/>
      <c r="J3" s="490" t="s">
        <v>2092</v>
      </c>
      <c r="K3" s="490"/>
      <c r="L3" s="490"/>
      <c r="M3" s="490" t="s">
        <v>2146</v>
      </c>
      <c r="N3" s="490"/>
      <c r="O3" s="490"/>
      <c r="P3" s="490" t="s">
        <v>986</v>
      </c>
      <c r="Q3" s="490"/>
      <c r="R3" s="490"/>
      <c r="S3" s="490" t="s">
        <v>988</v>
      </c>
      <c r="T3" s="490"/>
      <c r="U3" s="490"/>
      <c r="V3" s="490" t="s">
        <v>2152</v>
      </c>
      <c r="W3" s="490"/>
      <c r="X3" s="490"/>
      <c r="Y3" s="490" t="s">
        <v>1058</v>
      </c>
      <c r="Z3" s="490"/>
      <c r="AA3" s="490"/>
      <c r="AB3" s="490" t="s">
        <v>2093</v>
      </c>
      <c r="AC3" s="490"/>
      <c r="AD3" s="490"/>
      <c r="AE3" s="490" t="s">
        <v>415</v>
      </c>
      <c r="AF3" s="490"/>
      <c r="AG3" s="490"/>
      <c r="AH3" s="490" t="s">
        <v>1057</v>
      </c>
      <c r="AI3" s="490"/>
      <c r="AJ3" s="490"/>
      <c r="AK3" s="490" t="s">
        <v>385</v>
      </c>
      <c r="AL3" s="490"/>
      <c r="AM3" s="490"/>
      <c r="AN3" s="490" t="s">
        <v>2405</v>
      </c>
      <c r="AO3" s="490"/>
      <c r="AP3" s="490"/>
      <c r="AQ3" s="490" t="s">
        <v>2141</v>
      </c>
      <c r="AR3" s="490"/>
      <c r="AS3" s="490"/>
      <c r="AT3" s="490" t="s">
        <v>2406</v>
      </c>
      <c r="AU3" s="490"/>
      <c r="AV3" s="490"/>
      <c r="AW3" s="490" t="s">
        <v>2098</v>
      </c>
      <c r="AX3" s="490"/>
      <c r="AY3" s="490"/>
      <c r="AZ3" s="490" t="s">
        <v>2235</v>
      </c>
      <c r="BA3" s="490"/>
      <c r="BB3" s="490"/>
      <c r="BC3" s="491"/>
    </row>
    <row r="4" spans="1:72" ht="15" hidden="1">
      <c r="B4" s="492" t="s">
        <v>2266</v>
      </c>
      <c r="C4" s="492" t="s">
        <v>2424</v>
      </c>
      <c r="D4" s="552">
        <v>1279732132.8299813</v>
      </c>
      <c r="E4" s="493">
        <v>0</v>
      </c>
      <c r="F4" s="493"/>
      <c r="G4" s="493">
        <v>1508498310.5610366</v>
      </c>
      <c r="H4" s="493">
        <v>0</v>
      </c>
      <c r="I4" s="493"/>
      <c r="J4" s="493">
        <v>1021374192.0440911</v>
      </c>
      <c r="K4" s="493">
        <v>0</v>
      </c>
      <c r="L4" s="493"/>
      <c r="M4" s="493">
        <v>854716273.40956199</v>
      </c>
      <c r="N4" s="493">
        <v>0</v>
      </c>
      <c r="O4" s="493"/>
      <c r="P4" s="493">
        <v>365975059.59689343</v>
      </c>
      <c r="Q4" s="493">
        <v>0</v>
      </c>
      <c r="R4" s="493"/>
      <c r="S4" s="493">
        <v>629891483.47915542</v>
      </c>
      <c r="T4" s="493">
        <v>0</v>
      </c>
      <c r="U4" s="493"/>
      <c r="V4" s="493">
        <v>130362419.82051773</v>
      </c>
      <c r="W4" s="493">
        <v>0</v>
      </c>
      <c r="X4" s="493"/>
      <c r="Y4" s="493">
        <v>275627267.52766377</v>
      </c>
      <c r="Z4" s="493">
        <v>0</v>
      </c>
      <c r="AA4" s="493"/>
      <c r="AB4" s="493">
        <v>343644171.7754609</v>
      </c>
      <c r="AC4" s="493">
        <v>0</v>
      </c>
      <c r="AD4" s="493"/>
      <c r="AE4" s="493">
        <v>76713238.076037288</v>
      </c>
      <c r="AF4" s="493">
        <v>0</v>
      </c>
      <c r="AG4" s="493"/>
      <c r="AH4" s="493">
        <v>39827646.084107153</v>
      </c>
      <c r="AI4" s="493">
        <v>0</v>
      </c>
      <c r="AJ4" s="493"/>
      <c r="AK4" s="493">
        <v>59157903.89703548</v>
      </c>
      <c r="AL4" s="493">
        <v>0</v>
      </c>
      <c r="AM4" s="493"/>
      <c r="AN4" s="493">
        <v>331590939.63041419</v>
      </c>
      <c r="AO4" s="493">
        <v>0</v>
      </c>
      <c r="AP4" s="493"/>
      <c r="AQ4" s="493">
        <v>157133282.65577441</v>
      </c>
      <c r="AR4" s="493">
        <v>0</v>
      </c>
      <c r="AS4" s="493"/>
      <c r="AT4" s="493">
        <v>18681151.370707683</v>
      </c>
      <c r="AU4" s="493">
        <v>0</v>
      </c>
      <c r="AV4" s="493"/>
      <c r="AW4" s="493">
        <v>263900033.8350139</v>
      </c>
      <c r="AX4" s="493">
        <v>0</v>
      </c>
      <c r="AY4" s="493"/>
      <c r="AZ4" s="493">
        <v>353258480.94240594</v>
      </c>
      <c r="BA4" s="493">
        <v>0</v>
      </c>
      <c r="BB4" s="493"/>
      <c r="BC4" s="491"/>
    </row>
    <row r="5" spans="1:72" ht="15" hidden="1">
      <c r="B5" s="492" t="s">
        <v>2263</v>
      </c>
      <c r="C5" s="492" t="s">
        <v>2428</v>
      </c>
      <c r="D5" s="552">
        <v>4515639748.2881479</v>
      </c>
      <c r="E5" s="493">
        <v>0</v>
      </c>
      <c r="F5" s="493"/>
      <c r="G5" s="493">
        <v>3202653268.0350618</v>
      </c>
      <c r="H5" s="493">
        <v>0</v>
      </c>
      <c r="I5" s="493"/>
      <c r="J5" s="493">
        <v>4529881305.0749445</v>
      </c>
      <c r="K5" s="493">
        <v>0</v>
      </c>
      <c r="L5" s="493"/>
      <c r="M5" s="493">
        <v>4553095267.0872021</v>
      </c>
      <c r="N5" s="493">
        <v>0</v>
      </c>
      <c r="O5" s="493"/>
      <c r="P5" s="493">
        <v>934498078.73527086</v>
      </c>
      <c r="Q5" s="493">
        <v>0</v>
      </c>
      <c r="R5" s="493"/>
      <c r="S5" s="493">
        <v>2408587900.7663808</v>
      </c>
      <c r="T5" s="493">
        <v>0</v>
      </c>
      <c r="U5" s="493"/>
      <c r="V5" s="493">
        <v>164871075.58325842</v>
      </c>
      <c r="W5" s="493">
        <v>0</v>
      </c>
      <c r="X5" s="493"/>
      <c r="Y5" s="493">
        <v>586374847.41492844</v>
      </c>
      <c r="Z5" s="493">
        <v>0</v>
      </c>
      <c r="AA5" s="493"/>
      <c r="AB5" s="493">
        <v>1245318757.365994</v>
      </c>
      <c r="AC5" s="493">
        <v>0</v>
      </c>
      <c r="AD5" s="493"/>
      <c r="AE5" s="493">
        <v>164533650.19654977</v>
      </c>
      <c r="AF5" s="493">
        <v>0</v>
      </c>
      <c r="AG5" s="493"/>
      <c r="AH5" s="493">
        <v>99659069.066791326</v>
      </c>
      <c r="AI5" s="493">
        <v>0</v>
      </c>
      <c r="AJ5" s="493"/>
      <c r="AK5" s="493">
        <v>63589129.965191558</v>
      </c>
      <c r="AL5" s="493">
        <v>0</v>
      </c>
      <c r="AM5" s="493"/>
      <c r="AN5" s="493">
        <v>1352827210.2241886</v>
      </c>
      <c r="AO5" s="493">
        <v>0</v>
      </c>
      <c r="AP5" s="493"/>
      <c r="AQ5" s="493">
        <v>649378014.08925164</v>
      </c>
      <c r="AR5" s="493">
        <v>0</v>
      </c>
      <c r="AS5" s="493"/>
      <c r="AT5" s="493">
        <v>66461458.318762287</v>
      </c>
      <c r="AU5" s="493">
        <v>0</v>
      </c>
      <c r="AV5" s="493"/>
      <c r="AW5" s="493">
        <v>1583507426.5124304</v>
      </c>
      <c r="AX5" s="493">
        <v>0</v>
      </c>
      <c r="AY5" s="493"/>
      <c r="AZ5" s="493">
        <v>1637978572.3541679</v>
      </c>
      <c r="BA5" s="493">
        <v>0</v>
      </c>
      <c r="BB5" s="493"/>
      <c r="BC5" s="491"/>
    </row>
    <row r="6" spans="1:72" ht="15" hidden="1">
      <c r="B6" s="492" t="s">
        <v>2407</v>
      </c>
      <c r="C6" s="492" t="s">
        <v>2425</v>
      </c>
      <c r="D6" s="552">
        <v>37303704.178842314</v>
      </c>
      <c r="E6" s="493">
        <v>0</v>
      </c>
      <c r="F6" s="493"/>
      <c r="G6" s="493">
        <v>18530630.773471508</v>
      </c>
      <c r="H6" s="493">
        <v>0</v>
      </c>
      <c r="I6" s="493"/>
      <c r="J6" s="493">
        <v>20407972.89120508</v>
      </c>
      <c r="K6" s="493">
        <v>0</v>
      </c>
      <c r="L6" s="493"/>
      <c r="M6" s="493">
        <v>25422258.812026262</v>
      </c>
      <c r="N6" s="493">
        <v>0</v>
      </c>
      <c r="O6" s="493"/>
      <c r="P6" s="493">
        <v>6354204.5852664728</v>
      </c>
      <c r="Q6" s="493">
        <v>0</v>
      </c>
      <c r="R6" s="493"/>
      <c r="S6" s="493">
        <v>7950598.7016900657</v>
      </c>
      <c r="T6" s="493">
        <v>0</v>
      </c>
      <c r="U6" s="493"/>
      <c r="V6" s="493">
        <v>1713869.0290380027</v>
      </c>
      <c r="W6" s="493">
        <v>0</v>
      </c>
      <c r="X6" s="493"/>
      <c r="Y6" s="493">
        <v>2542118.7827480384</v>
      </c>
      <c r="Z6" s="493">
        <v>0</v>
      </c>
      <c r="AA6" s="493"/>
      <c r="AB6" s="493">
        <v>3468410.7524157092</v>
      </c>
      <c r="AC6" s="493">
        <v>0</v>
      </c>
      <c r="AD6" s="493"/>
      <c r="AE6" s="493">
        <v>503245.39003443345</v>
      </c>
      <c r="AF6" s="493">
        <v>0</v>
      </c>
      <c r="AG6" s="493"/>
      <c r="AH6" s="493">
        <v>710153.47367442073</v>
      </c>
      <c r="AI6" s="493">
        <v>0</v>
      </c>
      <c r="AJ6" s="493"/>
      <c r="AK6" s="493">
        <v>2744554.5094547849</v>
      </c>
      <c r="AL6" s="493">
        <v>0</v>
      </c>
      <c r="AM6" s="493"/>
      <c r="AN6" s="493">
        <v>4703103.6663190648</v>
      </c>
      <c r="AO6" s="493">
        <v>0</v>
      </c>
      <c r="AP6" s="493"/>
      <c r="AQ6" s="493">
        <v>3272941.2035480984</v>
      </c>
      <c r="AR6" s="493">
        <v>0</v>
      </c>
      <c r="AS6" s="493"/>
      <c r="AT6" s="493">
        <v>848064.3684545221</v>
      </c>
      <c r="AU6" s="493">
        <v>0</v>
      </c>
      <c r="AV6" s="493"/>
      <c r="AW6" s="493">
        <v>12606987.361212132</v>
      </c>
      <c r="AX6" s="493">
        <v>0</v>
      </c>
      <c r="AY6" s="493"/>
      <c r="AZ6" s="493">
        <v>11295106.48424794</v>
      </c>
      <c r="BA6" s="493">
        <v>0</v>
      </c>
      <c r="BB6" s="493"/>
      <c r="BC6" s="491"/>
    </row>
    <row r="7" spans="1:72" ht="15" hidden="1">
      <c r="B7" s="492" t="s">
        <v>2269</v>
      </c>
      <c r="C7" s="492" t="s">
        <v>2426</v>
      </c>
      <c r="D7" s="552">
        <v>2850694933.6215005</v>
      </c>
      <c r="E7" s="493">
        <v>0</v>
      </c>
      <c r="F7" s="493"/>
      <c r="G7" s="493">
        <v>1535287230.4420381</v>
      </c>
      <c r="H7" s="493">
        <v>0</v>
      </c>
      <c r="I7" s="493"/>
      <c r="J7" s="493">
        <v>2267183025.9104123</v>
      </c>
      <c r="K7" s="493">
        <v>0</v>
      </c>
      <c r="L7" s="493"/>
      <c r="M7" s="493">
        <v>2363827299.6222162</v>
      </c>
      <c r="N7" s="493">
        <v>0</v>
      </c>
      <c r="O7" s="493"/>
      <c r="P7" s="493">
        <v>448287665.9928171</v>
      </c>
      <c r="Q7" s="493">
        <v>0</v>
      </c>
      <c r="R7" s="493"/>
      <c r="S7" s="493">
        <v>976835612.69986033</v>
      </c>
      <c r="T7" s="493">
        <v>0</v>
      </c>
      <c r="U7" s="493"/>
      <c r="V7" s="493">
        <v>204959856.11298382</v>
      </c>
      <c r="W7" s="493">
        <v>0</v>
      </c>
      <c r="X7" s="493"/>
      <c r="Y7" s="493">
        <v>368408153.72781187</v>
      </c>
      <c r="Z7" s="493">
        <v>0</v>
      </c>
      <c r="AA7" s="493"/>
      <c r="AB7" s="493">
        <v>295499790.41386735</v>
      </c>
      <c r="AC7" s="493">
        <v>0</v>
      </c>
      <c r="AD7" s="493"/>
      <c r="AE7" s="493">
        <v>149763285.89195767</v>
      </c>
      <c r="AF7" s="493">
        <v>0</v>
      </c>
      <c r="AG7" s="493"/>
      <c r="AH7" s="493">
        <v>81451903.837621361</v>
      </c>
      <c r="AI7" s="493">
        <v>0</v>
      </c>
      <c r="AJ7" s="493"/>
      <c r="AK7" s="493">
        <v>151495468.90046746</v>
      </c>
      <c r="AL7" s="493">
        <v>0</v>
      </c>
      <c r="AM7" s="493"/>
      <c r="AN7" s="493">
        <v>350215343.62720138</v>
      </c>
      <c r="AO7" s="493">
        <v>0</v>
      </c>
      <c r="AP7" s="493"/>
      <c r="AQ7" s="493">
        <v>201415392.70584112</v>
      </c>
      <c r="AR7" s="493">
        <v>0</v>
      </c>
      <c r="AS7" s="493"/>
      <c r="AT7" s="493">
        <v>19216804.951350275</v>
      </c>
      <c r="AU7" s="493">
        <v>0</v>
      </c>
      <c r="AV7" s="493"/>
      <c r="AW7" s="493">
        <v>740350181.26997733</v>
      </c>
      <c r="AX7" s="493">
        <v>0</v>
      </c>
      <c r="AY7" s="493"/>
      <c r="AZ7" s="493">
        <v>1064161567.9192344</v>
      </c>
      <c r="BA7" s="493">
        <v>0</v>
      </c>
      <c r="BB7" s="493"/>
      <c r="BC7" s="491"/>
    </row>
    <row r="8" spans="1:72" ht="15" hidden="1">
      <c r="B8" s="492" t="s">
        <v>2272</v>
      </c>
      <c r="C8" s="492" t="s">
        <v>2429</v>
      </c>
      <c r="D8" s="552">
        <v>777877088.90756512</v>
      </c>
      <c r="E8" s="493">
        <v>0</v>
      </c>
      <c r="F8" s="493"/>
      <c r="G8" s="493">
        <v>681054310.36131287</v>
      </c>
      <c r="H8" s="493">
        <v>0</v>
      </c>
      <c r="I8" s="493"/>
      <c r="J8" s="493">
        <v>775233582.10055673</v>
      </c>
      <c r="K8" s="493">
        <v>0</v>
      </c>
      <c r="L8" s="493"/>
      <c r="M8" s="493">
        <v>701559572.22403157</v>
      </c>
      <c r="N8" s="493">
        <v>0</v>
      </c>
      <c r="O8" s="493"/>
      <c r="P8" s="493">
        <v>231609504.4090175</v>
      </c>
      <c r="Q8" s="493">
        <v>0</v>
      </c>
      <c r="R8" s="493"/>
      <c r="S8" s="493">
        <v>515454442.57238168</v>
      </c>
      <c r="T8" s="493">
        <v>0</v>
      </c>
      <c r="U8" s="493"/>
      <c r="V8" s="493">
        <v>52374031.824061871</v>
      </c>
      <c r="W8" s="493">
        <v>0</v>
      </c>
      <c r="X8" s="493"/>
      <c r="Y8" s="493">
        <v>66369316.043783255</v>
      </c>
      <c r="Z8" s="493">
        <v>0</v>
      </c>
      <c r="AA8" s="493"/>
      <c r="AB8" s="493">
        <v>237884900.46186978</v>
      </c>
      <c r="AC8" s="493">
        <v>0</v>
      </c>
      <c r="AD8" s="493"/>
      <c r="AE8" s="493">
        <v>19786295.498878792</v>
      </c>
      <c r="AF8" s="493">
        <v>0</v>
      </c>
      <c r="AG8" s="493"/>
      <c r="AH8" s="493">
        <v>13593806.279399443</v>
      </c>
      <c r="AI8" s="493">
        <v>0</v>
      </c>
      <c r="AJ8" s="493"/>
      <c r="AK8" s="493">
        <v>13716447.807558613</v>
      </c>
      <c r="AL8" s="493">
        <v>0</v>
      </c>
      <c r="AM8" s="493"/>
      <c r="AN8" s="493">
        <v>219434558.71671927</v>
      </c>
      <c r="AO8" s="493">
        <v>0</v>
      </c>
      <c r="AP8" s="493"/>
      <c r="AQ8" s="493">
        <v>96952452.974765509</v>
      </c>
      <c r="AR8" s="493">
        <v>0</v>
      </c>
      <c r="AS8" s="493"/>
      <c r="AT8" s="493">
        <v>22423148.850551654</v>
      </c>
      <c r="AU8" s="493">
        <v>0</v>
      </c>
      <c r="AV8" s="493"/>
      <c r="AW8" s="493">
        <v>220569500.71010596</v>
      </c>
      <c r="AX8" s="493">
        <v>0</v>
      </c>
      <c r="AY8" s="493"/>
      <c r="AZ8" s="493">
        <v>321271424.15898991</v>
      </c>
      <c r="BA8" s="493">
        <v>0</v>
      </c>
      <c r="BB8" s="493"/>
      <c r="BC8" s="491"/>
    </row>
    <row r="9" spans="1:72" ht="15" hidden="1">
      <c r="B9" s="492" t="s">
        <v>2264</v>
      </c>
      <c r="C9" s="492" t="s">
        <v>2430</v>
      </c>
      <c r="D9" s="552">
        <v>1812613178.1516483</v>
      </c>
      <c r="E9" s="493">
        <v>0</v>
      </c>
      <c r="F9" s="493"/>
      <c r="G9" s="493">
        <v>2120879163.4402375</v>
      </c>
      <c r="H9" s="493">
        <v>0</v>
      </c>
      <c r="I9" s="493"/>
      <c r="J9" s="493">
        <v>2073897094.3540723</v>
      </c>
      <c r="K9" s="493">
        <v>0</v>
      </c>
      <c r="L9" s="493"/>
      <c r="M9" s="493">
        <v>1722730360.7997236</v>
      </c>
      <c r="N9" s="493">
        <v>0</v>
      </c>
      <c r="O9" s="493"/>
      <c r="P9" s="493">
        <v>609037776.89262259</v>
      </c>
      <c r="Q9" s="493">
        <v>0</v>
      </c>
      <c r="R9" s="493"/>
      <c r="S9" s="493">
        <v>1197977441.804095</v>
      </c>
      <c r="T9" s="493">
        <v>0</v>
      </c>
      <c r="U9" s="493"/>
      <c r="V9" s="493">
        <v>196012851.32561499</v>
      </c>
      <c r="W9" s="493">
        <v>0</v>
      </c>
      <c r="X9" s="493"/>
      <c r="Y9" s="493">
        <v>404357405.91637874</v>
      </c>
      <c r="Z9" s="493">
        <v>0</v>
      </c>
      <c r="AA9" s="493"/>
      <c r="AB9" s="493">
        <v>605808139.22547317</v>
      </c>
      <c r="AC9" s="493">
        <v>0</v>
      </c>
      <c r="AD9" s="493"/>
      <c r="AE9" s="493">
        <v>73508315.712377757</v>
      </c>
      <c r="AF9" s="493">
        <v>0</v>
      </c>
      <c r="AG9" s="493"/>
      <c r="AH9" s="493">
        <v>80334666.661605105</v>
      </c>
      <c r="AI9" s="493">
        <v>0</v>
      </c>
      <c r="AJ9" s="493"/>
      <c r="AK9" s="493">
        <v>202207185.62876663</v>
      </c>
      <c r="AL9" s="493">
        <v>0</v>
      </c>
      <c r="AM9" s="493"/>
      <c r="AN9" s="493">
        <v>377753022.56523633</v>
      </c>
      <c r="AO9" s="493">
        <v>0</v>
      </c>
      <c r="AP9" s="493"/>
      <c r="AQ9" s="493">
        <v>277158180.33444166</v>
      </c>
      <c r="AR9" s="493">
        <v>0</v>
      </c>
      <c r="AS9" s="493"/>
      <c r="AT9" s="493">
        <v>31649490.474073853</v>
      </c>
      <c r="AU9" s="493">
        <v>0</v>
      </c>
      <c r="AV9" s="493"/>
      <c r="AW9" s="493">
        <v>537542634.67668819</v>
      </c>
      <c r="AX9" s="493">
        <v>0</v>
      </c>
      <c r="AY9" s="493"/>
      <c r="AZ9" s="493">
        <v>763059403.56818247</v>
      </c>
      <c r="BA9" s="493">
        <v>0</v>
      </c>
      <c r="BB9" s="493"/>
      <c r="BC9" s="491"/>
    </row>
    <row r="10" spans="1:72" ht="15" hidden="1">
      <c r="B10" s="492" t="s">
        <v>2270</v>
      </c>
      <c r="C10" s="492" t="s">
        <v>2431</v>
      </c>
      <c r="D10" s="552">
        <v>1064166770.0370564</v>
      </c>
      <c r="E10" s="493">
        <v>0</v>
      </c>
      <c r="F10" s="493"/>
      <c r="G10" s="493">
        <v>1295534970.6663125</v>
      </c>
      <c r="H10" s="493">
        <v>0</v>
      </c>
      <c r="I10" s="493"/>
      <c r="J10" s="493">
        <v>1051088168.3097872</v>
      </c>
      <c r="K10" s="493">
        <v>0</v>
      </c>
      <c r="L10" s="493"/>
      <c r="M10" s="493">
        <v>680294486.13340819</v>
      </c>
      <c r="N10" s="493">
        <v>0</v>
      </c>
      <c r="O10" s="493"/>
      <c r="P10" s="493">
        <v>388098764.01307374</v>
      </c>
      <c r="Q10" s="493">
        <v>0</v>
      </c>
      <c r="R10" s="493"/>
      <c r="S10" s="493">
        <v>864728800.24481916</v>
      </c>
      <c r="T10" s="493">
        <v>0</v>
      </c>
      <c r="U10" s="493"/>
      <c r="V10" s="493">
        <v>181909885.84510982</v>
      </c>
      <c r="W10" s="493">
        <v>0</v>
      </c>
      <c r="X10" s="493"/>
      <c r="Y10" s="493">
        <v>245404991.26287216</v>
      </c>
      <c r="Z10" s="493">
        <v>0</v>
      </c>
      <c r="AA10" s="493"/>
      <c r="AB10" s="493">
        <v>170947492.02172461</v>
      </c>
      <c r="AC10" s="493">
        <v>0</v>
      </c>
      <c r="AD10" s="493"/>
      <c r="AE10" s="493">
        <v>58285475.487875015</v>
      </c>
      <c r="AF10" s="493">
        <v>0</v>
      </c>
      <c r="AG10" s="493"/>
      <c r="AH10" s="493">
        <v>43427211.949227281</v>
      </c>
      <c r="AI10" s="493">
        <v>0</v>
      </c>
      <c r="AJ10" s="493"/>
      <c r="AK10" s="493">
        <v>26463932.857153438</v>
      </c>
      <c r="AL10" s="493">
        <v>0</v>
      </c>
      <c r="AM10" s="493"/>
      <c r="AN10" s="493">
        <v>243162788.00875777</v>
      </c>
      <c r="AO10" s="493">
        <v>0</v>
      </c>
      <c r="AP10" s="493"/>
      <c r="AQ10" s="493">
        <v>112054749.46977036</v>
      </c>
      <c r="AR10" s="493">
        <v>0</v>
      </c>
      <c r="AS10" s="493"/>
      <c r="AT10" s="493">
        <v>22336391.580772348</v>
      </c>
      <c r="AU10" s="493">
        <v>0</v>
      </c>
      <c r="AV10" s="493"/>
      <c r="AW10" s="493">
        <v>278026959.42871499</v>
      </c>
      <c r="AX10" s="493">
        <v>0</v>
      </c>
      <c r="AY10" s="493"/>
      <c r="AZ10" s="493">
        <v>317030083.10416114</v>
      </c>
      <c r="BA10" s="493">
        <v>0</v>
      </c>
      <c r="BB10" s="493"/>
      <c r="BC10" s="491"/>
    </row>
    <row r="11" spans="1:72" ht="15" hidden="1">
      <c r="B11" s="492" t="s">
        <v>2268</v>
      </c>
      <c r="C11" s="492" t="s">
        <v>2432</v>
      </c>
      <c r="D11" s="552">
        <v>1016088256.8105083</v>
      </c>
      <c r="E11" s="493">
        <v>0</v>
      </c>
      <c r="F11" s="493"/>
      <c r="G11" s="493">
        <v>1524474196.73436</v>
      </c>
      <c r="H11" s="493">
        <v>0</v>
      </c>
      <c r="I11" s="493"/>
      <c r="J11" s="493">
        <v>1204862820.2615623</v>
      </c>
      <c r="K11" s="493">
        <v>0</v>
      </c>
      <c r="L11" s="493"/>
      <c r="M11" s="493">
        <v>951050346.84433305</v>
      </c>
      <c r="N11" s="493">
        <v>0</v>
      </c>
      <c r="O11" s="493"/>
      <c r="P11" s="493">
        <v>504496153.59599566</v>
      </c>
      <c r="Q11" s="493">
        <v>0</v>
      </c>
      <c r="R11" s="493"/>
      <c r="S11" s="493">
        <v>1074184189.5454702</v>
      </c>
      <c r="T11" s="493">
        <v>0</v>
      </c>
      <c r="U11" s="493"/>
      <c r="V11" s="493">
        <v>98640922.708657593</v>
      </c>
      <c r="W11" s="493">
        <v>0</v>
      </c>
      <c r="X11" s="493"/>
      <c r="Y11" s="493">
        <v>171147597.99235934</v>
      </c>
      <c r="Z11" s="493">
        <v>0</v>
      </c>
      <c r="AA11" s="493"/>
      <c r="AB11" s="493">
        <v>246765977.35320139</v>
      </c>
      <c r="AC11" s="493">
        <v>0</v>
      </c>
      <c r="AD11" s="493"/>
      <c r="AE11" s="493">
        <v>53185525.602371484</v>
      </c>
      <c r="AF11" s="493">
        <v>0</v>
      </c>
      <c r="AG11" s="493"/>
      <c r="AH11" s="493">
        <v>36425345.404491618</v>
      </c>
      <c r="AI11" s="493">
        <v>0</v>
      </c>
      <c r="AJ11" s="493"/>
      <c r="AK11" s="493">
        <v>63091051.203151055</v>
      </c>
      <c r="AL11" s="493">
        <v>0</v>
      </c>
      <c r="AM11" s="493"/>
      <c r="AN11" s="493">
        <v>289147954.67009127</v>
      </c>
      <c r="AO11" s="493">
        <v>0</v>
      </c>
      <c r="AP11" s="493"/>
      <c r="AQ11" s="493">
        <v>114852452.28254315</v>
      </c>
      <c r="AR11" s="493">
        <v>0</v>
      </c>
      <c r="AS11" s="493"/>
      <c r="AT11" s="493">
        <v>24217467.113842927</v>
      </c>
      <c r="AU11" s="493">
        <v>0</v>
      </c>
      <c r="AV11" s="493"/>
      <c r="AW11" s="493">
        <v>230997183.12200737</v>
      </c>
      <c r="AX11" s="493">
        <v>0</v>
      </c>
      <c r="AY11" s="493"/>
      <c r="AZ11" s="493">
        <v>326684192.78456146</v>
      </c>
      <c r="BA11" s="493">
        <v>0</v>
      </c>
      <c r="BB11" s="493"/>
      <c r="BC11" s="491"/>
    </row>
    <row r="12" spans="1:72" ht="15" hidden="1">
      <c r="B12" s="492" t="s">
        <v>2410</v>
      </c>
      <c r="C12" s="492" t="s">
        <v>2433</v>
      </c>
      <c r="D12" s="553">
        <v>221623121.47111481</v>
      </c>
      <c r="E12" s="494">
        <v>0</v>
      </c>
      <c r="F12" s="494"/>
      <c r="G12" s="494">
        <v>169844119.7331394</v>
      </c>
      <c r="H12" s="494">
        <v>0</v>
      </c>
      <c r="I12" s="494"/>
      <c r="J12" s="494">
        <v>225995671.92411131</v>
      </c>
      <c r="K12" s="494">
        <v>0</v>
      </c>
      <c r="L12" s="494"/>
      <c r="M12" s="494">
        <v>236762640.70743877</v>
      </c>
      <c r="N12" s="494">
        <v>0</v>
      </c>
      <c r="O12" s="494"/>
      <c r="P12" s="494">
        <v>40481140.557558477</v>
      </c>
      <c r="Q12" s="494">
        <v>0</v>
      </c>
      <c r="R12" s="494"/>
      <c r="S12" s="494">
        <v>139212957.9436374</v>
      </c>
      <c r="T12" s="494">
        <v>0</v>
      </c>
      <c r="U12" s="494"/>
      <c r="V12" s="494">
        <v>6350600.0437224275</v>
      </c>
      <c r="W12" s="494">
        <v>0</v>
      </c>
      <c r="X12" s="494"/>
      <c r="Y12" s="494">
        <v>24584524.89757992</v>
      </c>
      <c r="Z12" s="494">
        <v>0</v>
      </c>
      <c r="AA12" s="494"/>
      <c r="AB12" s="494">
        <v>51671105.895999998</v>
      </c>
      <c r="AC12" s="494">
        <v>0</v>
      </c>
      <c r="AD12" s="494"/>
      <c r="AE12" s="494">
        <v>5307013.999223372</v>
      </c>
      <c r="AF12" s="494">
        <v>0</v>
      </c>
      <c r="AG12" s="494"/>
      <c r="AH12" s="494">
        <v>3450403.6360253696</v>
      </c>
      <c r="AI12" s="494">
        <v>0</v>
      </c>
      <c r="AJ12" s="494"/>
      <c r="AK12" s="494">
        <v>2391826.7479439997</v>
      </c>
      <c r="AL12" s="494">
        <v>0</v>
      </c>
      <c r="AM12" s="494"/>
      <c r="AN12" s="494">
        <v>61420061.727208018</v>
      </c>
      <c r="AO12" s="494">
        <v>0</v>
      </c>
      <c r="AP12" s="494"/>
      <c r="AQ12" s="494">
        <v>33146138.948224109</v>
      </c>
      <c r="AR12" s="494">
        <v>0</v>
      </c>
      <c r="AS12" s="494"/>
      <c r="AT12" s="494">
        <v>2787680.4002200002</v>
      </c>
      <c r="AU12" s="494">
        <v>0</v>
      </c>
      <c r="AV12" s="494"/>
      <c r="AW12" s="494">
        <v>70915536.682999998</v>
      </c>
      <c r="AX12" s="494">
        <v>0</v>
      </c>
      <c r="AY12" s="494"/>
      <c r="AZ12" s="494">
        <v>97964056.636413693</v>
      </c>
      <c r="BA12" s="494">
        <v>0</v>
      </c>
      <c r="BB12" s="494"/>
      <c r="BC12" s="491"/>
    </row>
    <row r="13" spans="1:72" ht="15" hidden="1">
      <c r="B13" s="492" t="s">
        <v>2411</v>
      </c>
      <c r="C13" s="492" t="s">
        <v>2434</v>
      </c>
      <c r="D13" s="554">
        <v>285354276.94358557</v>
      </c>
      <c r="E13" s="494">
        <v>0</v>
      </c>
      <c r="F13" s="494"/>
      <c r="G13" s="494">
        <v>211665758.93148446</v>
      </c>
      <c r="H13" s="494">
        <v>0</v>
      </c>
      <c r="I13" s="494"/>
      <c r="J13" s="494">
        <v>287393159.08554089</v>
      </c>
      <c r="K13" s="494">
        <v>0</v>
      </c>
      <c r="L13" s="494"/>
      <c r="M13" s="494">
        <v>301181985.12956476</v>
      </c>
      <c r="N13" s="494">
        <v>0</v>
      </c>
      <c r="O13" s="494"/>
      <c r="P13" s="494">
        <v>51389458.566132054</v>
      </c>
      <c r="Q13" s="494">
        <v>0</v>
      </c>
      <c r="R13" s="494"/>
      <c r="S13" s="494">
        <v>171810639.442803</v>
      </c>
      <c r="T13" s="494">
        <v>0</v>
      </c>
      <c r="U13" s="494"/>
      <c r="V13" s="494">
        <v>8644516.103047993</v>
      </c>
      <c r="W13" s="494">
        <v>0</v>
      </c>
      <c r="X13" s="494"/>
      <c r="Y13" s="494">
        <v>29734245.0038472</v>
      </c>
      <c r="Z13" s="494">
        <v>0</v>
      </c>
      <c r="AA13" s="494"/>
      <c r="AB13" s="494">
        <v>64102555.431999996</v>
      </c>
      <c r="AC13" s="494">
        <v>0</v>
      </c>
      <c r="AD13" s="494"/>
      <c r="AE13" s="494">
        <v>6946102.1103810165</v>
      </c>
      <c r="AF13" s="494">
        <v>0</v>
      </c>
      <c r="AG13" s="494"/>
      <c r="AH13" s="494">
        <v>4364701.1911989935</v>
      </c>
      <c r="AI13" s="494">
        <v>0</v>
      </c>
      <c r="AJ13" s="494"/>
      <c r="AK13" s="494">
        <v>3312093.591</v>
      </c>
      <c r="AL13" s="494">
        <v>0</v>
      </c>
      <c r="AM13" s="494"/>
      <c r="AN13" s="494">
        <v>73678453.170256212</v>
      </c>
      <c r="AO13" s="494">
        <v>0</v>
      </c>
      <c r="AP13" s="494"/>
      <c r="AQ13" s="494">
        <v>42628180.830110848</v>
      </c>
      <c r="AR13" s="494">
        <v>0</v>
      </c>
      <c r="AS13" s="494"/>
      <c r="AT13" s="494">
        <v>3732245.515519999</v>
      </c>
      <c r="AU13" s="494">
        <v>0</v>
      </c>
      <c r="AV13" s="494"/>
      <c r="AW13" s="494">
        <v>87149300.49000001</v>
      </c>
      <c r="AX13" s="494">
        <v>0</v>
      </c>
      <c r="AY13" s="494"/>
      <c r="AZ13" s="494">
        <v>128643981.47927538</v>
      </c>
      <c r="BA13" s="494">
        <v>0</v>
      </c>
      <c r="BB13" s="494"/>
      <c r="BC13" s="491"/>
    </row>
    <row r="14" spans="1:72" ht="15" hidden="1">
      <c r="B14" s="492" t="s">
        <v>2408</v>
      </c>
      <c r="C14" s="492" t="s">
        <v>2435</v>
      </c>
      <c r="D14" s="555">
        <v>22601870.559900019</v>
      </c>
      <c r="E14" s="494">
        <v>0</v>
      </c>
      <c r="F14" s="494"/>
      <c r="G14" s="494">
        <v>16448415.279235227</v>
      </c>
      <c r="H14" s="494">
        <v>0</v>
      </c>
      <c r="I14" s="494"/>
      <c r="J14" s="494">
        <v>27907169.970955584</v>
      </c>
      <c r="K14" s="494">
        <v>0</v>
      </c>
      <c r="L14" s="494"/>
      <c r="M14" s="494">
        <v>33461921.052055538</v>
      </c>
      <c r="N14" s="494">
        <v>0</v>
      </c>
      <c r="O14" s="494"/>
      <c r="P14" s="494">
        <v>3921235.4953200337</v>
      </c>
      <c r="Q14" s="494">
        <v>0</v>
      </c>
      <c r="R14" s="494"/>
      <c r="S14" s="494">
        <v>14132949.113676788</v>
      </c>
      <c r="T14" s="494">
        <v>0</v>
      </c>
      <c r="U14" s="494"/>
      <c r="V14" s="494">
        <v>632710.73643089505</v>
      </c>
      <c r="W14" s="494">
        <v>0</v>
      </c>
      <c r="X14" s="494"/>
      <c r="Y14" s="494">
        <v>2326139.8537860042</v>
      </c>
      <c r="Z14" s="494">
        <v>0</v>
      </c>
      <c r="AA14" s="494"/>
      <c r="AB14" s="494">
        <v>5988238.6445113868</v>
      </c>
      <c r="AC14" s="494">
        <v>0</v>
      </c>
      <c r="AD14" s="494"/>
      <c r="AE14" s="494">
        <v>534538.46226560336</v>
      </c>
      <c r="AF14" s="494">
        <v>0</v>
      </c>
      <c r="AG14" s="494"/>
      <c r="AH14" s="494">
        <v>338858.78137191699</v>
      </c>
      <c r="AI14" s="494">
        <v>0</v>
      </c>
      <c r="AJ14" s="494"/>
      <c r="AK14" s="494">
        <v>222618.30005899997</v>
      </c>
      <c r="AL14" s="494">
        <v>0</v>
      </c>
      <c r="AM14" s="494"/>
      <c r="AN14" s="494">
        <v>6623588.4095989214</v>
      </c>
      <c r="AO14" s="494">
        <v>0</v>
      </c>
      <c r="AP14" s="494"/>
      <c r="AQ14" s="494">
        <v>3980979.4116948759</v>
      </c>
      <c r="AR14" s="494">
        <v>0</v>
      </c>
      <c r="AS14" s="494"/>
      <c r="AT14" s="494">
        <v>260638.56599194312</v>
      </c>
      <c r="AU14" s="494">
        <v>0</v>
      </c>
      <c r="AV14" s="494"/>
      <c r="AW14" s="494">
        <v>8045007.4379047034</v>
      </c>
      <c r="AX14" s="494">
        <v>0</v>
      </c>
      <c r="AY14" s="494"/>
      <c r="AZ14" s="494">
        <v>11970470.335501021</v>
      </c>
      <c r="BA14" s="494">
        <v>0</v>
      </c>
      <c r="BB14" s="494"/>
      <c r="BC14" s="491"/>
    </row>
    <row r="15" spans="1:72" ht="15" hidden="1">
      <c r="B15" s="492" t="s">
        <v>2409</v>
      </c>
      <c r="C15" s="492" t="s">
        <v>2436</v>
      </c>
      <c r="D15" s="556">
        <v>33223386.319721129</v>
      </c>
      <c r="E15" s="494">
        <v>0</v>
      </c>
      <c r="F15" s="494"/>
      <c r="G15" s="494">
        <v>22458266.391475301</v>
      </c>
      <c r="H15" s="494">
        <v>0</v>
      </c>
      <c r="I15" s="494"/>
      <c r="J15" s="494">
        <v>40472911.20097968</v>
      </c>
      <c r="K15" s="494">
        <v>0</v>
      </c>
      <c r="L15" s="494"/>
      <c r="M15" s="494">
        <v>48186377.892105319</v>
      </c>
      <c r="N15" s="494">
        <v>0</v>
      </c>
      <c r="O15" s="494"/>
      <c r="P15" s="494">
        <v>5707760.9061541995</v>
      </c>
      <c r="Q15" s="494">
        <v>0</v>
      </c>
      <c r="R15" s="494"/>
      <c r="S15" s="494">
        <v>19641143.617717326</v>
      </c>
      <c r="T15" s="494">
        <v>0</v>
      </c>
      <c r="U15" s="494"/>
      <c r="V15" s="494">
        <v>927928.26440680993</v>
      </c>
      <c r="W15" s="494">
        <v>0</v>
      </c>
      <c r="X15" s="494"/>
      <c r="Y15" s="494">
        <v>3444562.821711482</v>
      </c>
      <c r="Z15" s="494">
        <v>0</v>
      </c>
      <c r="AA15" s="494"/>
      <c r="AB15" s="494">
        <v>8446063.5944809988</v>
      </c>
      <c r="AC15" s="494">
        <v>0</v>
      </c>
      <c r="AD15" s="494"/>
      <c r="AE15" s="494">
        <v>729761.63781628897</v>
      </c>
      <c r="AF15" s="494">
        <v>0</v>
      </c>
      <c r="AG15" s="494"/>
      <c r="AH15" s="494">
        <v>439590.79734199593</v>
      </c>
      <c r="AI15" s="494">
        <v>0</v>
      </c>
      <c r="AJ15" s="494"/>
      <c r="AK15" s="494">
        <v>334973.00343799987</v>
      </c>
      <c r="AL15" s="494">
        <v>0</v>
      </c>
      <c r="AM15" s="494"/>
      <c r="AN15" s="494">
        <v>8281099.2583040912</v>
      </c>
      <c r="AO15" s="494">
        <v>0</v>
      </c>
      <c r="AP15" s="494"/>
      <c r="AQ15" s="494">
        <v>6619111.1799228545</v>
      </c>
      <c r="AR15" s="494">
        <v>0</v>
      </c>
      <c r="AS15" s="494"/>
      <c r="AT15" s="494">
        <v>432392.07395400014</v>
      </c>
      <c r="AU15" s="494">
        <v>0</v>
      </c>
      <c r="AV15" s="494"/>
      <c r="AW15" s="494">
        <v>10617116.225034002</v>
      </c>
      <c r="AX15" s="494">
        <v>0</v>
      </c>
      <c r="AY15" s="494"/>
      <c r="AZ15" s="494">
        <v>17186961.838584013</v>
      </c>
      <c r="BA15" s="494">
        <v>0</v>
      </c>
      <c r="BB15" s="494"/>
      <c r="BC15" s="491"/>
    </row>
    <row r="16" spans="1:72" ht="15" hidden="1">
      <c r="B16" s="492" t="s">
        <v>2412</v>
      </c>
      <c r="C16" s="492" t="s">
        <v>2437</v>
      </c>
      <c r="D16" s="557">
        <v>7017025179.6923342</v>
      </c>
      <c r="E16" s="494">
        <v>0</v>
      </c>
      <c r="F16" s="494"/>
      <c r="G16" s="494">
        <v>5655581821.7242641</v>
      </c>
      <c r="H16" s="494">
        <v>0</v>
      </c>
      <c r="I16" s="494"/>
      <c r="J16" s="494">
        <v>8256073300.8750458</v>
      </c>
      <c r="K16" s="494">
        <v>0</v>
      </c>
      <c r="L16" s="494"/>
      <c r="M16" s="494">
        <v>9154474480.3574734</v>
      </c>
      <c r="N16" s="494">
        <v>0</v>
      </c>
      <c r="O16" s="494"/>
      <c r="P16" s="494">
        <v>1571470751.6268179</v>
      </c>
      <c r="Q16" s="494">
        <v>0</v>
      </c>
      <c r="R16" s="494"/>
      <c r="S16" s="494">
        <v>4269329468.5516829</v>
      </c>
      <c r="T16" s="494">
        <v>0</v>
      </c>
      <c r="U16" s="494"/>
      <c r="V16" s="494">
        <v>293066025.78415567</v>
      </c>
      <c r="W16" s="494">
        <v>0</v>
      </c>
      <c r="X16" s="494"/>
      <c r="Y16" s="494">
        <v>1028558927.7908233</v>
      </c>
      <c r="Z16" s="494">
        <v>0</v>
      </c>
      <c r="AA16" s="494"/>
      <c r="AB16" s="494">
        <v>2216698839.6728792</v>
      </c>
      <c r="AC16" s="494">
        <v>0</v>
      </c>
      <c r="AD16" s="494"/>
      <c r="AE16" s="494">
        <v>255230142.37914258</v>
      </c>
      <c r="AF16" s="494">
        <v>0</v>
      </c>
      <c r="AG16" s="494"/>
      <c r="AH16" s="494">
        <v>178224258.02339482</v>
      </c>
      <c r="AI16" s="494">
        <v>0</v>
      </c>
      <c r="AJ16" s="494"/>
      <c r="AK16" s="494">
        <v>102865619.33828001</v>
      </c>
      <c r="AL16" s="494">
        <v>0</v>
      </c>
      <c r="AM16" s="494"/>
      <c r="AN16" s="494">
        <v>2477679929.6390586</v>
      </c>
      <c r="AO16" s="494">
        <v>0</v>
      </c>
      <c r="AP16" s="494"/>
      <c r="AQ16" s="494">
        <v>1124300141.8758557</v>
      </c>
      <c r="AR16" s="494">
        <v>0</v>
      </c>
      <c r="AS16" s="494"/>
      <c r="AT16" s="494">
        <v>116387154.6520392</v>
      </c>
      <c r="AU16" s="494">
        <v>0</v>
      </c>
      <c r="AV16" s="494"/>
      <c r="AW16" s="494">
        <v>3173007268.204504</v>
      </c>
      <c r="AX16" s="494">
        <v>0</v>
      </c>
      <c r="AY16" s="494"/>
      <c r="AZ16" s="494">
        <v>2957249853.4948545</v>
      </c>
      <c r="BA16" s="494">
        <v>0</v>
      </c>
      <c r="BB16" s="494"/>
      <c r="BC16" s="491"/>
    </row>
    <row r="17" spans="2:55" ht="15" hidden="1">
      <c r="B17" s="492" t="s">
        <v>2413</v>
      </c>
      <c r="C17" s="492" t="s">
        <v>2438</v>
      </c>
      <c r="D17" s="558">
        <v>1329684</v>
      </c>
      <c r="E17" s="494">
        <v>0</v>
      </c>
      <c r="F17" s="494"/>
      <c r="G17" s="494">
        <v>984299</v>
      </c>
      <c r="H17" s="494">
        <v>0</v>
      </c>
      <c r="I17" s="494"/>
      <c r="J17" s="494">
        <v>307944.5</v>
      </c>
      <c r="K17" s="494">
        <v>0</v>
      </c>
      <c r="L17" s="494"/>
      <c r="M17" s="494">
        <v>186751</v>
      </c>
      <c r="N17" s="494">
        <v>0</v>
      </c>
      <c r="O17" s="494"/>
      <c r="P17" s="494">
        <v>331206</v>
      </c>
      <c r="Q17" s="494">
        <v>0</v>
      </c>
      <c r="R17" s="494"/>
      <c r="S17" s="494">
        <v>612781</v>
      </c>
      <c r="T17" s="494">
        <v>0</v>
      </c>
      <c r="U17" s="494"/>
      <c r="V17" s="494">
        <v>265525</v>
      </c>
      <c r="W17" s="494">
        <v>0</v>
      </c>
      <c r="X17" s="494"/>
      <c r="Y17" s="494">
        <v>295514</v>
      </c>
      <c r="Z17" s="494">
        <v>0</v>
      </c>
      <c r="AA17" s="494"/>
      <c r="AB17" s="494">
        <v>32124</v>
      </c>
      <c r="AC17" s="494">
        <v>0</v>
      </c>
      <c r="AD17" s="494"/>
      <c r="AE17" s="494">
        <v>110097</v>
      </c>
      <c r="AF17" s="494">
        <v>0</v>
      </c>
      <c r="AG17" s="494"/>
      <c r="AH17" s="494">
        <v>57500</v>
      </c>
      <c r="AI17" s="494">
        <v>0</v>
      </c>
      <c r="AJ17" s="494"/>
      <c r="AK17" s="494">
        <v>150075</v>
      </c>
      <c r="AL17" s="494">
        <v>0</v>
      </c>
      <c r="AM17" s="494"/>
      <c r="AN17" s="494">
        <v>29628</v>
      </c>
      <c r="AO17" s="494">
        <v>0</v>
      </c>
      <c r="AP17" s="494"/>
      <c r="AQ17" s="494">
        <v>46767</v>
      </c>
      <c r="AR17" s="494">
        <v>0</v>
      </c>
      <c r="AS17" s="494"/>
      <c r="AT17" s="494">
        <v>27281</v>
      </c>
      <c r="AU17" s="494">
        <v>0</v>
      </c>
      <c r="AV17" s="494"/>
      <c r="AW17" s="494">
        <v>24864</v>
      </c>
      <c r="AX17" s="494">
        <v>0</v>
      </c>
      <c r="AY17" s="494"/>
      <c r="AZ17" s="494">
        <v>94614</v>
      </c>
      <c r="BA17" s="494">
        <v>0</v>
      </c>
      <c r="BB17" s="494"/>
      <c r="BC17" s="491"/>
    </row>
    <row r="18" spans="2:55" ht="15" hidden="1">
      <c r="B18" s="492" t="s">
        <v>2414</v>
      </c>
      <c r="C18" s="492" t="s">
        <v>2439</v>
      </c>
      <c r="D18" s="558">
        <v>2571272.6574333352</v>
      </c>
      <c r="E18" s="494">
        <v>0</v>
      </c>
      <c r="F18" s="494"/>
      <c r="G18" s="494">
        <v>1975763.8176873338</v>
      </c>
      <c r="H18" s="494">
        <v>0</v>
      </c>
      <c r="I18" s="494"/>
      <c r="J18" s="494">
        <v>1360082.5842710007</v>
      </c>
      <c r="K18" s="494">
        <v>0</v>
      </c>
      <c r="L18" s="494"/>
      <c r="M18" s="494">
        <v>1111787.3386853335</v>
      </c>
      <c r="N18" s="494">
        <v>0</v>
      </c>
      <c r="O18" s="494"/>
      <c r="P18" s="494">
        <v>579179.28991533362</v>
      </c>
      <c r="Q18" s="494">
        <v>0</v>
      </c>
      <c r="R18" s="494"/>
      <c r="S18" s="494">
        <v>1321468.5818079996</v>
      </c>
      <c r="T18" s="494">
        <v>0</v>
      </c>
      <c r="U18" s="494"/>
      <c r="V18" s="494">
        <v>278794.38999999996</v>
      </c>
      <c r="W18" s="494">
        <v>0</v>
      </c>
      <c r="X18" s="494"/>
      <c r="Y18" s="494">
        <v>438702.66599999962</v>
      </c>
      <c r="Z18" s="494">
        <v>0</v>
      </c>
      <c r="AA18" s="494"/>
      <c r="AB18" s="494">
        <v>280642.40333799995</v>
      </c>
      <c r="AC18" s="494">
        <v>0</v>
      </c>
      <c r="AD18" s="494"/>
      <c r="AE18" s="494">
        <v>150880.15899999996</v>
      </c>
      <c r="AF18" s="494">
        <v>0</v>
      </c>
      <c r="AG18" s="494"/>
      <c r="AH18" s="494">
        <v>92516.54</v>
      </c>
      <c r="AI18" s="494">
        <v>0</v>
      </c>
      <c r="AJ18" s="494"/>
      <c r="AK18" s="494">
        <v>134423.66333999997</v>
      </c>
      <c r="AL18" s="494">
        <v>0</v>
      </c>
      <c r="AM18" s="494"/>
      <c r="AN18" s="494">
        <v>228685.31419999996</v>
      </c>
      <c r="AO18" s="494">
        <v>0</v>
      </c>
      <c r="AP18" s="494"/>
      <c r="AQ18" s="494">
        <v>221159.91389999999</v>
      </c>
      <c r="AR18" s="494">
        <v>0</v>
      </c>
      <c r="AS18" s="494"/>
      <c r="AT18" s="494">
        <v>45523.786666666681</v>
      </c>
      <c r="AU18" s="494">
        <v>0</v>
      </c>
      <c r="AV18" s="494"/>
      <c r="AW18" s="494">
        <v>224119.0626</v>
      </c>
      <c r="AX18" s="494">
        <v>0</v>
      </c>
      <c r="AY18" s="494"/>
      <c r="AZ18" s="494">
        <v>565855.28073333332</v>
      </c>
      <c r="BA18" s="494">
        <v>0</v>
      </c>
      <c r="BB18" s="494"/>
      <c r="BC18" s="491"/>
    </row>
    <row r="19" spans="2:55" ht="15" hidden="1">
      <c r="B19" s="492" t="s">
        <v>2415</v>
      </c>
      <c r="C19" s="492" t="s">
        <v>2443</v>
      </c>
      <c r="D19" s="559">
        <v>9.5031973019984903</v>
      </c>
      <c r="E19" s="525">
        <v>0</v>
      </c>
      <c r="F19" s="495"/>
      <c r="G19" s="495">
        <v>9.0199738450045324</v>
      </c>
      <c r="H19" s="525">
        <v>0</v>
      </c>
      <c r="I19" s="495"/>
      <c r="J19" s="495">
        <v>11.032019121883016</v>
      </c>
      <c r="K19" s="525">
        <v>0</v>
      </c>
      <c r="L19" s="495"/>
      <c r="M19" s="495">
        <v>12.38605987947507</v>
      </c>
      <c r="N19" s="525">
        <v>0</v>
      </c>
      <c r="O19" s="495"/>
      <c r="P19" s="495">
        <v>8.3560943532832379</v>
      </c>
      <c r="Q19" s="525">
        <v>0</v>
      </c>
      <c r="R19" s="495"/>
      <c r="S19" s="495">
        <v>9.0152154105594953</v>
      </c>
      <c r="T19" s="525">
        <v>0</v>
      </c>
      <c r="U19" s="495"/>
      <c r="V19" s="495">
        <v>6.4340928392736805</v>
      </c>
      <c r="W19" s="525">
        <v>0</v>
      </c>
      <c r="X19" s="495"/>
      <c r="Y19" s="495">
        <v>7.9693190349934868</v>
      </c>
      <c r="Z19" s="525">
        <v>0</v>
      </c>
      <c r="AA19" s="495"/>
      <c r="AB19" s="495">
        <v>11.897676926318464</v>
      </c>
      <c r="AC19" s="525">
        <v>0</v>
      </c>
      <c r="AD19" s="495"/>
      <c r="AE19" s="495">
        <v>6.7399121728960383</v>
      </c>
      <c r="AF19" s="525">
        <v>0</v>
      </c>
      <c r="AG19" s="495"/>
      <c r="AH19" s="495">
        <v>7.7563875492899301</v>
      </c>
      <c r="AI19" s="525">
        <v>0</v>
      </c>
      <c r="AJ19" s="495"/>
      <c r="AK19" s="495">
        <v>5.1578878002386785</v>
      </c>
      <c r="AL19" s="525">
        <v>0</v>
      </c>
      <c r="AM19" s="495"/>
      <c r="AN19" s="495">
        <v>11.890332097513438</v>
      </c>
      <c r="AO19" s="525">
        <v>0</v>
      </c>
      <c r="AP19" s="495"/>
      <c r="AQ19" s="495">
        <v>9.7818225689079394</v>
      </c>
      <c r="AR19" s="525">
        <v>0</v>
      </c>
      <c r="AS19" s="495"/>
      <c r="AT19" s="495">
        <v>6.1810800225528135</v>
      </c>
      <c r="AU19" s="525">
        <v>0</v>
      </c>
      <c r="AV19" s="495"/>
      <c r="AW19" s="495">
        <v>13.489421252832992</v>
      </c>
      <c r="AX19" s="525">
        <v>0</v>
      </c>
      <c r="AY19" s="495"/>
      <c r="AZ19" s="495">
        <v>12.760379531762347</v>
      </c>
      <c r="BA19" s="525">
        <v>0</v>
      </c>
      <c r="BB19" s="495"/>
      <c r="BC19" s="491"/>
    </row>
    <row r="20" spans="2:55" ht="15" hidden="1">
      <c r="B20" s="492" t="s">
        <v>2416</v>
      </c>
      <c r="C20" s="492" t="s">
        <v>2440</v>
      </c>
      <c r="D20" s="560">
        <v>7.6375841033176863</v>
      </c>
      <c r="E20" s="496">
        <v>0</v>
      </c>
      <c r="F20" s="496"/>
      <c r="G20" s="496">
        <v>10.806690560278172</v>
      </c>
      <c r="H20" s="496">
        <v>0</v>
      </c>
      <c r="I20" s="496"/>
      <c r="J20" s="496">
        <v>7.374061064317007</v>
      </c>
      <c r="K20" s="496">
        <v>0</v>
      </c>
      <c r="L20" s="496"/>
      <c r="M20" s="496">
        <v>7.7469523419931736</v>
      </c>
      <c r="N20" s="496">
        <v>0</v>
      </c>
      <c r="O20" s="496"/>
      <c r="P20" s="496">
        <v>14.642877901953963</v>
      </c>
      <c r="Q20" s="496">
        <v>0</v>
      </c>
      <c r="R20" s="496"/>
      <c r="S20" s="496">
        <v>7.4409282020898138</v>
      </c>
      <c r="T20" s="496">
        <v>0</v>
      </c>
      <c r="U20" s="496"/>
      <c r="V20" s="496">
        <v>13.320098809791142</v>
      </c>
      <c r="W20" s="496">
        <v>0</v>
      </c>
      <c r="X20" s="496"/>
      <c r="Y20" s="496">
        <v>7.9640776826316024</v>
      </c>
      <c r="Z20" s="496">
        <v>0</v>
      </c>
      <c r="AA20" s="496"/>
      <c r="AB20" s="496">
        <v>16.116124254565637</v>
      </c>
      <c r="AC20" s="496">
        <v>0</v>
      </c>
      <c r="AD20" s="496"/>
      <c r="AE20" s="496">
        <v>10.813889580738898</v>
      </c>
      <c r="AF20" s="496">
        <v>0</v>
      </c>
      <c r="AG20" s="496"/>
      <c r="AH20" s="496">
        <v>11.283485540334855</v>
      </c>
      <c r="AI20" s="496">
        <v>0</v>
      </c>
      <c r="AJ20" s="496"/>
      <c r="AK20" s="496">
        <v>6.4350241545893727</v>
      </c>
      <c r="AL20" s="496">
        <v>0</v>
      </c>
      <c r="AM20" s="496"/>
      <c r="AN20" s="496">
        <v>14.93937592739403</v>
      </c>
      <c r="AO20" s="496">
        <v>0</v>
      </c>
      <c r="AP20" s="496"/>
      <c r="AQ20" s="496">
        <v>21.183358687853293</v>
      </c>
      <c r="AR20" s="496">
        <v>0</v>
      </c>
      <c r="AS20" s="496"/>
      <c r="AT20" s="496">
        <v>19.685600893829385</v>
      </c>
      <c r="AU20" s="496">
        <v>0</v>
      </c>
      <c r="AV20" s="496"/>
      <c r="AW20" s="496">
        <v>6.0179999999999998</v>
      </c>
      <c r="AX20" s="496">
        <v>0</v>
      </c>
      <c r="AY20" s="496"/>
      <c r="AZ20" s="496">
        <v>2.3382260581932193</v>
      </c>
      <c r="BA20" s="496">
        <v>0</v>
      </c>
      <c r="BB20" s="496"/>
      <c r="BC20" s="491"/>
    </row>
    <row r="21" spans="2:55" ht="15" hidden="1">
      <c r="B21" s="492" t="s">
        <v>2417</v>
      </c>
      <c r="C21" s="492" t="s">
        <v>2441</v>
      </c>
      <c r="D21" s="560">
        <v>823.36272323568426</v>
      </c>
      <c r="E21" s="496">
        <v>0</v>
      </c>
      <c r="F21" s="496"/>
      <c r="G21" s="496">
        <v>617.50414494034464</v>
      </c>
      <c r="H21" s="496">
        <v>0</v>
      </c>
      <c r="I21" s="496"/>
      <c r="J21" s="496">
        <v>359.84208523592088</v>
      </c>
      <c r="K21" s="496">
        <v>0</v>
      </c>
      <c r="L21" s="496"/>
      <c r="M21" s="496">
        <v>253.74218819506538</v>
      </c>
      <c r="N21" s="496">
        <v>0</v>
      </c>
      <c r="O21" s="496"/>
      <c r="P21" s="496">
        <v>195.45753424657534</v>
      </c>
      <c r="Q21" s="496">
        <v>0</v>
      </c>
      <c r="R21" s="496"/>
      <c r="S21" s="496">
        <v>408.20849315068494</v>
      </c>
      <c r="T21" s="496">
        <v>0</v>
      </c>
      <c r="U21" s="496"/>
      <c r="V21" s="496">
        <v>122</v>
      </c>
      <c r="W21" s="496">
        <v>0</v>
      </c>
      <c r="X21" s="496"/>
      <c r="Y21" s="496">
        <v>175.74220430107528</v>
      </c>
      <c r="Z21" s="496">
        <v>0</v>
      </c>
      <c r="AA21" s="496"/>
      <c r="AB21" s="496">
        <v>71.82741935483871</v>
      </c>
      <c r="AC21" s="496">
        <v>0</v>
      </c>
      <c r="AD21" s="496"/>
      <c r="AE21" s="496">
        <v>109</v>
      </c>
      <c r="AF21" s="496">
        <v>0</v>
      </c>
      <c r="AG21" s="496"/>
      <c r="AH21" s="496">
        <v>45</v>
      </c>
      <c r="AI21" s="496">
        <v>0</v>
      </c>
      <c r="AJ21" s="496"/>
      <c r="AK21" s="496">
        <v>97.8</v>
      </c>
      <c r="AL21" s="496">
        <v>0</v>
      </c>
      <c r="AM21" s="496"/>
      <c r="AN21" s="496">
        <v>69.412236716538189</v>
      </c>
      <c r="AO21" s="496">
        <v>0</v>
      </c>
      <c r="AP21" s="496"/>
      <c r="AQ21" s="496">
        <v>96.432353332412617</v>
      </c>
      <c r="AR21" s="496">
        <v>0</v>
      </c>
      <c r="AS21" s="496"/>
      <c r="AT21" s="496">
        <v>29.346050228310499</v>
      </c>
      <c r="AU21" s="496">
        <v>0</v>
      </c>
      <c r="AV21" s="496"/>
      <c r="AW21" s="496">
        <v>50</v>
      </c>
      <c r="AX21" s="496">
        <v>0</v>
      </c>
      <c r="AY21" s="496"/>
      <c r="AZ21" s="496">
        <v>140.57216073631992</v>
      </c>
      <c r="BA21" s="496">
        <v>0</v>
      </c>
      <c r="BB21" s="496"/>
      <c r="BC21" s="491"/>
    </row>
    <row r="22" spans="2:55" ht="15" hidden="1">
      <c r="B22" s="492" t="s">
        <v>2418</v>
      </c>
      <c r="C22" s="492"/>
      <c r="D22" s="561">
        <v>25</v>
      </c>
      <c r="E22" s="494"/>
      <c r="F22" s="494"/>
      <c r="G22" s="494">
        <v>24</v>
      </c>
      <c r="H22" s="494"/>
      <c r="I22" s="494"/>
      <c r="J22" s="494">
        <v>27</v>
      </c>
      <c r="K22" s="494"/>
      <c r="L22" s="494"/>
      <c r="M22" s="494">
        <v>15</v>
      </c>
      <c r="N22" s="494"/>
      <c r="O22" s="494"/>
      <c r="P22" s="494">
        <v>15</v>
      </c>
      <c r="Q22" s="494"/>
      <c r="R22" s="494"/>
      <c r="S22" s="494">
        <v>17</v>
      </c>
      <c r="T22" s="494"/>
      <c r="U22" s="494"/>
      <c r="V22" s="494">
        <v>5</v>
      </c>
      <c r="W22" s="494"/>
      <c r="X22" s="494"/>
      <c r="Y22" s="494">
        <v>11</v>
      </c>
      <c r="Z22" s="494"/>
      <c r="AA22" s="494"/>
      <c r="AB22" s="494">
        <v>8</v>
      </c>
      <c r="AC22" s="494"/>
      <c r="AD22" s="494"/>
      <c r="AE22" s="494">
        <v>6</v>
      </c>
      <c r="AF22" s="494"/>
      <c r="AG22" s="494"/>
      <c r="AH22" s="617" t="s">
        <v>2488</v>
      </c>
      <c r="AI22" s="494"/>
      <c r="AJ22" s="494"/>
      <c r="AK22" s="494">
        <v>10</v>
      </c>
      <c r="AL22" s="494"/>
      <c r="AM22" s="494"/>
      <c r="AN22" s="494">
        <v>8</v>
      </c>
      <c r="AO22" s="494"/>
      <c r="AP22" s="494"/>
      <c r="AQ22" s="494">
        <v>12</v>
      </c>
      <c r="AR22" s="494"/>
      <c r="AS22" s="494"/>
      <c r="AT22" s="494">
        <v>10</v>
      </c>
      <c r="AU22" s="494"/>
      <c r="AV22" s="494"/>
      <c r="AW22" s="494">
        <v>5</v>
      </c>
      <c r="AX22" s="494"/>
      <c r="AY22" s="494"/>
      <c r="AZ22" s="494">
        <v>14</v>
      </c>
      <c r="BA22" s="494"/>
      <c r="BB22" s="494"/>
      <c r="BC22" s="491"/>
    </row>
    <row r="23" spans="2:55" ht="15" hidden="1">
      <c r="B23" s="491"/>
      <c r="C23" s="491"/>
      <c r="D23" s="491"/>
      <c r="E23" s="491"/>
      <c r="F23" s="491"/>
      <c r="G23" s="491"/>
      <c r="H23" s="491"/>
      <c r="I23" s="491"/>
      <c r="J23" s="491"/>
      <c r="K23" s="491"/>
      <c r="L23" s="491"/>
      <c r="M23" s="491"/>
      <c r="N23" s="491"/>
      <c r="O23" s="491"/>
      <c r="P23" s="491"/>
      <c r="Q23" s="491"/>
      <c r="R23" s="491"/>
      <c r="S23" s="491"/>
      <c r="T23" s="491"/>
      <c r="U23" s="491"/>
      <c r="V23" s="491"/>
      <c r="W23" s="491"/>
      <c r="X23" s="491"/>
      <c r="Y23" s="491"/>
      <c r="Z23" s="491"/>
      <c r="AA23" s="491"/>
      <c r="AB23" s="491"/>
      <c r="AC23" s="491"/>
      <c r="AD23" s="491"/>
      <c r="AE23" s="491"/>
      <c r="AF23" s="491"/>
      <c r="AG23" s="491"/>
      <c r="AH23" s="491"/>
      <c r="AI23" s="491"/>
      <c r="AJ23" s="491"/>
      <c r="AK23" s="491"/>
      <c r="AL23" s="491"/>
      <c r="AM23" s="491"/>
      <c r="AN23" s="491"/>
      <c r="AO23" s="491"/>
      <c r="AP23" s="491"/>
      <c r="AQ23" s="491"/>
      <c r="AR23" s="491"/>
      <c r="AS23" s="491"/>
      <c r="AT23" s="491"/>
      <c r="AU23" s="491"/>
      <c r="AV23" s="491"/>
      <c r="AW23" s="491"/>
      <c r="AX23" s="491"/>
      <c r="AY23" s="491"/>
      <c r="AZ23" s="491"/>
      <c r="BA23" s="491"/>
      <c r="BB23" s="491"/>
      <c r="BC23" s="491"/>
    </row>
    <row r="24" spans="2:55" ht="14" thickTop="1">
      <c r="E24" s="498"/>
      <c r="F24" s="102"/>
    </row>
    <row r="25" spans="2:55" ht="15">
      <c r="D25" s="748" t="s">
        <v>2403</v>
      </c>
      <c r="E25" s="748"/>
      <c r="F25" s="749"/>
      <c r="G25" s="750" t="s">
        <v>2404</v>
      </c>
      <c r="H25" s="750"/>
      <c r="I25" s="751"/>
      <c r="J25" s="748" t="s">
        <v>2092</v>
      </c>
      <c r="K25" s="748"/>
      <c r="L25" s="749"/>
      <c r="M25" s="750" t="s">
        <v>2462</v>
      </c>
      <c r="N25" s="750"/>
      <c r="O25" s="751"/>
      <c r="P25" s="748" t="s">
        <v>986</v>
      </c>
      <c r="Q25" s="748"/>
      <c r="R25" s="749"/>
      <c r="S25" s="750" t="s">
        <v>988</v>
      </c>
      <c r="T25" s="750"/>
      <c r="U25" s="751"/>
      <c r="V25" s="748" t="s">
        <v>2152</v>
      </c>
      <c r="W25" s="748"/>
      <c r="X25" s="749"/>
      <c r="Y25" s="750" t="s">
        <v>1058</v>
      </c>
      <c r="Z25" s="750"/>
      <c r="AA25" s="751"/>
      <c r="AB25" s="748" t="s">
        <v>2093</v>
      </c>
      <c r="AC25" s="748"/>
      <c r="AD25" s="749"/>
      <c r="AE25" s="750" t="s">
        <v>415</v>
      </c>
      <c r="AF25" s="750"/>
      <c r="AG25" s="751"/>
      <c r="AH25" s="748" t="s">
        <v>1057</v>
      </c>
      <c r="AI25" s="748"/>
      <c r="AJ25" s="749"/>
      <c r="AK25" s="750" t="s">
        <v>385</v>
      </c>
      <c r="AL25" s="750"/>
      <c r="AM25" s="751"/>
      <c r="AN25" s="748" t="s">
        <v>2405</v>
      </c>
      <c r="AO25" s="748"/>
      <c r="AP25" s="749"/>
      <c r="AQ25" s="750" t="s">
        <v>2141</v>
      </c>
      <c r="AR25" s="750"/>
      <c r="AS25" s="751"/>
      <c r="AT25" s="748" t="s">
        <v>2406</v>
      </c>
      <c r="AU25" s="748"/>
      <c r="AV25" s="749"/>
      <c r="AW25" s="750" t="s">
        <v>2098</v>
      </c>
      <c r="AX25" s="750"/>
      <c r="AY25" s="751"/>
      <c r="AZ25" s="748" t="s">
        <v>2235</v>
      </c>
      <c r="BA25" s="748"/>
      <c r="BB25" s="748"/>
    </row>
    <row r="26" spans="2:55" s="503" customFormat="1" ht="11">
      <c r="C26" s="762" t="s">
        <v>2442</v>
      </c>
      <c r="D26" s="752" t="s">
        <v>2117</v>
      </c>
      <c r="E26" s="753"/>
      <c r="F26" s="504">
        <v>736</v>
      </c>
      <c r="G26" s="765" t="s">
        <v>2404</v>
      </c>
      <c r="H26" s="766"/>
      <c r="I26" s="513">
        <v>320</v>
      </c>
      <c r="J26" s="752" t="s">
        <v>2092</v>
      </c>
      <c r="K26" s="753" t="s">
        <v>989</v>
      </c>
      <c r="L26" s="504">
        <v>330</v>
      </c>
      <c r="M26" s="765" t="s">
        <v>2146</v>
      </c>
      <c r="N26" s="766" t="s">
        <v>1027</v>
      </c>
      <c r="O26" s="513">
        <v>777</v>
      </c>
      <c r="P26" s="752" t="s">
        <v>986</v>
      </c>
      <c r="Q26" s="753" t="s">
        <v>986</v>
      </c>
      <c r="R26" s="504">
        <v>319</v>
      </c>
      <c r="S26" s="765" t="s">
        <v>988</v>
      </c>
      <c r="T26" s="766" t="s">
        <v>988</v>
      </c>
      <c r="U26" s="513">
        <v>321</v>
      </c>
      <c r="V26" s="752" t="s">
        <v>2152</v>
      </c>
      <c r="W26" s="753" t="s">
        <v>1113</v>
      </c>
      <c r="X26" s="504" t="s">
        <v>421</v>
      </c>
      <c r="Y26" s="765" t="s">
        <v>1058</v>
      </c>
      <c r="Z26" s="766" t="s">
        <v>1058</v>
      </c>
      <c r="AA26" s="513" t="s">
        <v>425</v>
      </c>
      <c r="AB26" s="752" t="s">
        <v>2093</v>
      </c>
      <c r="AC26" s="753" t="s">
        <v>992</v>
      </c>
      <c r="AD26" s="504">
        <v>340</v>
      </c>
      <c r="AE26" s="765" t="s">
        <v>415</v>
      </c>
      <c r="AF26" s="766" t="s">
        <v>415</v>
      </c>
      <c r="AG26" s="513" t="s">
        <v>415</v>
      </c>
      <c r="AH26" s="752" t="s">
        <v>1057</v>
      </c>
      <c r="AI26" s="753" t="s">
        <v>1057</v>
      </c>
      <c r="AJ26" s="504" t="s">
        <v>424</v>
      </c>
      <c r="AK26" s="765" t="s">
        <v>385</v>
      </c>
      <c r="AL26" s="766" t="s">
        <v>971</v>
      </c>
      <c r="AM26" s="513" t="s">
        <v>385</v>
      </c>
      <c r="AN26" s="752" t="s">
        <v>2123</v>
      </c>
      <c r="AO26" s="753" t="s">
        <v>1013</v>
      </c>
      <c r="AP26" s="504">
        <v>747</v>
      </c>
      <c r="AQ26" s="765" t="s">
        <v>2141</v>
      </c>
      <c r="AR26" s="766" t="s">
        <v>1022</v>
      </c>
      <c r="AS26" s="513">
        <v>767</v>
      </c>
      <c r="AT26" s="752" t="s">
        <v>2111</v>
      </c>
      <c r="AU26" s="753" t="s">
        <v>1033</v>
      </c>
      <c r="AV26" s="504">
        <v>732</v>
      </c>
      <c r="AW26" s="765" t="s">
        <v>2098</v>
      </c>
      <c r="AX26" s="766" t="s">
        <v>1103</v>
      </c>
      <c r="AY26" s="513">
        <v>380</v>
      </c>
      <c r="AZ26" s="752" t="s">
        <v>2235</v>
      </c>
      <c r="BA26" s="753" t="s">
        <v>2235</v>
      </c>
      <c r="BB26" s="505">
        <v>787</v>
      </c>
    </row>
    <row r="27" spans="2:55" s="503" customFormat="1" ht="11">
      <c r="C27" s="763"/>
      <c r="D27" s="754" t="s">
        <v>2118</v>
      </c>
      <c r="E27" s="755"/>
      <c r="F27" s="504" t="s">
        <v>399</v>
      </c>
      <c r="G27" s="767"/>
      <c r="H27" s="768"/>
      <c r="I27" s="513"/>
      <c r="J27" s="754" t="s">
        <v>990</v>
      </c>
      <c r="K27" s="755" t="s">
        <v>990</v>
      </c>
      <c r="L27" s="504">
        <v>332</v>
      </c>
      <c r="M27" s="767" t="s">
        <v>2147</v>
      </c>
      <c r="N27" s="768" t="s">
        <v>1028</v>
      </c>
      <c r="O27" s="513">
        <v>772</v>
      </c>
      <c r="P27" s="754"/>
      <c r="Q27" s="755"/>
      <c r="R27" s="504"/>
      <c r="S27" s="767"/>
      <c r="T27" s="768"/>
      <c r="U27" s="513"/>
      <c r="V27" s="754"/>
      <c r="W27" s="755"/>
      <c r="X27" s="504"/>
      <c r="Y27" s="767" t="s">
        <v>2242</v>
      </c>
      <c r="Z27" s="768" t="s">
        <v>2242</v>
      </c>
      <c r="AA27" s="513" t="s">
        <v>2241</v>
      </c>
      <c r="AB27" s="754" t="s">
        <v>993</v>
      </c>
      <c r="AC27" s="755" t="s">
        <v>993</v>
      </c>
      <c r="AD27" s="504">
        <v>342</v>
      </c>
      <c r="AE27" s="767" t="s">
        <v>1054</v>
      </c>
      <c r="AF27" s="768" t="s">
        <v>1054</v>
      </c>
      <c r="AG27" s="513" t="s">
        <v>417</v>
      </c>
      <c r="AH27" s="754"/>
      <c r="AI27" s="755"/>
      <c r="AJ27" s="504"/>
      <c r="AK27" s="767" t="s">
        <v>1000</v>
      </c>
      <c r="AL27" s="768" t="s">
        <v>1000</v>
      </c>
      <c r="AM27" s="513" t="s">
        <v>386</v>
      </c>
      <c r="AN27" s="754" t="s">
        <v>2124</v>
      </c>
      <c r="AO27" s="755" t="s">
        <v>1042</v>
      </c>
      <c r="AP27" s="504">
        <v>741</v>
      </c>
      <c r="AQ27" s="767" t="s">
        <v>2142</v>
      </c>
      <c r="AR27" s="768" t="s">
        <v>1023</v>
      </c>
      <c r="AS27" s="513">
        <v>762</v>
      </c>
      <c r="AT27" s="754" t="s">
        <v>2114</v>
      </c>
      <c r="AU27" s="755" t="s">
        <v>1035</v>
      </c>
      <c r="AV27" s="504">
        <v>733</v>
      </c>
      <c r="AW27" s="767"/>
      <c r="AX27" s="768"/>
      <c r="AY27" s="513"/>
      <c r="AZ27" s="754"/>
      <c r="BA27" s="755"/>
      <c r="BB27" s="505"/>
    </row>
    <row r="28" spans="2:55" s="503" customFormat="1" ht="11">
      <c r="C28" s="763"/>
      <c r="D28" s="754" t="s">
        <v>2119</v>
      </c>
      <c r="E28" s="755"/>
      <c r="F28" s="504">
        <v>738</v>
      </c>
      <c r="G28" s="767"/>
      <c r="H28" s="768"/>
      <c r="I28" s="513"/>
      <c r="J28" s="754" t="s">
        <v>991</v>
      </c>
      <c r="K28" s="755" t="s">
        <v>991</v>
      </c>
      <c r="L28" s="504">
        <v>333</v>
      </c>
      <c r="M28" s="767" t="s">
        <v>2148</v>
      </c>
      <c r="N28" s="768" t="s">
        <v>1029</v>
      </c>
      <c r="O28" s="513">
        <v>773</v>
      </c>
      <c r="P28" s="754"/>
      <c r="Q28" s="755"/>
      <c r="R28" s="504"/>
      <c r="S28" s="767"/>
      <c r="T28" s="768"/>
      <c r="U28" s="513"/>
      <c r="V28" s="754"/>
      <c r="W28" s="755"/>
      <c r="X28" s="504"/>
      <c r="Y28" s="767"/>
      <c r="Z28" s="768"/>
      <c r="AA28" s="513"/>
      <c r="AB28" s="754" t="s">
        <v>994</v>
      </c>
      <c r="AC28" s="755" t="s">
        <v>994</v>
      </c>
      <c r="AD28" s="504">
        <v>343</v>
      </c>
      <c r="AE28" s="767" t="s">
        <v>1055</v>
      </c>
      <c r="AF28" s="768" t="s">
        <v>1055</v>
      </c>
      <c r="AG28" s="513" t="s">
        <v>418</v>
      </c>
      <c r="AH28" s="754"/>
      <c r="AI28" s="755"/>
      <c r="AJ28" s="504"/>
      <c r="AK28" s="767" t="s">
        <v>1001</v>
      </c>
      <c r="AL28" s="768" t="s">
        <v>1001</v>
      </c>
      <c r="AM28" s="513" t="s">
        <v>387</v>
      </c>
      <c r="AN28" s="754" t="s">
        <v>2125</v>
      </c>
      <c r="AO28" s="755" t="s">
        <v>1043</v>
      </c>
      <c r="AP28" s="504">
        <v>742</v>
      </c>
      <c r="AQ28" s="767" t="s">
        <v>2143</v>
      </c>
      <c r="AR28" s="768" t="s">
        <v>1024</v>
      </c>
      <c r="AS28" s="513">
        <v>763</v>
      </c>
      <c r="AT28" s="754" t="s">
        <v>2115</v>
      </c>
      <c r="AU28" s="755" t="s">
        <v>1036</v>
      </c>
      <c r="AV28" s="504">
        <v>734</v>
      </c>
      <c r="AW28" s="767"/>
      <c r="AX28" s="768"/>
      <c r="AY28" s="513"/>
      <c r="AZ28" s="754"/>
      <c r="BA28" s="755"/>
      <c r="BB28" s="505"/>
    </row>
    <row r="29" spans="2:55" s="503" customFormat="1" ht="11">
      <c r="C29" s="763"/>
      <c r="D29" s="754" t="s">
        <v>2120</v>
      </c>
      <c r="E29" s="755"/>
      <c r="F29" s="504">
        <v>739</v>
      </c>
      <c r="G29" s="767"/>
      <c r="H29" s="768"/>
      <c r="I29" s="513"/>
      <c r="J29" s="754"/>
      <c r="K29" s="755"/>
      <c r="L29" s="504"/>
      <c r="M29" s="767"/>
      <c r="N29" s="768"/>
      <c r="O29" s="513"/>
      <c r="P29" s="754"/>
      <c r="Q29" s="755"/>
      <c r="R29" s="504"/>
      <c r="S29" s="767"/>
      <c r="T29" s="768"/>
      <c r="U29" s="513"/>
      <c r="V29" s="754"/>
      <c r="W29" s="755"/>
      <c r="X29" s="504"/>
      <c r="Y29" s="767"/>
      <c r="Z29" s="768"/>
      <c r="AA29" s="513"/>
      <c r="AB29" s="754" t="s">
        <v>995</v>
      </c>
      <c r="AC29" s="755" t="s">
        <v>995</v>
      </c>
      <c r="AD29" s="504">
        <v>345</v>
      </c>
      <c r="AE29" s="767"/>
      <c r="AF29" s="768"/>
      <c r="AG29" s="513"/>
      <c r="AH29" s="754"/>
      <c r="AI29" s="755"/>
      <c r="AJ29" s="504"/>
      <c r="AK29" s="767"/>
      <c r="AL29" s="768"/>
      <c r="AM29" s="513"/>
      <c r="AN29" s="754" t="s">
        <v>2126</v>
      </c>
      <c r="AO29" s="755" t="s">
        <v>1044</v>
      </c>
      <c r="AP29" s="504">
        <v>743</v>
      </c>
      <c r="AQ29" s="767"/>
      <c r="AR29" s="768"/>
      <c r="AS29" s="513"/>
      <c r="AT29" s="754" t="s">
        <v>2116</v>
      </c>
      <c r="AU29" s="755" t="s">
        <v>1037</v>
      </c>
      <c r="AV29" s="504">
        <v>735</v>
      </c>
      <c r="AW29" s="767"/>
      <c r="AX29" s="768"/>
      <c r="AY29" s="513"/>
      <c r="AZ29" s="754"/>
      <c r="BA29" s="755"/>
      <c r="BB29" s="505"/>
    </row>
    <row r="30" spans="2:55" s="503" customFormat="1" ht="11.25" customHeight="1">
      <c r="C30" s="763"/>
      <c r="D30" s="756"/>
      <c r="E30" s="757"/>
      <c r="F30" s="504"/>
      <c r="G30" s="769"/>
      <c r="H30" s="770"/>
      <c r="I30" s="513"/>
      <c r="J30" s="756"/>
      <c r="K30" s="757"/>
      <c r="L30" s="504"/>
      <c r="M30" s="769"/>
      <c r="N30" s="770"/>
      <c r="O30" s="513"/>
      <c r="P30" s="756"/>
      <c r="Q30" s="757"/>
      <c r="R30" s="504"/>
      <c r="S30" s="769"/>
      <c r="T30" s="770"/>
      <c r="U30" s="513"/>
      <c r="V30" s="756"/>
      <c r="W30" s="757"/>
      <c r="X30" s="504"/>
      <c r="Y30" s="769"/>
      <c r="Z30" s="770"/>
      <c r="AA30" s="513"/>
      <c r="AB30" s="756" t="s">
        <v>996</v>
      </c>
      <c r="AC30" s="757" t="s">
        <v>996</v>
      </c>
      <c r="AD30" s="504">
        <v>346</v>
      </c>
      <c r="AE30" s="769"/>
      <c r="AF30" s="770"/>
      <c r="AG30" s="513"/>
      <c r="AH30" s="756"/>
      <c r="AI30" s="757"/>
      <c r="AJ30" s="504"/>
      <c r="AK30" s="769"/>
      <c r="AL30" s="770"/>
      <c r="AM30" s="513"/>
      <c r="AN30" s="756" t="s">
        <v>2127</v>
      </c>
      <c r="AO30" s="757" t="s">
        <v>1045</v>
      </c>
      <c r="AP30" s="504">
        <v>744</v>
      </c>
      <c r="AQ30" s="769"/>
      <c r="AR30" s="770"/>
      <c r="AS30" s="513"/>
      <c r="AT30" s="756"/>
      <c r="AU30" s="757"/>
      <c r="AV30" s="504"/>
      <c r="AW30" s="769"/>
      <c r="AX30" s="770"/>
      <c r="AY30" s="513"/>
      <c r="AZ30" s="756"/>
      <c r="BA30" s="757"/>
      <c r="BB30" s="505"/>
    </row>
    <row r="31" spans="2:55" s="503" customFormat="1" ht="11.25" customHeight="1">
      <c r="C31" s="763"/>
      <c r="D31" s="756"/>
      <c r="E31" s="757"/>
      <c r="F31" s="504"/>
      <c r="G31" s="769"/>
      <c r="H31" s="770"/>
      <c r="I31" s="513"/>
      <c r="J31" s="756"/>
      <c r="K31" s="757"/>
      <c r="L31" s="504"/>
      <c r="M31" s="769"/>
      <c r="N31" s="770"/>
      <c r="O31" s="513"/>
      <c r="P31" s="756"/>
      <c r="Q31" s="757"/>
      <c r="R31" s="504"/>
      <c r="S31" s="769"/>
      <c r="T31" s="770"/>
      <c r="U31" s="513"/>
      <c r="V31" s="756"/>
      <c r="W31" s="757"/>
      <c r="X31" s="504"/>
      <c r="Y31" s="769"/>
      <c r="Z31" s="770"/>
      <c r="AA31" s="513"/>
      <c r="AB31" s="756"/>
      <c r="AC31" s="757"/>
      <c r="AD31" s="504"/>
      <c r="AE31" s="769"/>
      <c r="AF31" s="770"/>
      <c r="AG31" s="513"/>
      <c r="AH31" s="756"/>
      <c r="AI31" s="757"/>
      <c r="AJ31" s="504"/>
      <c r="AK31" s="769"/>
      <c r="AL31" s="770"/>
      <c r="AM31" s="513"/>
      <c r="AN31" s="756" t="s">
        <v>2128</v>
      </c>
      <c r="AO31" s="757" t="s">
        <v>1014</v>
      </c>
      <c r="AP31" s="504" t="s">
        <v>402</v>
      </c>
      <c r="AQ31" s="769"/>
      <c r="AR31" s="770"/>
      <c r="AS31" s="513"/>
      <c r="AT31" s="756"/>
      <c r="AU31" s="757"/>
      <c r="AV31" s="504"/>
      <c r="AW31" s="769"/>
      <c r="AX31" s="770"/>
      <c r="AY31" s="513"/>
      <c r="AZ31" s="756"/>
      <c r="BA31" s="757"/>
      <c r="BB31" s="505"/>
    </row>
    <row r="32" spans="2:55" s="503" customFormat="1" ht="11.25" customHeight="1">
      <c r="C32" s="764"/>
      <c r="D32" s="760"/>
      <c r="E32" s="761"/>
      <c r="F32" s="504"/>
      <c r="G32" s="771"/>
      <c r="H32" s="772"/>
      <c r="I32" s="513"/>
      <c r="J32" s="760"/>
      <c r="K32" s="761"/>
      <c r="L32" s="504"/>
      <c r="M32" s="771"/>
      <c r="N32" s="772"/>
      <c r="O32" s="513"/>
      <c r="P32" s="760"/>
      <c r="Q32" s="761"/>
      <c r="R32" s="504"/>
      <c r="S32" s="771"/>
      <c r="T32" s="772"/>
      <c r="U32" s="513"/>
      <c r="V32" s="760"/>
      <c r="W32" s="761"/>
      <c r="X32" s="504"/>
      <c r="Y32" s="771"/>
      <c r="Z32" s="772"/>
      <c r="AA32" s="513"/>
      <c r="AB32" s="760"/>
      <c r="AC32" s="761"/>
      <c r="AD32" s="504"/>
      <c r="AE32" s="771"/>
      <c r="AF32" s="772"/>
      <c r="AG32" s="513"/>
      <c r="AH32" s="760"/>
      <c r="AI32" s="761"/>
      <c r="AJ32" s="504"/>
      <c r="AK32" s="771"/>
      <c r="AL32" s="772"/>
      <c r="AM32" s="513"/>
      <c r="AN32" s="760" t="s">
        <v>2244</v>
      </c>
      <c r="AO32" s="761" t="s">
        <v>2243</v>
      </c>
      <c r="AP32" s="504">
        <v>748</v>
      </c>
      <c r="AQ32" s="771"/>
      <c r="AR32" s="772"/>
      <c r="AS32" s="513"/>
      <c r="AT32" s="760"/>
      <c r="AU32" s="761"/>
      <c r="AV32" s="504"/>
      <c r="AW32" s="771"/>
      <c r="AX32" s="772"/>
      <c r="AY32" s="513"/>
      <c r="AZ32" s="760"/>
      <c r="BA32" s="761"/>
      <c r="BB32" s="514"/>
    </row>
    <row r="33" spans="2:54" s="311" customFormat="1" ht="12.75" customHeight="1">
      <c r="B33" s="744" t="s">
        <v>2454</v>
      </c>
      <c r="C33" s="746" t="s">
        <v>2419</v>
      </c>
      <c r="D33" s="506" t="s">
        <v>2469</v>
      </c>
      <c r="E33" s="507" t="str">
        <f>IF(E21=0,"A/C Type Not In", "FY2015")</f>
        <v>A/C Type Not In</v>
      </c>
      <c r="F33" s="758" t="str">
        <f>IF(E21=0,"", "% difference")</f>
        <v/>
      </c>
      <c r="G33" s="506" t="s">
        <v>2469</v>
      </c>
      <c r="H33" s="507" t="str">
        <f>IF(H21=0,"A/C Type Not In", "FY2015")</f>
        <v>A/C Type Not In</v>
      </c>
      <c r="I33" s="773" t="str">
        <f>IF(H21=0,"", "% difference")</f>
        <v/>
      </c>
      <c r="J33" s="506" t="s">
        <v>2469</v>
      </c>
      <c r="K33" s="507" t="str">
        <f>IF(K21=0,"A/C Type Not In", "FY2015")</f>
        <v>A/C Type Not In</v>
      </c>
      <c r="L33" s="758" t="str">
        <f>IF(K21=0,"", "% difference")</f>
        <v/>
      </c>
      <c r="M33" s="506" t="s">
        <v>2469</v>
      </c>
      <c r="N33" s="507" t="str">
        <f>IF(N21=0,"A/C Type Not In", "FY2015")</f>
        <v>A/C Type Not In</v>
      </c>
      <c r="O33" s="773" t="str">
        <f>IF(N21=0,"", "% difference")</f>
        <v/>
      </c>
      <c r="P33" s="506" t="s">
        <v>2469</v>
      </c>
      <c r="Q33" s="507" t="str">
        <f>IF(Q21=0,"A/C Type Not In", "FY2015")</f>
        <v>A/C Type Not In</v>
      </c>
      <c r="R33" s="758" t="str">
        <f>IF(Q21=0,"", "% difference")</f>
        <v/>
      </c>
      <c r="S33" s="506" t="s">
        <v>2469</v>
      </c>
      <c r="T33" s="507" t="str">
        <f>IF(T21=0,"A/C Type Not In", "FY2015")</f>
        <v>A/C Type Not In</v>
      </c>
      <c r="U33" s="773" t="str">
        <f>IF(T21=0,"", "% difference")</f>
        <v/>
      </c>
      <c r="V33" s="506" t="s">
        <v>2469</v>
      </c>
      <c r="W33" s="507" t="str">
        <f>IF(W21=0,"A/C Type Not In", "FY2015")</f>
        <v>A/C Type Not In</v>
      </c>
      <c r="X33" s="758" t="str">
        <f>IF(W21=0,"", "% difference")</f>
        <v/>
      </c>
      <c r="Y33" s="506" t="s">
        <v>2469</v>
      </c>
      <c r="Z33" s="507" t="str">
        <f>IF(Z21=0,"A/C Type Not In", "FY2015")</f>
        <v>A/C Type Not In</v>
      </c>
      <c r="AA33" s="773" t="str">
        <f>IF(Z21=0,"", "% difference")</f>
        <v/>
      </c>
      <c r="AB33" s="506" t="s">
        <v>2469</v>
      </c>
      <c r="AC33" s="507" t="str">
        <f>IF(AC21=0,"A/C Type Not In", "FY2015")</f>
        <v>A/C Type Not In</v>
      </c>
      <c r="AD33" s="758" t="str">
        <f>IF(AC21=0,"", "% difference")</f>
        <v/>
      </c>
      <c r="AE33" s="506" t="s">
        <v>2469</v>
      </c>
      <c r="AF33" s="507" t="str">
        <f>IF(AF21=0,"A/C Type Not In", "FY2015")</f>
        <v>A/C Type Not In</v>
      </c>
      <c r="AG33" s="773" t="str">
        <f>IF(AF21=0,"", "% difference")</f>
        <v/>
      </c>
      <c r="AH33" s="506" t="s">
        <v>2469</v>
      </c>
      <c r="AI33" s="507" t="str">
        <f>IF(AI21=0,"A/C Type Not In", "FY2015")</f>
        <v>A/C Type Not In</v>
      </c>
      <c r="AJ33" s="758" t="str">
        <f>IF(AI21=0,"", "% difference")</f>
        <v/>
      </c>
      <c r="AK33" s="506" t="s">
        <v>2469</v>
      </c>
      <c r="AL33" s="507" t="str">
        <f>IF(AL21=0,"A/C Type Not In", "FY2015")</f>
        <v>A/C Type Not In</v>
      </c>
      <c r="AM33" s="773" t="str">
        <f>IF(AL21=0,"", "% difference")</f>
        <v/>
      </c>
      <c r="AN33" s="506" t="s">
        <v>2469</v>
      </c>
      <c r="AO33" s="507" t="str">
        <f>IF(AO21=0,"A/C Type Not In", "FY2015")</f>
        <v>A/C Type Not In</v>
      </c>
      <c r="AP33" s="758" t="str">
        <f>IF(AO21=0,"", "% difference")</f>
        <v/>
      </c>
      <c r="AQ33" s="506" t="s">
        <v>2469</v>
      </c>
      <c r="AR33" s="507" t="str">
        <f>IF(AR21=0,"A/C Type Not In", "FY2015")</f>
        <v>A/C Type Not In</v>
      </c>
      <c r="AS33" s="773" t="str">
        <f>IF(AR21=0,"", "% difference")</f>
        <v/>
      </c>
      <c r="AT33" s="506" t="s">
        <v>2469</v>
      </c>
      <c r="AU33" s="507" t="str">
        <f>IF(AU21=0,"A/C Type Not In", "FY2015")</f>
        <v>A/C Type Not In</v>
      </c>
      <c r="AV33" s="758" t="str">
        <f>IF(AU21=0,"", "% difference")</f>
        <v/>
      </c>
      <c r="AW33" s="506" t="s">
        <v>2469</v>
      </c>
      <c r="AX33" s="507" t="str">
        <f>IF(AX21=0,"A/C Type Not In", "FY2015")</f>
        <v>A/C Type Not In</v>
      </c>
      <c r="AY33" s="773" t="str">
        <f>IF(AX21=0,"", "% difference")</f>
        <v/>
      </c>
      <c r="AZ33" s="506" t="s">
        <v>2469</v>
      </c>
      <c r="BA33" s="507" t="str">
        <f>IF(BA21=0,"A/C Type Not In", "FY2015")</f>
        <v>A/C Type Not In</v>
      </c>
      <c r="BB33" s="758" t="str">
        <f>IF(BA21=0,"", "% difference")</f>
        <v/>
      </c>
    </row>
    <row r="34" spans="2:54" s="311" customFormat="1" ht="12.75" customHeight="1">
      <c r="B34" s="745"/>
      <c r="C34" s="747"/>
      <c r="D34" s="508" t="s">
        <v>2447</v>
      </c>
      <c r="E34" s="509" t="str">
        <f>IF(E21=0,"Your Airline",IF(ISBLANK('Front Sheet'!$C$5)=TRUE,"Your Airline",'Front Sheet'!$C$5))</f>
        <v>Your Airline</v>
      </c>
      <c r="F34" s="759"/>
      <c r="G34" s="508" t="s">
        <v>2447</v>
      </c>
      <c r="H34" s="509" t="str">
        <f>IF(H21=0,"Your Airline",IF(ISBLANK('Front Sheet'!$C$5)=TRUE,"Your Airline",'Front Sheet'!$C$5))</f>
        <v>Your Airline</v>
      </c>
      <c r="I34" s="774"/>
      <c r="J34" s="508" t="s">
        <v>2447</v>
      </c>
      <c r="K34" s="509" t="str">
        <f>IF(K21=0,"Your Airline",IF(ISBLANK('Front Sheet'!$C$5)=TRUE,"Your Airline",'Front Sheet'!$C$5))</f>
        <v>Your Airline</v>
      </c>
      <c r="L34" s="759"/>
      <c r="M34" s="508" t="s">
        <v>2447</v>
      </c>
      <c r="N34" s="509" t="str">
        <f>IF(N21=0,"Your Airline",IF(ISBLANK('Front Sheet'!$C$5)=TRUE,"Your Airline",'Front Sheet'!$C$5))</f>
        <v>Your Airline</v>
      </c>
      <c r="O34" s="774"/>
      <c r="P34" s="508" t="s">
        <v>2447</v>
      </c>
      <c r="Q34" s="509" t="str">
        <f>IF(Q21=0,"Your Airline",IF(ISBLANK('Front Sheet'!$C$5)=TRUE,"Your Airline",'Front Sheet'!$C$5))</f>
        <v>Your Airline</v>
      </c>
      <c r="R34" s="759"/>
      <c r="S34" s="508" t="s">
        <v>2447</v>
      </c>
      <c r="T34" s="509" t="str">
        <f>IF(T21=0,"Your Airline",IF(ISBLANK('Front Sheet'!$C$5)=TRUE,"Your Airline",'Front Sheet'!$C$5))</f>
        <v>Your Airline</v>
      </c>
      <c r="U34" s="774"/>
      <c r="V34" s="508" t="s">
        <v>2447</v>
      </c>
      <c r="W34" s="509" t="str">
        <f>IF(W21=0,"Your Airline",IF(ISBLANK('Front Sheet'!$C$5)=TRUE,"Your Airline",'Front Sheet'!$C$5))</f>
        <v>Your Airline</v>
      </c>
      <c r="X34" s="759"/>
      <c r="Y34" s="508" t="s">
        <v>2447</v>
      </c>
      <c r="Z34" s="509" t="str">
        <f>IF(Z21=0,"Your Airline",IF(ISBLANK('Front Sheet'!$C$5)=TRUE,"Your Airline",'Front Sheet'!$C$5))</f>
        <v>Your Airline</v>
      </c>
      <c r="AA34" s="774"/>
      <c r="AB34" s="508" t="s">
        <v>2447</v>
      </c>
      <c r="AC34" s="509" t="str">
        <f>IF(AC21=0,"Your Airline",IF(ISBLANK('Front Sheet'!$C$5)=TRUE,"Your Airline",'Front Sheet'!$C$5))</f>
        <v>Your Airline</v>
      </c>
      <c r="AD34" s="759"/>
      <c r="AE34" s="508" t="s">
        <v>2447</v>
      </c>
      <c r="AF34" s="509" t="str">
        <f>IF(AF21=0,"Your Airline",IF(ISBLANK('Front Sheet'!$C$5)=TRUE,"Your Airline",'Front Sheet'!$C$5))</f>
        <v>Your Airline</v>
      </c>
      <c r="AG34" s="774"/>
      <c r="AH34" s="508" t="s">
        <v>2447</v>
      </c>
      <c r="AI34" s="509" t="str">
        <f>IF(AI21=0,"Your Airline",IF(ISBLANK('Front Sheet'!$C$5)=TRUE,"Your Airline",'Front Sheet'!$C$5))</f>
        <v>Your Airline</v>
      </c>
      <c r="AJ34" s="759"/>
      <c r="AK34" s="508" t="s">
        <v>2447</v>
      </c>
      <c r="AL34" s="509" t="str">
        <f>IF(AL21=0,"Your Airline",IF(ISBLANK('Front Sheet'!$C$5)=TRUE,"Your Airline",'Front Sheet'!$C$5))</f>
        <v>Your Airline</v>
      </c>
      <c r="AM34" s="774"/>
      <c r="AN34" s="508" t="s">
        <v>2447</v>
      </c>
      <c r="AO34" s="509" t="str">
        <f>IF(AO21=0,"Your Airline",IF(ISBLANK('Front Sheet'!$C$5)=TRUE,"Your Airline",'Front Sheet'!$C$5))</f>
        <v>Your Airline</v>
      </c>
      <c r="AP34" s="759"/>
      <c r="AQ34" s="508" t="s">
        <v>2447</v>
      </c>
      <c r="AR34" s="509" t="str">
        <f>IF(AR21=0,"Your Airline",IF(ISBLANK('Front Sheet'!$C$5)=TRUE,"Your Airline",'Front Sheet'!$C$5))</f>
        <v>Your Airline</v>
      </c>
      <c r="AS34" s="774"/>
      <c r="AT34" s="508" t="s">
        <v>2447</v>
      </c>
      <c r="AU34" s="509" t="str">
        <f>IF(AU21=0,"Your Airline",IF(ISBLANK('Front Sheet'!$C$5)=TRUE,"Your Airline",'Front Sheet'!$C$5))</f>
        <v>Your Airline</v>
      </c>
      <c r="AV34" s="759"/>
      <c r="AW34" s="508" t="s">
        <v>2447</v>
      </c>
      <c r="AX34" s="509" t="str">
        <f>IF(AX21=0,"Your Airline",IF(ISBLANK('Front Sheet'!$C$5)=TRUE,"Your Airline",'Front Sheet'!$C$5))</f>
        <v>Your Airline</v>
      </c>
      <c r="AY34" s="774"/>
      <c r="AZ34" s="508" t="s">
        <v>2447</v>
      </c>
      <c r="BA34" s="509" t="str">
        <f>IF(BA21=0,"Your Airline",IF(ISBLANK('Front Sheet'!$C$5)=TRUE,"Your Airline",'Front Sheet'!$C$5))</f>
        <v>Your Airline</v>
      </c>
      <c r="BB34" s="759"/>
    </row>
    <row r="35" spans="2:54" s="311" customFormat="1" ht="15" customHeight="1">
      <c r="B35" s="516" t="s">
        <v>2266</v>
      </c>
      <c r="C35" s="516" t="s">
        <v>1537</v>
      </c>
      <c r="D35" s="510">
        <v>497.70378459490956</v>
      </c>
      <c r="E35" s="522"/>
      <c r="F35" s="524"/>
      <c r="G35" s="510">
        <v>763.50133404445091</v>
      </c>
      <c r="H35" s="522"/>
      <c r="I35" s="524"/>
      <c r="J35" s="510">
        <v>750.96483394171537</v>
      </c>
      <c r="K35" s="522"/>
      <c r="L35" s="524"/>
      <c r="M35" s="510">
        <v>768.77676482648837</v>
      </c>
      <c r="N35" s="522"/>
      <c r="O35" s="524"/>
      <c r="P35" s="510">
        <v>631.8856111902636</v>
      </c>
      <c r="Q35" s="522"/>
      <c r="R35" s="524"/>
      <c r="S35" s="510">
        <v>476.66020376916867</v>
      </c>
      <c r="T35" s="522"/>
      <c r="U35" s="524"/>
      <c r="V35" s="510">
        <v>467.5934111174825</v>
      </c>
      <c r="W35" s="522"/>
      <c r="X35" s="524"/>
      <c r="Y35" s="510">
        <v>628.278077361089</v>
      </c>
      <c r="Z35" s="522"/>
      <c r="AA35" s="524"/>
      <c r="AB35" s="510">
        <v>1224.4912660670986</v>
      </c>
      <c r="AC35" s="522"/>
      <c r="AD35" s="524"/>
      <c r="AE35" s="510">
        <v>508.43821072615196</v>
      </c>
      <c r="AF35" s="522"/>
      <c r="AG35" s="524"/>
      <c r="AH35" s="510">
        <v>430.49217020121114</v>
      </c>
      <c r="AI35" s="522"/>
      <c r="AJ35" s="524"/>
      <c r="AK35" s="510">
        <v>440.08549110439304</v>
      </c>
      <c r="AL35" s="522"/>
      <c r="AM35" s="524"/>
      <c r="AN35" s="510">
        <v>1449.9879049531648</v>
      </c>
      <c r="AO35" s="522"/>
      <c r="AP35" s="524"/>
      <c r="AQ35" s="510">
        <v>710.49621916033141</v>
      </c>
      <c r="AR35" s="522"/>
      <c r="AS35" s="524"/>
      <c r="AT35" s="510">
        <v>410.36022568804344</v>
      </c>
      <c r="AU35" s="522"/>
      <c r="AV35" s="524"/>
      <c r="AW35" s="510">
        <v>1177.4992754900711</v>
      </c>
      <c r="AX35" s="522"/>
      <c r="AY35" s="524"/>
      <c r="AZ35" s="510">
        <v>624.29121538742629</v>
      </c>
      <c r="BA35" s="522"/>
      <c r="BB35" s="524"/>
    </row>
    <row r="36" spans="2:54" s="311" customFormat="1" ht="15" customHeight="1">
      <c r="B36" s="516" t="s">
        <v>2263</v>
      </c>
      <c r="C36" s="516" t="s">
        <v>2420</v>
      </c>
      <c r="D36" s="528">
        <v>0.19979053221814941</v>
      </c>
      <c r="E36" s="529"/>
      <c r="F36" s="524"/>
      <c r="G36" s="528">
        <v>0.19470892567250223</v>
      </c>
      <c r="H36" s="529"/>
      <c r="I36" s="524"/>
      <c r="J36" s="528">
        <v>0.16231962287073259</v>
      </c>
      <c r="K36" s="529"/>
      <c r="L36" s="524"/>
      <c r="M36" s="528">
        <v>0.13606795796344481</v>
      </c>
      <c r="N36" s="529"/>
      <c r="O36" s="524"/>
      <c r="P36" s="528">
        <v>0.23831725481690341</v>
      </c>
      <c r="Q36" s="529"/>
      <c r="R36" s="524"/>
      <c r="S36" s="528">
        <v>0.17042358826832069</v>
      </c>
      <c r="T36" s="529"/>
      <c r="U36" s="524"/>
      <c r="V36" s="528">
        <v>0.26057891243207265</v>
      </c>
      <c r="W36" s="529"/>
      <c r="X36" s="524"/>
      <c r="Y36" s="528">
        <v>0.25208065046499678</v>
      </c>
      <c r="Z36" s="529"/>
      <c r="AA36" s="524"/>
      <c r="AB36" s="528">
        <v>0.20796077633068452</v>
      </c>
      <c r="AC36" s="529"/>
      <c r="AD36" s="524"/>
      <c r="AE36" s="528">
        <v>0.3078050726213144</v>
      </c>
      <c r="AF36" s="529"/>
      <c r="AG36" s="524"/>
      <c r="AH36" s="528">
        <v>0.29410207008154754</v>
      </c>
      <c r="AI36" s="529"/>
      <c r="AJ36" s="524"/>
      <c r="AK36" s="528">
        <v>0.28564197080086717</v>
      </c>
      <c r="AL36" s="529"/>
      <c r="AM36" s="524"/>
      <c r="AN36" s="528">
        <v>0.20424385190717281</v>
      </c>
      <c r="AO36" s="529"/>
      <c r="AP36" s="524"/>
      <c r="AQ36" s="528">
        <v>0.1631201638927299</v>
      </c>
      <c r="AR36" s="529"/>
      <c r="AS36" s="524"/>
      <c r="AT36" s="528">
        <v>0.25499472062325862</v>
      </c>
      <c r="AU36" s="529"/>
      <c r="AV36" s="524"/>
      <c r="AW36" s="528">
        <v>0.19683107054091797</v>
      </c>
      <c r="AX36" s="529"/>
      <c r="AY36" s="524"/>
      <c r="AZ36" s="528">
        <v>0.13683493851502126</v>
      </c>
      <c r="BA36" s="529"/>
      <c r="BB36" s="524"/>
    </row>
    <row r="37" spans="2:54" s="311" customFormat="1" ht="15" customHeight="1">
      <c r="B37" s="516" t="s">
        <v>2407</v>
      </c>
      <c r="C37" s="516" t="s">
        <v>2421</v>
      </c>
      <c r="D37" s="528">
        <v>1.3072768552271338E-4</v>
      </c>
      <c r="E37" s="529"/>
      <c r="F37" s="524"/>
      <c r="G37" s="528">
        <v>8.7546662563734812E-5</v>
      </c>
      <c r="H37" s="529"/>
      <c r="I37" s="524"/>
      <c r="J37" s="528">
        <v>7.1010642550231216E-5</v>
      </c>
      <c r="K37" s="529"/>
      <c r="L37" s="524"/>
      <c r="M37" s="528">
        <v>8.4408298195823105E-5</v>
      </c>
      <c r="N37" s="529"/>
      <c r="O37" s="524"/>
      <c r="P37" s="528">
        <v>1.2364801581027314E-4</v>
      </c>
      <c r="Q37" s="529"/>
      <c r="R37" s="524"/>
      <c r="S37" s="528">
        <v>4.6275357145951817E-5</v>
      </c>
      <c r="T37" s="529"/>
      <c r="U37" s="524"/>
      <c r="V37" s="528">
        <v>1.9826084058466905E-4</v>
      </c>
      <c r="W37" s="529"/>
      <c r="X37" s="524"/>
      <c r="Y37" s="528">
        <v>8.5494647078448541E-5</v>
      </c>
      <c r="Z37" s="529"/>
      <c r="AA37" s="524"/>
      <c r="AB37" s="528">
        <v>5.4107215056270259E-5</v>
      </c>
      <c r="AC37" s="529"/>
      <c r="AD37" s="524"/>
      <c r="AE37" s="528">
        <v>7.2450042057735996E-5</v>
      </c>
      <c r="AF37" s="529"/>
      <c r="AG37" s="524"/>
      <c r="AH37" s="528">
        <v>1.6270380091685954E-4</v>
      </c>
      <c r="AI37" s="529"/>
      <c r="AJ37" s="524"/>
      <c r="AK37" s="528">
        <v>8.2864642379448534E-4</v>
      </c>
      <c r="AL37" s="529"/>
      <c r="AM37" s="524"/>
      <c r="AN37" s="528">
        <v>6.3832823083990784E-5</v>
      </c>
      <c r="AO37" s="529"/>
      <c r="AP37" s="524"/>
      <c r="AQ37" s="528">
        <v>7.6778814854708112E-5</v>
      </c>
      <c r="AR37" s="529"/>
      <c r="AS37" s="524"/>
      <c r="AT37" s="528">
        <v>2.2722630784281742E-4</v>
      </c>
      <c r="AU37" s="529"/>
      <c r="AV37" s="524"/>
      <c r="AW37" s="528">
        <v>1.4465965062632633E-4</v>
      </c>
      <c r="AX37" s="529"/>
      <c r="AY37" s="524"/>
      <c r="AZ37" s="528">
        <v>8.7801281912808238E-5</v>
      </c>
      <c r="BA37" s="529"/>
      <c r="BB37" s="524"/>
    </row>
    <row r="38" spans="2:54" s="311" customFormat="1" ht="15" customHeight="1">
      <c r="B38" s="516" t="s">
        <v>2269</v>
      </c>
      <c r="C38" s="516" t="s">
        <v>2421</v>
      </c>
      <c r="D38" s="528">
        <v>9.9900199995428193E-3</v>
      </c>
      <c r="E38" s="529"/>
      <c r="F38" s="524"/>
      <c r="G38" s="528">
        <v>7.2533566042630717E-3</v>
      </c>
      <c r="H38" s="529"/>
      <c r="I38" s="524"/>
      <c r="J38" s="528">
        <v>7.8887856381981546E-3</v>
      </c>
      <c r="K38" s="529"/>
      <c r="L38" s="524"/>
      <c r="M38" s="528">
        <v>7.848501624708154E-3</v>
      </c>
      <c r="N38" s="529"/>
      <c r="O38" s="524"/>
      <c r="P38" s="528">
        <v>8.7233389590187019E-3</v>
      </c>
      <c r="Q38" s="529"/>
      <c r="R38" s="524"/>
      <c r="S38" s="528">
        <v>5.6855362151483979E-3</v>
      </c>
      <c r="T38" s="529"/>
      <c r="U38" s="524"/>
      <c r="V38" s="528">
        <v>2.3709812518102256E-2</v>
      </c>
      <c r="W38" s="529"/>
      <c r="X38" s="524"/>
      <c r="Y38" s="528">
        <v>1.2390028859994425E-2</v>
      </c>
      <c r="Z38" s="529"/>
      <c r="AA38" s="524"/>
      <c r="AB38" s="528">
        <v>4.6097973539812086E-3</v>
      </c>
      <c r="AC38" s="529"/>
      <c r="AD38" s="524"/>
      <c r="AE38" s="528">
        <v>2.1560766529495009E-2</v>
      </c>
      <c r="AF38" s="529"/>
      <c r="AG38" s="524"/>
      <c r="AH38" s="528">
        <v>1.8661507459402125E-2</v>
      </c>
      <c r="AI38" s="529"/>
      <c r="AJ38" s="524"/>
      <c r="AK38" s="528">
        <v>4.5740093007072109E-2</v>
      </c>
      <c r="AL38" s="529"/>
      <c r="AM38" s="524"/>
      <c r="AN38" s="528">
        <v>4.7532939218732449E-3</v>
      </c>
      <c r="AO38" s="529"/>
      <c r="AP38" s="524"/>
      <c r="AQ38" s="528">
        <v>4.7249352138332241E-3</v>
      </c>
      <c r="AR38" s="529"/>
      <c r="AS38" s="524"/>
      <c r="AT38" s="528">
        <v>5.1488587423951593E-3</v>
      </c>
      <c r="AU38" s="529"/>
      <c r="AV38" s="524"/>
      <c r="AW38" s="528">
        <v>8.4951936172445713E-3</v>
      </c>
      <c r="AX38" s="529"/>
      <c r="AY38" s="524"/>
      <c r="AZ38" s="528">
        <v>8.2721442206814128E-3</v>
      </c>
      <c r="BA38" s="529"/>
      <c r="BB38" s="524"/>
    </row>
    <row r="39" spans="2:54" s="311" customFormat="1" ht="15" customHeight="1">
      <c r="B39" s="516" t="s">
        <v>2272</v>
      </c>
      <c r="C39" s="516" t="s">
        <v>1537</v>
      </c>
      <c r="D39" s="510">
        <v>302.52609992907099</v>
      </c>
      <c r="E39" s="522"/>
      <c r="F39" s="524"/>
      <c r="G39" s="510">
        <v>344.7043134733072</v>
      </c>
      <c r="H39" s="522"/>
      <c r="I39" s="524"/>
      <c r="J39" s="510">
        <v>569.99008079798261</v>
      </c>
      <c r="K39" s="522"/>
      <c r="L39" s="524"/>
      <c r="M39" s="510">
        <v>631.01957344973175</v>
      </c>
      <c r="N39" s="522"/>
      <c r="O39" s="524"/>
      <c r="P39" s="510">
        <v>399.8925867029447</v>
      </c>
      <c r="Q39" s="522"/>
      <c r="R39" s="524"/>
      <c r="S39" s="510">
        <v>390.06182187634761</v>
      </c>
      <c r="T39" s="522"/>
      <c r="U39" s="524"/>
      <c r="V39" s="510">
        <v>187.8589874927608</v>
      </c>
      <c r="W39" s="522"/>
      <c r="X39" s="524"/>
      <c r="Y39" s="510">
        <v>151.2854176358785</v>
      </c>
      <c r="Z39" s="522"/>
      <c r="AA39" s="524"/>
      <c r="AB39" s="510">
        <v>847.64418217786601</v>
      </c>
      <c r="AC39" s="522"/>
      <c r="AD39" s="524"/>
      <c r="AE39" s="510">
        <v>131.13914798352511</v>
      </c>
      <c r="AF39" s="522"/>
      <c r="AG39" s="524"/>
      <c r="AH39" s="510">
        <v>146.93379453446317</v>
      </c>
      <c r="AI39" s="522"/>
      <c r="AJ39" s="524"/>
      <c r="AK39" s="510">
        <v>102.03893768960438</v>
      </c>
      <c r="AL39" s="522"/>
      <c r="AM39" s="524"/>
      <c r="AN39" s="510">
        <v>959.54809990469994</v>
      </c>
      <c r="AO39" s="522"/>
      <c r="AP39" s="524"/>
      <c r="AQ39" s="510">
        <v>438.38167263260777</v>
      </c>
      <c r="AR39" s="522"/>
      <c r="AS39" s="524"/>
      <c r="AT39" s="510">
        <v>492.55895637017119</v>
      </c>
      <c r="AU39" s="522"/>
      <c r="AV39" s="524"/>
      <c r="AW39" s="510">
        <v>984.16215984166774</v>
      </c>
      <c r="AX39" s="522"/>
      <c r="AY39" s="524"/>
      <c r="AZ39" s="510">
        <v>567.7625270946146</v>
      </c>
      <c r="BA39" s="522"/>
      <c r="BB39" s="524"/>
    </row>
    <row r="40" spans="2:54" s="311" customFormat="1" ht="15" customHeight="1">
      <c r="B40" s="516" t="s">
        <v>2264</v>
      </c>
      <c r="C40" s="516" t="s">
        <v>2421</v>
      </c>
      <c r="D40" s="528">
        <v>6.3521500275603065E-3</v>
      </c>
      <c r="E40" s="529"/>
      <c r="F40" s="524"/>
      <c r="G40" s="528">
        <v>1.0019944530219265E-2</v>
      </c>
      <c r="H40" s="529"/>
      <c r="I40" s="524"/>
      <c r="J40" s="528">
        <v>7.2162368128490806E-3</v>
      </c>
      <c r="K40" s="529"/>
      <c r="L40" s="524"/>
      <c r="M40" s="528">
        <v>5.7198984197498609E-3</v>
      </c>
      <c r="N40" s="529"/>
      <c r="O40" s="524"/>
      <c r="P40" s="528">
        <v>1.1851414548547231E-2</v>
      </c>
      <c r="Q40" s="529"/>
      <c r="R40" s="524"/>
      <c r="S40" s="528">
        <v>6.9726615632724554E-3</v>
      </c>
      <c r="T40" s="529"/>
      <c r="U40" s="524"/>
      <c r="V40" s="528">
        <v>2.2674820543917121E-2</v>
      </c>
      <c r="W40" s="529"/>
      <c r="X40" s="524"/>
      <c r="Y40" s="528">
        <v>1.3599047356476025E-2</v>
      </c>
      <c r="Z40" s="529"/>
      <c r="AA40" s="524"/>
      <c r="AB40" s="528">
        <v>9.4506082502142132E-3</v>
      </c>
      <c r="AC40" s="529"/>
      <c r="AD40" s="524"/>
      <c r="AE40" s="528">
        <v>1.0582671337715992E-2</v>
      </c>
      <c r="AF40" s="529"/>
      <c r="AG40" s="524"/>
      <c r="AH40" s="528">
        <v>1.840553640271924E-2</v>
      </c>
      <c r="AI40" s="529"/>
      <c r="AJ40" s="524"/>
      <c r="AK40" s="528">
        <v>6.1051169018359608E-2</v>
      </c>
      <c r="AL40" s="529"/>
      <c r="AM40" s="524"/>
      <c r="AN40" s="528">
        <v>5.1270487681428986E-3</v>
      </c>
      <c r="AO40" s="529"/>
      <c r="AP40" s="524"/>
      <c r="AQ40" s="528">
        <v>6.5017595153548796E-3</v>
      </c>
      <c r="AR40" s="529"/>
      <c r="AS40" s="524"/>
      <c r="AT40" s="528">
        <v>8.4800129955181301E-3</v>
      </c>
      <c r="AU40" s="529"/>
      <c r="AV40" s="524"/>
      <c r="AW40" s="528">
        <v>6.1680659701722883E-3</v>
      </c>
      <c r="AX40" s="529"/>
      <c r="AY40" s="524"/>
      <c r="AZ40" s="528">
        <v>5.9315592909498982E-3</v>
      </c>
      <c r="BA40" s="529"/>
      <c r="BB40" s="524"/>
    </row>
    <row r="41" spans="2:54" s="311" customFormat="1" ht="15" customHeight="1">
      <c r="B41" s="516" t="s">
        <v>2270</v>
      </c>
      <c r="C41" s="516" t="s">
        <v>118</v>
      </c>
      <c r="D41" s="510">
        <v>800.31554116395807</v>
      </c>
      <c r="E41" s="522"/>
      <c r="F41" s="524"/>
      <c r="G41" s="510">
        <v>1316.2006368657414</v>
      </c>
      <c r="H41" s="522"/>
      <c r="I41" s="524"/>
      <c r="J41" s="510">
        <v>3413.2389710151901</v>
      </c>
      <c r="K41" s="522"/>
      <c r="L41" s="524"/>
      <c r="M41" s="510">
        <v>3642.7889871187208</v>
      </c>
      <c r="N41" s="522"/>
      <c r="O41" s="524"/>
      <c r="P41" s="510">
        <v>1171.7745572636779</v>
      </c>
      <c r="Q41" s="522"/>
      <c r="R41" s="524"/>
      <c r="S41" s="510">
        <v>1411.1547196222127</v>
      </c>
      <c r="T41" s="522"/>
      <c r="U41" s="524"/>
      <c r="V41" s="510">
        <v>685.09513546788367</v>
      </c>
      <c r="W41" s="522"/>
      <c r="X41" s="524"/>
      <c r="Y41" s="510">
        <v>830.43439993662616</v>
      </c>
      <c r="Z41" s="522"/>
      <c r="AA41" s="524"/>
      <c r="AB41" s="510">
        <v>5321.4883582905186</v>
      </c>
      <c r="AC41" s="522"/>
      <c r="AD41" s="524"/>
      <c r="AE41" s="510">
        <v>529.4011234445536</v>
      </c>
      <c r="AF41" s="522"/>
      <c r="AG41" s="524"/>
      <c r="AH41" s="510">
        <v>755.2558599865614</v>
      </c>
      <c r="AI41" s="522"/>
      <c r="AJ41" s="524"/>
      <c r="AK41" s="510">
        <v>176.33805002267826</v>
      </c>
      <c r="AL41" s="522"/>
      <c r="AM41" s="524"/>
      <c r="AN41" s="510">
        <v>8207.1954910475815</v>
      </c>
      <c r="AO41" s="522"/>
      <c r="AP41" s="524"/>
      <c r="AQ41" s="510">
        <v>2396.0217561479326</v>
      </c>
      <c r="AR41" s="522"/>
      <c r="AS41" s="524"/>
      <c r="AT41" s="510">
        <v>818.75266965185835</v>
      </c>
      <c r="AU41" s="522"/>
      <c r="AV41" s="524"/>
      <c r="AW41" s="510">
        <v>11181.907956431587</v>
      </c>
      <c r="AX41" s="522"/>
      <c r="AY41" s="524"/>
      <c r="AZ41" s="510">
        <v>3350.7734912820633</v>
      </c>
      <c r="BA41" s="522"/>
      <c r="BB41" s="524"/>
    </row>
    <row r="42" spans="2:54" s="311" customFormat="1" ht="15" customHeight="1">
      <c r="B42" s="516" t="s">
        <v>2268</v>
      </c>
      <c r="C42" s="516" t="s">
        <v>118</v>
      </c>
      <c r="D42" s="510">
        <v>764.157692211464</v>
      </c>
      <c r="E42" s="522"/>
      <c r="F42" s="524"/>
      <c r="G42" s="510">
        <v>1548.7917764158656</v>
      </c>
      <c r="H42" s="522"/>
      <c r="I42" s="524"/>
      <c r="J42" s="510">
        <v>3912.5973032853722</v>
      </c>
      <c r="K42" s="522"/>
      <c r="L42" s="524"/>
      <c r="M42" s="510">
        <v>5092.6118031193037</v>
      </c>
      <c r="N42" s="522"/>
      <c r="O42" s="524"/>
      <c r="P42" s="510">
        <v>1523.2095843553427</v>
      </c>
      <c r="Q42" s="522"/>
      <c r="R42" s="524"/>
      <c r="S42" s="510">
        <v>1752.9658875609234</v>
      </c>
      <c r="T42" s="522"/>
      <c r="U42" s="524"/>
      <c r="V42" s="510">
        <v>371.49391849602711</v>
      </c>
      <c r="W42" s="522"/>
      <c r="X42" s="524"/>
      <c r="Y42" s="510">
        <v>579.15224995214896</v>
      </c>
      <c r="Z42" s="522"/>
      <c r="AA42" s="524"/>
      <c r="AB42" s="510">
        <v>7681.6703197983252</v>
      </c>
      <c r="AC42" s="522"/>
      <c r="AD42" s="524"/>
      <c r="AE42" s="510">
        <v>483.07879054262588</v>
      </c>
      <c r="AF42" s="522"/>
      <c r="AG42" s="524"/>
      <c r="AH42" s="510">
        <v>633.48426790420206</v>
      </c>
      <c r="AI42" s="522"/>
      <c r="AJ42" s="524"/>
      <c r="AK42" s="510">
        <v>420.39680961619894</v>
      </c>
      <c r="AL42" s="522"/>
      <c r="AM42" s="524"/>
      <c r="AN42" s="510">
        <v>9759.2802305282603</v>
      </c>
      <c r="AO42" s="522"/>
      <c r="AP42" s="524"/>
      <c r="AQ42" s="510">
        <v>2455.8439130699671</v>
      </c>
      <c r="AR42" s="522"/>
      <c r="AS42" s="524"/>
      <c r="AT42" s="510">
        <v>887.70452380202073</v>
      </c>
      <c r="AU42" s="522"/>
      <c r="AV42" s="524"/>
      <c r="AW42" s="510">
        <v>9290.4272491154825</v>
      </c>
      <c r="AX42" s="522"/>
      <c r="AY42" s="524"/>
      <c r="AZ42" s="510">
        <v>3452.8102900687154</v>
      </c>
      <c r="BA42" s="522"/>
      <c r="BB42" s="524"/>
    </row>
    <row r="43" spans="2:54" s="311" customFormat="1" ht="15" customHeight="1">
      <c r="B43" s="516" t="s">
        <v>2452</v>
      </c>
      <c r="C43" s="516" t="s">
        <v>2422</v>
      </c>
      <c r="D43" s="510">
        <v>0.64352622837333739</v>
      </c>
      <c r="E43" s="522"/>
      <c r="F43" s="524"/>
      <c r="G43" s="510">
        <v>0.56628183783550012</v>
      </c>
      <c r="H43" s="522"/>
      <c r="I43" s="524"/>
      <c r="J43" s="510">
        <v>0.54867261226893793</v>
      </c>
      <c r="K43" s="522"/>
      <c r="L43" s="524"/>
      <c r="M43" s="510">
        <v>0.4973628226127742</v>
      </c>
      <c r="N43" s="522"/>
      <c r="O43" s="524"/>
      <c r="P43" s="510">
        <v>0.59466463360381339</v>
      </c>
      <c r="Q43" s="522"/>
      <c r="R43" s="524"/>
      <c r="S43" s="510">
        <v>0.56416069982611683</v>
      </c>
      <c r="T43" s="522"/>
      <c r="U43" s="524"/>
      <c r="V43" s="510">
        <v>0.56257314419886606</v>
      </c>
      <c r="W43" s="522"/>
      <c r="X43" s="524"/>
      <c r="Y43" s="510">
        <v>0.5700935858622761</v>
      </c>
      <c r="Z43" s="522"/>
      <c r="AA43" s="524"/>
      <c r="AB43" s="510">
        <v>0.56178978175933325</v>
      </c>
      <c r="AC43" s="522"/>
      <c r="AD43" s="524"/>
      <c r="AE43" s="510">
        <v>0.6446481934415732</v>
      </c>
      <c r="AF43" s="522"/>
      <c r="AG43" s="524"/>
      <c r="AH43" s="510">
        <v>0.55917791535263095</v>
      </c>
      <c r="AI43" s="522"/>
      <c r="AJ43" s="524"/>
      <c r="AK43" s="510">
        <v>0.61817670835262006</v>
      </c>
      <c r="AL43" s="522"/>
      <c r="AM43" s="524"/>
      <c r="AN43" s="510">
        <v>0.54600563779086053</v>
      </c>
      <c r="AO43" s="522"/>
      <c r="AP43" s="524"/>
      <c r="AQ43" s="510">
        <v>0.57758421430578766</v>
      </c>
      <c r="AR43" s="522"/>
      <c r="AS43" s="524"/>
      <c r="AT43" s="510">
        <v>0.57103774482210723</v>
      </c>
      <c r="AU43" s="522"/>
      <c r="AV43" s="524"/>
      <c r="AW43" s="510">
        <v>0.49905571990967512</v>
      </c>
      <c r="AX43" s="522"/>
      <c r="AY43" s="524"/>
      <c r="AZ43" s="510">
        <v>0.55388575653099381</v>
      </c>
      <c r="BA43" s="522"/>
      <c r="BB43" s="524"/>
    </row>
    <row r="44" spans="2:54" s="311" customFormat="1" ht="15" customHeight="1">
      <c r="B44" s="517" t="s">
        <v>2451</v>
      </c>
      <c r="C44" s="517" t="s">
        <v>2420</v>
      </c>
      <c r="D44" s="526">
        <v>310.46214343612161</v>
      </c>
      <c r="E44" s="527"/>
      <c r="F44" s="524"/>
      <c r="G44" s="526">
        <v>343.8374898561791</v>
      </c>
      <c r="H44" s="527"/>
      <c r="I44" s="524"/>
      <c r="J44" s="526">
        <v>295.84057822658343</v>
      </c>
      <c r="K44" s="527"/>
      <c r="L44" s="524"/>
      <c r="M44" s="526">
        <v>273.57886793517258</v>
      </c>
      <c r="N44" s="527"/>
      <c r="O44" s="524"/>
      <c r="P44" s="526">
        <v>400.75908562552718</v>
      </c>
      <c r="Q44" s="527"/>
      <c r="R44" s="524"/>
      <c r="S44" s="526">
        <v>302.08341049074835</v>
      </c>
      <c r="T44" s="527"/>
      <c r="U44" s="524"/>
      <c r="V44" s="526">
        <v>463.19116921791709</v>
      </c>
      <c r="W44" s="527"/>
      <c r="X44" s="524"/>
      <c r="Y44" s="526">
        <v>442.17415651804004</v>
      </c>
      <c r="Z44" s="527"/>
      <c r="AA44" s="524"/>
      <c r="AB44" s="526">
        <v>370.17543409106264</v>
      </c>
      <c r="AC44" s="527"/>
      <c r="AD44" s="524"/>
      <c r="AE44" s="526">
        <v>477.47760057782881</v>
      </c>
      <c r="AF44" s="527"/>
      <c r="AG44" s="524"/>
      <c r="AH44" s="526">
        <v>525.95437338772535</v>
      </c>
      <c r="AI44" s="527"/>
      <c r="AJ44" s="524"/>
      <c r="AK44" s="526">
        <v>462.07171338123499</v>
      </c>
      <c r="AL44" s="527"/>
      <c r="AM44" s="524"/>
      <c r="AN44" s="526">
        <v>374.06912634372003</v>
      </c>
      <c r="AO44" s="527"/>
      <c r="AP44" s="524"/>
      <c r="AQ44" s="526">
        <v>282.41797447457589</v>
      </c>
      <c r="AR44" s="527"/>
      <c r="AS44" s="524"/>
      <c r="AT44" s="526">
        <v>446.54617481143202</v>
      </c>
      <c r="AU44" s="527"/>
      <c r="AV44" s="524"/>
      <c r="AW44" s="526">
        <v>394.40700244161661</v>
      </c>
      <c r="AX44" s="527"/>
      <c r="AY44" s="524"/>
      <c r="AZ44" s="526">
        <v>247.04541848489362</v>
      </c>
      <c r="BA44" s="527"/>
      <c r="BB44" s="524"/>
    </row>
    <row r="45" spans="2:54" s="311" customFormat="1" ht="15" customHeight="1">
      <c r="B45" s="517" t="s">
        <v>2410</v>
      </c>
      <c r="C45" s="517" t="s">
        <v>601</v>
      </c>
      <c r="D45" s="511">
        <v>269168.27203467663</v>
      </c>
      <c r="E45" s="523"/>
      <c r="F45" s="524"/>
      <c r="G45" s="511">
        <v>275049.35978939472</v>
      </c>
      <c r="H45" s="523"/>
      <c r="I45" s="524"/>
      <c r="J45" s="511">
        <v>628041.24697071849</v>
      </c>
      <c r="K45" s="523"/>
      <c r="L45" s="524"/>
      <c r="M45" s="511">
        <v>933083.46708757186</v>
      </c>
      <c r="N45" s="523"/>
      <c r="O45" s="524"/>
      <c r="P45" s="511">
        <v>207109.64513903233</v>
      </c>
      <c r="Q45" s="523"/>
      <c r="R45" s="524"/>
      <c r="S45" s="511">
        <v>341033.95759639109</v>
      </c>
      <c r="T45" s="523"/>
      <c r="U45" s="524"/>
      <c r="V45" s="511">
        <v>52054.098719036294</v>
      </c>
      <c r="W45" s="523"/>
      <c r="X45" s="524"/>
      <c r="Y45" s="511">
        <v>139889.7037587089</v>
      </c>
      <c r="Z45" s="523"/>
      <c r="AA45" s="524"/>
      <c r="AB45" s="511">
        <v>719378.5654575259</v>
      </c>
      <c r="AC45" s="523"/>
      <c r="AD45" s="524"/>
      <c r="AE45" s="511">
        <v>48688.201827737357</v>
      </c>
      <c r="AF45" s="523"/>
      <c r="AG45" s="524"/>
      <c r="AH45" s="511">
        <v>76675.636356119328</v>
      </c>
      <c r="AI45" s="523"/>
      <c r="AJ45" s="524"/>
      <c r="AK45" s="511">
        <v>24456.306216196317</v>
      </c>
      <c r="AL45" s="523"/>
      <c r="AM45" s="524"/>
      <c r="AN45" s="511">
        <v>884859.27889100928</v>
      </c>
      <c r="AO45" s="523"/>
      <c r="AP45" s="524"/>
      <c r="AQ45" s="511">
        <v>343724.2564636562</v>
      </c>
      <c r="AR45" s="523"/>
      <c r="AS45" s="524"/>
      <c r="AT45" s="511">
        <v>94993.376571361907</v>
      </c>
      <c r="AU45" s="523"/>
      <c r="AV45" s="524"/>
      <c r="AW45" s="511">
        <v>1418310.7336599999</v>
      </c>
      <c r="AX45" s="523"/>
      <c r="AY45" s="524"/>
      <c r="AZ45" s="511">
        <v>696895.14711359574</v>
      </c>
      <c r="BA45" s="523"/>
      <c r="BB45" s="524"/>
    </row>
    <row r="46" spans="2:54" s="311" customFormat="1" ht="15" customHeight="1">
      <c r="B46" s="517" t="s">
        <v>2411</v>
      </c>
      <c r="C46" s="517" t="s">
        <v>601</v>
      </c>
      <c r="D46" s="511">
        <v>346571.77072844486</v>
      </c>
      <c r="E46" s="523"/>
      <c r="F46" s="524"/>
      <c r="G46" s="511">
        <v>342776.25610421272</v>
      </c>
      <c r="H46" s="523"/>
      <c r="I46" s="524"/>
      <c r="J46" s="511">
        <v>798664.66674435604</v>
      </c>
      <c r="K46" s="523"/>
      <c r="L46" s="524"/>
      <c r="M46" s="511">
        <v>1186960.6204311198</v>
      </c>
      <c r="N46" s="523"/>
      <c r="O46" s="524"/>
      <c r="P46" s="511">
        <v>262918.79084744188</v>
      </c>
      <c r="Q46" s="523"/>
      <c r="R46" s="524"/>
      <c r="S46" s="511">
        <v>420889.42862681032</v>
      </c>
      <c r="T46" s="523"/>
      <c r="U46" s="524"/>
      <c r="V46" s="511">
        <v>70856.68936924584</v>
      </c>
      <c r="W46" s="523"/>
      <c r="X46" s="524"/>
      <c r="Y46" s="511">
        <v>169192.39816127237</v>
      </c>
      <c r="Z46" s="523"/>
      <c r="AA46" s="524"/>
      <c r="AB46" s="511">
        <v>892452.4367960837</v>
      </c>
      <c r="AC46" s="523"/>
      <c r="AD46" s="524"/>
      <c r="AE46" s="511">
        <v>63725.707434688222</v>
      </c>
      <c r="AF46" s="523"/>
      <c r="AG46" s="524"/>
      <c r="AH46" s="511">
        <v>96993.359804422071</v>
      </c>
      <c r="AI46" s="523"/>
      <c r="AJ46" s="524"/>
      <c r="AK46" s="511">
        <v>33865.987638036808</v>
      </c>
      <c r="AL46" s="523"/>
      <c r="AM46" s="524"/>
      <c r="AN46" s="511">
        <v>1061462.0224837323</v>
      </c>
      <c r="AO46" s="523"/>
      <c r="AP46" s="524"/>
      <c r="AQ46" s="511">
        <v>442052.68623038742</v>
      </c>
      <c r="AR46" s="523"/>
      <c r="AS46" s="524"/>
      <c r="AT46" s="511">
        <v>127180.50594486666</v>
      </c>
      <c r="AU46" s="523"/>
      <c r="AV46" s="524"/>
      <c r="AW46" s="511">
        <v>1742986.0098000001</v>
      </c>
      <c r="AX46" s="523"/>
      <c r="AY46" s="524"/>
      <c r="AZ46" s="511">
        <v>915145.50822464074</v>
      </c>
      <c r="BA46" s="523"/>
      <c r="BB46" s="524"/>
    </row>
    <row r="47" spans="2:54" s="311" customFormat="1" ht="15" customHeight="1">
      <c r="B47" s="517" t="s">
        <v>2408</v>
      </c>
      <c r="C47" s="517" t="s">
        <v>601</v>
      </c>
      <c r="D47" s="511">
        <v>27450.684761484306</v>
      </c>
      <c r="E47" s="523"/>
      <c r="F47" s="524"/>
      <c r="G47" s="511">
        <v>26636.930964769901</v>
      </c>
      <c r="H47" s="523"/>
      <c r="I47" s="524"/>
      <c r="J47" s="511">
        <v>77553.935784523346</v>
      </c>
      <c r="K47" s="523"/>
      <c r="L47" s="524"/>
      <c r="M47" s="511">
        <v>131873.69940363069</v>
      </c>
      <c r="N47" s="523"/>
      <c r="O47" s="524"/>
      <c r="P47" s="511">
        <v>20061.828317005584</v>
      </c>
      <c r="Q47" s="523"/>
      <c r="R47" s="524"/>
      <c r="S47" s="511">
        <v>34621.888938650256</v>
      </c>
      <c r="T47" s="523"/>
      <c r="U47" s="524"/>
      <c r="V47" s="511">
        <v>5186.1535773024189</v>
      </c>
      <c r="W47" s="523"/>
      <c r="X47" s="524"/>
      <c r="Y47" s="511">
        <v>13236.091256719099</v>
      </c>
      <c r="Z47" s="523"/>
      <c r="AA47" s="524"/>
      <c r="AB47" s="511">
        <v>83369.814735074207</v>
      </c>
      <c r="AC47" s="523"/>
      <c r="AD47" s="524"/>
      <c r="AE47" s="511">
        <v>4904.0225895926915</v>
      </c>
      <c r="AF47" s="523"/>
      <c r="AG47" s="524"/>
      <c r="AH47" s="511">
        <v>7530.1951415981557</v>
      </c>
      <c r="AI47" s="523"/>
      <c r="AJ47" s="524"/>
      <c r="AK47" s="511">
        <v>2276.2607367995906</v>
      </c>
      <c r="AL47" s="523"/>
      <c r="AM47" s="524"/>
      <c r="AN47" s="511">
        <v>95423.929884985002</v>
      </c>
      <c r="AO47" s="523"/>
      <c r="AP47" s="524"/>
      <c r="AQ47" s="511">
        <v>41282.611842645951</v>
      </c>
      <c r="AR47" s="523"/>
      <c r="AS47" s="524"/>
      <c r="AT47" s="511">
        <v>8881.555233641011</v>
      </c>
      <c r="AU47" s="523"/>
      <c r="AV47" s="524"/>
      <c r="AW47" s="511">
        <v>160900.14875809406</v>
      </c>
      <c r="AX47" s="523"/>
      <c r="AY47" s="524"/>
      <c r="AZ47" s="511">
        <v>85155.341376268581</v>
      </c>
      <c r="BA47" s="523"/>
      <c r="BB47" s="524"/>
    </row>
    <row r="48" spans="2:54" s="311" customFormat="1" ht="15" customHeight="1">
      <c r="B48" s="517" t="s">
        <v>2409</v>
      </c>
      <c r="C48" s="517" t="s">
        <v>601</v>
      </c>
      <c r="D48" s="511">
        <v>40350.850703027354</v>
      </c>
      <c r="E48" s="523"/>
      <c r="F48" s="524"/>
      <c r="G48" s="511">
        <v>36369.418044384031</v>
      </c>
      <c r="H48" s="523"/>
      <c r="I48" s="524"/>
      <c r="J48" s="511">
        <v>112474.09033449963</v>
      </c>
      <c r="K48" s="523"/>
      <c r="L48" s="524"/>
      <c r="M48" s="511">
        <v>189902.90197648108</v>
      </c>
      <c r="N48" s="523"/>
      <c r="O48" s="524"/>
      <c r="P48" s="511">
        <v>29202.051116401039</v>
      </c>
      <c r="Q48" s="523"/>
      <c r="R48" s="524"/>
      <c r="S48" s="511">
        <v>48115.470273831488</v>
      </c>
      <c r="T48" s="523"/>
      <c r="U48" s="524"/>
      <c r="V48" s="511">
        <v>7605.9693803836881</v>
      </c>
      <c r="W48" s="523"/>
      <c r="X48" s="524"/>
      <c r="Y48" s="511">
        <v>19600.088865451919</v>
      </c>
      <c r="Z48" s="523"/>
      <c r="AA48" s="524"/>
      <c r="AB48" s="511">
        <v>117588.29247026294</v>
      </c>
      <c r="AC48" s="523"/>
      <c r="AD48" s="524"/>
      <c r="AE48" s="511">
        <v>6695.0608973971466</v>
      </c>
      <c r="AF48" s="523"/>
      <c r="AG48" s="524"/>
      <c r="AH48" s="511">
        <v>9768.6843853776882</v>
      </c>
      <c r="AI48" s="523"/>
      <c r="AJ48" s="524"/>
      <c r="AK48" s="511">
        <v>3425.0818347443751</v>
      </c>
      <c r="AL48" s="523"/>
      <c r="AM48" s="524"/>
      <c r="AN48" s="511">
        <v>119303.16108558756</v>
      </c>
      <c r="AO48" s="523"/>
      <c r="AP48" s="524"/>
      <c r="AQ48" s="511">
        <v>68639.942417521132</v>
      </c>
      <c r="AR48" s="523"/>
      <c r="AS48" s="524"/>
      <c r="AT48" s="511">
        <v>14734.251137376781</v>
      </c>
      <c r="AU48" s="523"/>
      <c r="AV48" s="524"/>
      <c r="AW48" s="511">
        <v>212342.32450068006</v>
      </c>
      <c r="AX48" s="523"/>
      <c r="AY48" s="524"/>
      <c r="AZ48" s="511">
        <v>122264.33561637203</v>
      </c>
      <c r="BA48" s="523"/>
      <c r="BB48" s="524"/>
    </row>
    <row r="49" spans="2:54" s="311" customFormat="1" ht="15" customHeight="1">
      <c r="B49" s="517" t="s">
        <v>2413</v>
      </c>
      <c r="C49" s="517" t="s">
        <v>601</v>
      </c>
      <c r="D49" s="511">
        <v>1614.9431623216483</v>
      </c>
      <c r="E49" s="523"/>
      <c r="F49" s="524"/>
      <c r="G49" s="511">
        <v>1593.9957781094577</v>
      </c>
      <c r="H49" s="523"/>
      <c r="I49" s="524"/>
      <c r="J49" s="511">
        <v>855.7767771885392</v>
      </c>
      <c r="K49" s="523"/>
      <c r="L49" s="524"/>
      <c r="M49" s="511">
        <v>735.98718970782409</v>
      </c>
      <c r="N49" s="523"/>
      <c r="O49" s="524"/>
      <c r="P49" s="511">
        <v>1694.5164138936391</v>
      </c>
      <c r="Q49" s="523"/>
      <c r="R49" s="524"/>
      <c r="S49" s="511">
        <v>1501.1471105619542</v>
      </c>
      <c r="T49" s="523"/>
      <c r="U49" s="524"/>
      <c r="V49" s="511">
        <v>2176.4344262295081</v>
      </c>
      <c r="W49" s="523"/>
      <c r="X49" s="524"/>
      <c r="Y49" s="511">
        <v>1681.5198214638071</v>
      </c>
      <c r="Z49" s="523"/>
      <c r="AA49" s="524"/>
      <c r="AB49" s="511">
        <v>447.23867693620463</v>
      </c>
      <c r="AC49" s="523"/>
      <c r="AD49" s="524"/>
      <c r="AE49" s="511">
        <v>1010.0642201834862</v>
      </c>
      <c r="AF49" s="523"/>
      <c r="AG49" s="524"/>
      <c r="AH49" s="511">
        <v>1277.7777777777778</v>
      </c>
      <c r="AI49" s="523"/>
      <c r="AJ49" s="524"/>
      <c r="AK49" s="511">
        <v>1534.5092024539879</v>
      </c>
      <c r="AL49" s="523"/>
      <c r="AM49" s="524"/>
      <c r="AN49" s="511">
        <v>426.84116521115965</v>
      </c>
      <c r="AO49" s="523"/>
      <c r="AP49" s="524"/>
      <c r="AQ49" s="511">
        <v>484.97209063009336</v>
      </c>
      <c r="AR49" s="523"/>
      <c r="AS49" s="524"/>
      <c r="AT49" s="511">
        <v>929.63106747775146</v>
      </c>
      <c r="AU49" s="523"/>
      <c r="AV49" s="524"/>
      <c r="AW49" s="511">
        <v>497.28</v>
      </c>
      <c r="AX49" s="523"/>
      <c r="AY49" s="524"/>
      <c r="AZ49" s="511">
        <v>673.06356752581655</v>
      </c>
      <c r="BA49" s="523"/>
      <c r="BB49" s="524"/>
    </row>
    <row r="50" spans="2:54" s="311" customFormat="1" ht="15" customHeight="1">
      <c r="B50" s="517" t="s">
        <v>2414</v>
      </c>
      <c r="C50" s="517" t="s">
        <v>601</v>
      </c>
      <c r="D50" s="511">
        <v>3122.8917521656113</v>
      </c>
      <c r="E50" s="523"/>
      <c r="F50" s="524"/>
      <c r="G50" s="511">
        <v>3199.5960413807534</v>
      </c>
      <c r="H50" s="523"/>
      <c r="I50" s="524"/>
      <c r="J50" s="511">
        <v>3779.6651366648757</v>
      </c>
      <c r="K50" s="523"/>
      <c r="L50" s="524"/>
      <c r="M50" s="511">
        <v>4381.5628240371379</v>
      </c>
      <c r="N50" s="523"/>
      <c r="O50" s="524"/>
      <c r="P50" s="511">
        <v>2963.1975669184599</v>
      </c>
      <c r="Q50" s="523"/>
      <c r="R50" s="524"/>
      <c r="S50" s="511">
        <v>3237.2393127063046</v>
      </c>
      <c r="T50" s="523"/>
      <c r="U50" s="524"/>
      <c r="V50" s="511">
        <v>2285.1999180327866</v>
      </c>
      <c r="W50" s="523"/>
      <c r="X50" s="524"/>
      <c r="Y50" s="511">
        <v>2496.2852135872263</v>
      </c>
      <c r="Z50" s="523"/>
      <c r="AA50" s="524"/>
      <c r="AB50" s="511">
        <v>3907.1764774338121</v>
      </c>
      <c r="AC50" s="523"/>
      <c r="AD50" s="524"/>
      <c r="AE50" s="511">
        <v>1384.2216422018344</v>
      </c>
      <c r="AF50" s="523"/>
      <c r="AG50" s="524"/>
      <c r="AH50" s="511">
        <v>2055.9231111111108</v>
      </c>
      <c r="AI50" s="523"/>
      <c r="AJ50" s="524"/>
      <c r="AK50" s="511">
        <v>1374.4750852760733</v>
      </c>
      <c r="AL50" s="523"/>
      <c r="AM50" s="524"/>
      <c r="AN50" s="511">
        <v>3294.5965296276545</v>
      </c>
      <c r="AO50" s="523"/>
      <c r="AP50" s="524"/>
      <c r="AQ50" s="511">
        <v>2293.4202708673733</v>
      </c>
      <c r="AR50" s="523"/>
      <c r="AS50" s="524"/>
      <c r="AT50" s="511">
        <v>1551.2747477938042</v>
      </c>
      <c r="AU50" s="523"/>
      <c r="AV50" s="524"/>
      <c r="AW50" s="511">
        <v>4482.3812520000001</v>
      </c>
      <c r="AX50" s="523"/>
      <c r="AY50" s="524"/>
      <c r="AZ50" s="511">
        <v>4025.3722911376731</v>
      </c>
      <c r="BA50" s="523"/>
      <c r="BB50" s="524"/>
    </row>
    <row r="51" spans="2:54" s="311" customFormat="1" ht="15" customHeight="1">
      <c r="B51" s="517" t="s">
        <v>2457</v>
      </c>
      <c r="C51" s="517"/>
      <c r="D51" s="530">
        <v>1.9337471590493194</v>
      </c>
      <c r="E51" s="531"/>
      <c r="F51" s="524"/>
      <c r="G51" s="530">
        <v>2.0072801228969386</v>
      </c>
      <c r="H51" s="531"/>
      <c r="I51" s="524"/>
      <c r="J51" s="530">
        <v>4.4166484034330882</v>
      </c>
      <c r="K51" s="531"/>
      <c r="L51" s="524"/>
      <c r="M51" s="530">
        <v>5.9533139778921313</v>
      </c>
      <c r="N51" s="531"/>
      <c r="O51" s="524"/>
      <c r="P51" s="530">
        <v>1.7486980607698339</v>
      </c>
      <c r="Q51" s="531"/>
      <c r="R51" s="524"/>
      <c r="S51" s="530">
        <v>2.1565103712549827</v>
      </c>
      <c r="T51" s="531"/>
      <c r="U51" s="524"/>
      <c r="V51" s="530">
        <v>1.0499741643913001</v>
      </c>
      <c r="W51" s="531"/>
      <c r="X51" s="524"/>
      <c r="Y51" s="530">
        <v>1.484541057276473</v>
      </c>
      <c r="Z51" s="531"/>
      <c r="AA51" s="524"/>
      <c r="AB51" s="530">
        <v>8.7362222431204071</v>
      </c>
      <c r="AC51" s="531"/>
      <c r="AD51" s="524"/>
      <c r="AE51" s="530">
        <v>1.3704293395823679</v>
      </c>
      <c r="AF51" s="531"/>
      <c r="AG51" s="524"/>
      <c r="AH51" s="530">
        <v>1.6089833043478259</v>
      </c>
      <c r="AI51" s="531"/>
      <c r="AJ51" s="524"/>
      <c r="AK51" s="530">
        <v>0.89570990064967493</v>
      </c>
      <c r="AL51" s="531"/>
      <c r="AM51" s="524"/>
      <c r="AN51" s="530">
        <v>7.7185538747131082</v>
      </c>
      <c r="AO51" s="531"/>
      <c r="AP51" s="524"/>
      <c r="AQ51" s="530">
        <v>4.7289737186477643</v>
      </c>
      <c r="AR51" s="531"/>
      <c r="AS51" s="524"/>
      <c r="AT51" s="530">
        <v>1.6686993389782883</v>
      </c>
      <c r="AU51" s="531"/>
      <c r="AV51" s="524"/>
      <c r="AW51" s="530">
        <v>9.0137975627413134</v>
      </c>
      <c r="AX51" s="531"/>
      <c r="AY51" s="524"/>
      <c r="AZ51" s="530">
        <v>5.980671789939473</v>
      </c>
      <c r="BA51" s="531"/>
      <c r="BB51" s="524"/>
    </row>
    <row r="52" spans="2:54" s="311" customFormat="1" ht="15" customHeight="1">
      <c r="B52" s="517" t="s">
        <v>2453</v>
      </c>
      <c r="C52" s="517"/>
      <c r="D52" s="512">
        <v>9.5031973019984903</v>
      </c>
      <c r="E52" s="527"/>
      <c r="F52" s="524"/>
      <c r="G52" s="512">
        <v>9.0199738450045324</v>
      </c>
      <c r="H52" s="527"/>
      <c r="I52" s="524"/>
      <c r="J52" s="512">
        <v>11.032019121883016</v>
      </c>
      <c r="K52" s="527"/>
      <c r="L52" s="524"/>
      <c r="M52" s="512">
        <v>12.38605987947507</v>
      </c>
      <c r="N52" s="527"/>
      <c r="O52" s="524"/>
      <c r="P52" s="512">
        <v>8.3560943532832379</v>
      </c>
      <c r="Q52" s="527"/>
      <c r="R52" s="524"/>
      <c r="S52" s="512">
        <v>9.0152154105594953</v>
      </c>
      <c r="T52" s="527"/>
      <c r="U52" s="524"/>
      <c r="V52" s="512">
        <v>6.4340928392736805</v>
      </c>
      <c r="W52" s="527"/>
      <c r="X52" s="524"/>
      <c r="Y52" s="512">
        <v>7.9693190349934868</v>
      </c>
      <c r="Z52" s="527"/>
      <c r="AA52" s="524"/>
      <c r="AB52" s="512">
        <v>11.897676926318464</v>
      </c>
      <c r="AC52" s="527"/>
      <c r="AD52" s="524"/>
      <c r="AE52" s="512">
        <v>6.7399121728960383</v>
      </c>
      <c r="AF52" s="527"/>
      <c r="AG52" s="524"/>
      <c r="AH52" s="512">
        <v>7.7563875492899301</v>
      </c>
      <c r="AI52" s="527"/>
      <c r="AJ52" s="524"/>
      <c r="AK52" s="512">
        <v>5.1578878002386785</v>
      </c>
      <c r="AL52" s="527"/>
      <c r="AM52" s="524"/>
      <c r="AN52" s="512">
        <v>11.890332097513438</v>
      </c>
      <c r="AO52" s="527"/>
      <c r="AP52" s="524"/>
      <c r="AQ52" s="512">
        <v>9.7818225689079394</v>
      </c>
      <c r="AR52" s="527"/>
      <c r="AS52" s="524"/>
      <c r="AT52" s="512">
        <v>6.1810800225528135</v>
      </c>
      <c r="AU52" s="527"/>
      <c r="AV52" s="524"/>
      <c r="AW52" s="512">
        <v>13.489421252832992</v>
      </c>
      <c r="AX52" s="527"/>
      <c r="AY52" s="524"/>
      <c r="AZ52" s="512">
        <v>12.760379531762347</v>
      </c>
      <c r="BA52" s="527"/>
      <c r="BB52" s="524"/>
    </row>
    <row r="53" spans="2:54" s="311" customFormat="1" ht="15" customHeight="1">
      <c r="B53" s="517" t="s">
        <v>2416</v>
      </c>
      <c r="C53" s="517"/>
      <c r="D53" s="512">
        <v>7.6375841033176863</v>
      </c>
      <c r="E53" s="527"/>
      <c r="F53" s="524"/>
      <c r="G53" s="512">
        <v>10.806690560278172</v>
      </c>
      <c r="H53" s="527"/>
      <c r="I53" s="524"/>
      <c r="J53" s="512">
        <v>7.374061064317007</v>
      </c>
      <c r="K53" s="527"/>
      <c r="L53" s="524"/>
      <c r="M53" s="512">
        <v>7.7469523419931736</v>
      </c>
      <c r="N53" s="527"/>
      <c r="O53" s="524"/>
      <c r="P53" s="512">
        <v>14.642877901953963</v>
      </c>
      <c r="Q53" s="527"/>
      <c r="R53" s="524"/>
      <c r="S53" s="512">
        <v>7.4409282020898138</v>
      </c>
      <c r="T53" s="527"/>
      <c r="U53" s="524"/>
      <c r="V53" s="512">
        <v>13.320098809791142</v>
      </c>
      <c r="W53" s="527"/>
      <c r="X53" s="524"/>
      <c r="Y53" s="512">
        <v>7.9640776826316024</v>
      </c>
      <c r="Z53" s="527"/>
      <c r="AA53" s="524"/>
      <c r="AB53" s="512">
        <v>16.116124254565637</v>
      </c>
      <c r="AC53" s="527"/>
      <c r="AD53" s="524"/>
      <c r="AE53" s="512">
        <v>10.813889580738898</v>
      </c>
      <c r="AF53" s="527"/>
      <c r="AG53" s="524"/>
      <c r="AH53" s="512">
        <v>11.283485540334855</v>
      </c>
      <c r="AI53" s="527"/>
      <c r="AJ53" s="524"/>
      <c r="AK53" s="512">
        <v>6.4350241545893727</v>
      </c>
      <c r="AL53" s="527"/>
      <c r="AM53" s="524"/>
      <c r="AN53" s="512">
        <v>14.93937592739403</v>
      </c>
      <c r="AO53" s="527"/>
      <c r="AP53" s="524"/>
      <c r="AQ53" s="512">
        <v>21.183358687853293</v>
      </c>
      <c r="AR53" s="527"/>
      <c r="AS53" s="524"/>
      <c r="AT53" s="512">
        <v>19.685600893829385</v>
      </c>
      <c r="AU53" s="527"/>
      <c r="AV53" s="524"/>
      <c r="AW53" s="512">
        <v>6.0179999999999998</v>
      </c>
      <c r="AX53" s="527"/>
      <c r="AY53" s="524"/>
      <c r="AZ53" s="512">
        <v>2.3382260581932193</v>
      </c>
      <c r="BA53" s="527"/>
      <c r="BB53" s="524"/>
    </row>
    <row r="54" spans="2:54" s="311" customFormat="1" ht="15" customHeight="1">
      <c r="B54" s="517" t="s">
        <v>2417</v>
      </c>
      <c r="C54" s="517"/>
      <c r="D54" s="512">
        <v>823.36272323568426</v>
      </c>
      <c r="E54" s="527"/>
      <c r="F54" s="524"/>
      <c r="G54" s="512">
        <v>617.50414494034464</v>
      </c>
      <c r="H54" s="527"/>
      <c r="I54" s="524"/>
      <c r="J54" s="512">
        <v>359.84208523592088</v>
      </c>
      <c r="K54" s="527"/>
      <c r="L54" s="524"/>
      <c r="M54" s="512">
        <v>253.74218819506538</v>
      </c>
      <c r="N54" s="527"/>
      <c r="O54" s="524"/>
      <c r="P54" s="512">
        <v>195.45753424657534</v>
      </c>
      <c r="Q54" s="527"/>
      <c r="R54" s="524"/>
      <c r="S54" s="512">
        <v>408.20849315068494</v>
      </c>
      <c r="T54" s="527"/>
      <c r="U54" s="524"/>
      <c r="V54" s="512">
        <v>122</v>
      </c>
      <c r="W54" s="527"/>
      <c r="X54" s="524"/>
      <c r="Y54" s="512">
        <v>175.74220430107528</v>
      </c>
      <c r="Z54" s="527"/>
      <c r="AA54" s="524"/>
      <c r="AB54" s="512">
        <v>71.82741935483871</v>
      </c>
      <c r="AC54" s="527"/>
      <c r="AD54" s="524"/>
      <c r="AE54" s="512">
        <v>109</v>
      </c>
      <c r="AF54" s="527"/>
      <c r="AG54" s="524"/>
      <c r="AH54" s="512">
        <v>45</v>
      </c>
      <c r="AI54" s="527"/>
      <c r="AJ54" s="524"/>
      <c r="AK54" s="512">
        <v>97.8</v>
      </c>
      <c r="AL54" s="527"/>
      <c r="AM54" s="524"/>
      <c r="AN54" s="512">
        <v>69.412236716538189</v>
      </c>
      <c r="AO54" s="527"/>
      <c r="AP54" s="524"/>
      <c r="AQ54" s="512">
        <v>96.432353332412617</v>
      </c>
      <c r="AR54" s="527"/>
      <c r="AS54" s="524"/>
      <c r="AT54" s="512">
        <v>29.346050228310499</v>
      </c>
      <c r="AU54" s="527"/>
      <c r="AV54" s="524"/>
      <c r="AW54" s="512">
        <v>50</v>
      </c>
      <c r="AX54" s="527"/>
      <c r="AY54" s="524"/>
      <c r="AZ54" s="512">
        <v>140.57216073631992</v>
      </c>
      <c r="BA54" s="527"/>
      <c r="BB54" s="524"/>
    </row>
    <row r="55" spans="2:54">
      <c r="AI55" s="288"/>
      <c r="AJ55" s="288"/>
    </row>
    <row r="56" spans="2:54">
      <c r="AI56" s="288"/>
      <c r="AJ56" s="288"/>
    </row>
    <row r="57" spans="2:54">
      <c r="AI57" s="288"/>
      <c r="AJ57" s="288"/>
    </row>
    <row r="58" spans="2:54">
      <c r="AI58" s="288"/>
      <c r="AJ58" s="288"/>
    </row>
    <row r="59" spans="2:54">
      <c r="AI59" s="288"/>
      <c r="AJ59" s="288"/>
    </row>
    <row r="60" spans="2:54">
      <c r="AI60" s="288"/>
      <c r="AJ60" s="288"/>
    </row>
    <row r="61" spans="2:54">
      <c r="AI61" s="288"/>
      <c r="AJ61" s="288"/>
    </row>
    <row r="62" spans="2:54">
      <c r="AI62" s="288"/>
      <c r="AJ62" s="288"/>
    </row>
    <row r="63" spans="2:54">
      <c r="AI63" s="288"/>
      <c r="AJ63" s="288"/>
    </row>
    <row r="64" spans="2:54">
      <c r="AI64" s="288"/>
      <c r="AJ64" s="288"/>
    </row>
    <row r="65" spans="35:36">
      <c r="AI65" s="288"/>
      <c r="AJ65" s="288"/>
    </row>
    <row r="66" spans="35:36">
      <c r="AI66" s="288"/>
      <c r="AJ66" s="288"/>
    </row>
    <row r="67" spans="35:36">
      <c r="AI67" s="288"/>
      <c r="AJ67" s="288"/>
    </row>
    <row r="68" spans="35:36">
      <c r="AI68" s="288"/>
      <c r="AJ68" s="288"/>
    </row>
    <row r="69" spans="35:36">
      <c r="AI69" s="288"/>
      <c r="AJ69" s="288"/>
    </row>
    <row r="70" spans="35:36">
      <c r="AI70" s="288"/>
      <c r="AJ70" s="288"/>
    </row>
    <row r="71" spans="35:36">
      <c r="AI71" s="288"/>
      <c r="AJ71" s="288"/>
    </row>
    <row r="72" spans="35:36">
      <c r="AI72" s="288"/>
      <c r="AJ72" s="288"/>
    </row>
    <row r="73" spans="35:36">
      <c r="AI73" s="288"/>
      <c r="AJ73" s="288"/>
    </row>
    <row r="74" spans="35:36">
      <c r="AI74" s="288"/>
      <c r="AJ74" s="288"/>
    </row>
    <row r="75" spans="35:36">
      <c r="AI75" s="288"/>
      <c r="AJ75" s="288"/>
    </row>
    <row r="76" spans="35:36">
      <c r="AI76" s="288"/>
      <c r="AJ76" s="288"/>
    </row>
    <row r="77" spans="35:36">
      <c r="AI77" s="288"/>
      <c r="AJ77" s="288"/>
    </row>
    <row r="78" spans="35:36">
      <c r="AI78" s="288"/>
      <c r="AJ78" s="288"/>
    </row>
    <row r="79" spans="35:36">
      <c r="AI79" s="288"/>
      <c r="AJ79" s="288"/>
    </row>
    <row r="80" spans="35:36">
      <c r="AI80" s="288"/>
      <c r="AJ80" s="288"/>
    </row>
    <row r="81" spans="35:36">
      <c r="AI81" s="288"/>
      <c r="AJ81" s="288"/>
    </row>
    <row r="82" spans="35:36">
      <c r="AI82" s="288"/>
      <c r="AJ82" s="288"/>
    </row>
    <row r="83" spans="35:36">
      <c r="AI83" s="288"/>
      <c r="AJ83" s="288"/>
    </row>
    <row r="84" spans="35:36">
      <c r="AI84" s="288"/>
      <c r="AJ84" s="288"/>
    </row>
    <row r="85" spans="35:36">
      <c r="AI85" s="288"/>
      <c r="AJ85" s="288"/>
    </row>
    <row r="86" spans="35:36">
      <c r="AI86" s="288"/>
      <c r="AJ86" s="288"/>
    </row>
    <row r="87" spans="35:36">
      <c r="AI87" s="288"/>
      <c r="AJ87" s="288"/>
    </row>
    <row r="88" spans="35:36">
      <c r="AI88" s="288"/>
      <c r="AJ88" s="288"/>
    </row>
    <row r="89" spans="35:36">
      <c r="AI89" s="288"/>
      <c r="AJ89" s="288"/>
    </row>
    <row r="90" spans="35:36">
      <c r="AI90" s="288"/>
      <c r="AJ90" s="288"/>
    </row>
    <row r="91" spans="35:36">
      <c r="AI91" s="288"/>
      <c r="AJ91" s="288"/>
    </row>
    <row r="92" spans="35:36">
      <c r="AI92" s="288"/>
      <c r="AJ92" s="288"/>
    </row>
    <row r="93" spans="35:36">
      <c r="AI93" s="288"/>
      <c r="AJ93" s="288"/>
    </row>
    <row r="94" spans="35:36">
      <c r="AI94" s="288"/>
      <c r="AJ94" s="288"/>
    </row>
    <row r="95" spans="35:36">
      <c r="AI95" s="288"/>
      <c r="AJ95" s="288"/>
    </row>
    <row r="96" spans="35:36">
      <c r="AI96" s="288"/>
      <c r="AJ96" s="288"/>
    </row>
    <row r="97" spans="35:36">
      <c r="AI97" s="288"/>
      <c r="AJ97" s="288"/>
    </row>
    <row r="98" spans="35:36">
      <c r="AI98" s="288"/>
      <c r="AJ98" s="288"/>
    </row>
    <row r="99" spans="35:36">
      <c r="AI99" s="288"/>
      <c r="AJ99" s="288"/>
    </row>
    <row r="100" spans="35:36">
      <c r="AI100" s="288"/>
      <c r="AJ100" s="288"/>
    </row>
    <row r="101" spans="35:36">
      <c r="AI101" s="288"/>
      <c r="AJ101" s="288"/>
    </row>
    <row r="102" spans="35:36">
      <c r="AI102" s="288"/>
      <c r="AJ102" s="288"/>
    </row>
    <row r="103" spans="35:36">
      <c r="AI103" s="288"/>
      <c r="AJ103" s="288"/>
    </row>
    <row r="104" spans="35:36">
      <c r="AI104" s="288"/>
      <c r="AJ104" s="288"/>
    </row>
    <row r="105" spans="35:36">
      <c r="AI105" s="288"/>
      <c r="AJ105" s="288"/>
    </row>
    <row r="106" spans="35:36">
      <c r="AI106" s="288"/>
      <c r="AJ106" s="288"/>
    </row>
    <row r="107" spans="35:36">
      <c r="AI107" s="288"/>
      <c r="AJ107" s="288"/>
    </row>
    <row r="108" spans="35:36">
      <c r="AI108" s="288"/>
      <c r="AJ108" s="288"/>
    </row>
    <row r="109" spans="35:36">
      <c r="AI109" s="288"/>
      <c r="AJ109" s="288"/>
    </row>
    <row r="110" spans="35:36">
      <c r="AI110" s="288"/>
      <c r="AJ110" s="288"/>
    </row>
    <row r="111" spans="35:36">
      <c r="AI111" s="288"/>
      <c r="AJ111" s="288"/>
    </row>
    <row r="112" spans="35:36">
      <c r="AI112" s="288"/>
      <c r="AJ112" s="288"/>
    </row>
    <row r="113" spans="35:36">
      <c r="AI113" s="288"/>
      <c r="AJ113" s="288"/>
    </row>
    <row r="114" spans="35:36">
      <c r="AI114" s="288"/>
      <c r="AJ114" s="288"/>
    </row>
    <row r="115" spans="35:36">
      <c r="AI115" s="288"/>
      <c r="AJ115" s="288"/>
    </row>
    <row r="116" spans="35:36">
      <c r="AI116" s="288"/>
      <c r="AJ116" s="288"/>
    </row>
    <row r="117" spans="35:36">
      <c r="AI117" s="288"/>
      <c r="AJ117" s="288"/>
    </row>
    <row r="118" spans="35:36">
      <c r="AI118" s="288"/>
      <c r="AJ118" s="288"/>
    </row>
    <row r="119" spans="35:36">
      <c r="AI119" s="288"/>
      <c r="AJ119" s="288"/>
    </row>
    <row r="120" spans="35:36">
      <c r="AI120" s="288"/>
      <c r="AJ120" s="288"/>
    </row>
    <row r="121" spans="35:36">
      <c r="AI121" s="288"/>
      <c r="AJ121" s="288"/>
    </row>
    <row r="122" spans="35:36">
      <c r="AI122" s="288"/>
      <c r="AJ122" s="288"/>
    </row>
    <row r="123" spans="35:36">
      <c r="AI123" s="288"/>
      <c r="AJ123" s="288"/>
    </row>
    <row r="124" spans="35:36">
      <c r="AI124" s="288"/>
      <c r="AJ124" s="288"/>
    </row>
    <row r="125" spans="35:36">
      <c r="AI125" s="288"/>
      <c r="AJ125" s="288"/>
    </row>
    <row r="126" spans="35:36">
      <c r="AI126" s="288"/>
      <c r="AJ126" s="288"/>
    </row>
    <row r="127" spans="35:36">
      <c r="AI127" s="288"/>
      <c r="AJ127" s="288"/>
    </row>
    <row r="128" spans="35:36">
      <c r="AI128" s="288"/>
      <c r="AJ128" s="288"/>
    </row>
    <row r="129" spans="35:36">
      <c r="AI129" s="288"/>
      <c r="AJ129" s="288"/>
    </row>
    <row r="130" spans="35:36">
      <c r="AI130" s="288"/>
      <c r="AJ130" s="288"/>
    </row>
    <row r="131" spans="35:36">
      <c r="AI131" s="288"/>
      <c r="AJ131" s="288"/>
    </row>
    <row r="132" spans="35:36">
      <c r="AI132" s="288"/>
      <c r="AJ132" s="288"/>
    </row>
    <row r="133" spans="35:36">
      <c r="AI133" s="288"/>
      <c r="AJ133" s="288"/>
    </row>
    <row r="134" spans="35:36">
      <c r="AI134" s="288"/>
      <c r="AJ134" s="288"/>
    </row>
    <row r="135" spans="35:36">
      <c r="AI135" s="288"/>
      <c r="AJ135" s="288"/>
    </row>
    <row r="136" spans="35:36">
      <c r="AI136" s="288"/>
      <c r="AJ136" s="288"/>
    </row>
    <row r="137" spans="35:36">
      <c r="AI137" s="288"/>
      <c r="AJ137" s="288"/>
    </row>
    <row r="138" spans="35:36">
      <c r="AI138" s="288"/>
      <c r="AJ138" s="288"/>
    </row>
    <row r="139" spans="35:36">
      <c r="AI139" s="288"/>
      <c r="AJ139" s="288"/>
    </row>
    <row r="140" spans="35:36">
      <c r="AI140" s="288"/>
      <c r="AJ140" s="288"/>
    </row>
    <row r="141" spans="35:36">
      <c r="AI141" s="288"/>
      <c r="AJ141" s="288"/>
    </row>
    <row r="142" spans="35:36">
      <c r="AI142" s="288"/>
      <c r="AJ142" s="288"/>
    </row>
    <row r="143" spans="35:36">
      <c r="AI143" s="288"/>
      <c r="AJ143" s="288"/>
    </row>
    <row r="144" spans="35:36">
      <c r="AI144" s="288"/>
      <c r="AJ144" s="288"/>
    </row>
    <row r="145" spans="35:36">
      <c r="AI145" s="288"/>
      <c r="AJ145" s="288"/>
    </row>
    <row r="146" spans="35:36">
      <c r="AI146" s="288"/>
      <c r="AJ146" s="288"/>
    </row>
    <row r="147" spans="35:36">
      <c r="AI147" s="288"/>
      <c r="AJ147" s="288"/>
    </row>
    <row r="148" spans="35:36">
      <c r="AI148" s="288"/>
      <c r="AJ148" s="288"/>
    </row>
    <row r="149" spans="35:36">
      <c r="AI149" s="288"/>
      <c r="AJ149" s="288"/>
    </row>
    <row r="150" spans="35:36">
      <c r="AI150" s="288"/>
      <c r="AJ150" s="288"/>
    </row>
    <row r="151" spans="35:36">
      <c r="AI151" s="288"/>
      <c r="AJ151" s="288"/>
    </row>
    <row r="152" spans="35:36">
      <c r="AI152" s="288"/>
      <c r="AJ152" s="288"/>
    </row>
    <row r="153" spans="35:36">
      <c r="AI153" s="288"/>
      <c r="AJ153" s="288"/>
    </row>
    <row r="154" spans="35:36">
      <c r="AI154" s="288"/>
      <c r="AJ154" s="288"/>
    </row>
    <row r="155" spans="35:36">
      <c r="AI155" s="288"/>
      <c r="AJ155" s="288"/>
    </row>
    <row r="156" spans="35:36">
      <c r="AI156" s="288"/>
      <c r="AJ156" s="288"/>
    </row>
    <row r="157" spans="35:36">
      <c r="AI157" s="288"/>
      <c r="AJ157" s="288"/>
    </row>
    <row r="158" spans="35:36">
      <c r="AI158" s="288"/>
      <c r="AJ158" s="288"/>
    </row>
    <row r="159" spans="35:36">
      <c r="AI159" s="288"/>
      <c r="AJ159" s="288"/>
    </row>
    <row r="160" spans="35:36">
      <c r="AI160" s="288"/>
      <c r="AJ160" s="288"/>
    </row>
    <row r="161" spans="35:36">
      <c r="AI161" s="288"/>
      <c r="AJ161" s="288"/>
    </row>
    <row r="162" spans="35:36">
      <c r="AI162" s="288"/>
      <c r="AJ162" s="288"/>
    </row>
    <row r="163" spans="35:36">
      <c r="AI163" s="288"/>
      <c r="AJ163" s="288"/>
    </row>
    <row r="164" spans="35:36">
      <c r="AI164" s="288"/>
      <c r="AJ164" s="288"/>
    </row>
    <row r="165" spans="35:36">
      <c r="AI165" s="288"/>
      <c r="AJ165" s="288"/>
    </row>
    <row r="166" spans="35:36">
      <c r="AI166" s="288"/>
      <c r="AJ166" s="288"/>
    </row>
    <row r="167" spans="35:36">
      <c r="AI167" s="288"/>
      <c r="AJ167" s="288"/>
    </row>
    <row r="168" spans="35:36">
      <c r="AI168" s="288"/>
      <c r="AJ168" s="288"/>
    </row>
    <row r="169" spans="35:36">
      <c r="AI169" s="288"/>
      <c r="AJ169" s="288"/>
    </row>
    <row r="170" spans="35:36">
      <c r="AI170" s="288"/>
      <c r="AJ170" s="288"/>
    </row>
    <row r="171" spans="35:36">
      <c r="AI171" s="288"/>
      <c r="AJ171" s="288"/>
    </row>
    <row r="172" spans="35:36">
      <c r="AI172" s="288"/>
      <c r="AJ172" s="288"/>
    </row>
    <row r="173" spans="35:36">
      <c r="AI173" s="288"/>
      <c r="AJ173" s="288"/>
    </row>
    <row r="174" spans="35:36">
      <c r="AI174" s="288"/>
      <c r="AJ174" s="288"/>
    </row>
    <row r="175" spans="35:36">
      <c r="AI175" s="288"/>
      <c r="AJ175" s="288"/>
    </row>
    <row r="176" spans="35:36">
      <c r="AI176" s="288"/>
      <c r="AJ176" s="288"/>
    </row>
    <row r="177" spans="35:36">
      <c r="AI177" s="288"/>
      <c r="AJ177" s="288"/>
    </row>
    <row r="178" spans="35:36">
      <c r="AI178" s="288"/>
      <c r="AJ178" s="288"/>
    </row>
    <row r="179" spans="35:36">
      <c r="AI179" s="288"/>
      <c r="AJ179" s="288"/>
    </row>
    <row r="180" spans="35:36">
      <c r="AI180" s="288"/>
      <c r="AJ180" s="288"/>
    </row>
    <row r="181" spans="35:36">
      <c r="AI181" s="288"/>
      <c r="AJ181" s="288"/>
    </row>
    <row r="182" spans="35:36">
      <c r="AI182" s="288"/>
      <c r="AJ182" s="288"/>
    </row>
    <row r="183" spans="35:36">
      <c r="AI183" s="288"/>
      <c r="AJ183" s="288"/>
    </row>
    <row r="184" spans="35:36">
      <c r="AI184" s="288"/>
      <c r="AJ184" s="288"/>
    </row>
    <row r="185" spans="35:36">
      <c r="AI185" s="288"/>
      <c r="AJ185" s="288"/>
    </row>
    <row r="186" spans="35:36">
      <c r="AI186" s="288"/>
      <c r="AJ186" s="288"/>
    </row>
    <row r="187" spans="35:36">
      <c r="AI187" s="288"/>
      <c r="AJ187" s="288"/>
    </row>
    <row r="188" spans="35:36">
      <c r="AI188" s="288"/>
      <c r="AJ188" s="288"/>
    </row>
    <row r="189" spans="35:36">
      <c r="AI189" s="288"/>
      <c r="AJ189" s="288"/>
    </row>
    <row r="190" spans="35:36">
      <c r="AI190" s="288"/>
      <c r="AJ190" s="288"/>
    </row>
    <row r="191" spans="35:36">
      <c r="AI191" s="288"/>
      <c r="AJ191" s="288"/>
    </row>
    <row r="192" spans="35:36">
      <c r="AI192" s="288"/>
      <c r="AJ192" s="288"/>
    </row>
    <row r="193" spans="35:36">
      <c r="AI193" s="288"/>
      <c r="AJ193" s="288"/>
    </row>
    <row r="194" spans="35:36">
      <c r="AI194" s="288"/>
      <c r="AJ194" s="288"/>
    </row>
    <row r="195" spans="35:36">
      <c r="AI195" s="288"/>
      <c r="AJ195" s="288"/>
    </row>
    <row r="196" spans="35:36">
      <c r="AI196" s="288"/>
      <c r="AJ196" s="288"/>
    </row>
    <row r="197" spans="35:36">
      <c r="AI197" s="288"/>
      <c r="AJ197" s="288"/>
    </row>
    <row r="198" spans="35:36">
      <c r="AI198" s="288"/>
      <c r="AJ198" s="288"/>
    </row>
    <row r="199" spans="35:36">
      <c r="AI199" s="288"/>
      <c r="AJ199" s="288"/>
    </row>
    <row r="200" spans="35:36">
      <c r="AI200" s="288"/>
      <c r="AJ200" s="288"/>
    </row>
    <row r="201" spans="35:36">
      <c r="AI201" s="288"/>
      <c r="AJ201" s="288"/>
    </row>
    <row r="202" spans="35:36">
      <c r="AI202" s="288"/>
      <c r="AJ202" s="288"/>
    </row>
    <row r="203" spans="35:36">
      <c r="AI203" s="288"/>
      <c r="AJ203" s="288"/>
    </row>
    <row r="204" spans="35:36">
      <c r="AI204" s="288"/>
      <c r="AJ204" s="288"/>
    </row>
    <row r="205" spans="35:36">
      <c r="AI205" s="288"/>
      <c r="AJ205" s="288"/>
    </row>
    <row r="206" spans="35:36">
      <c r="AI206" s="288"/>
      <c r="AJ206" s="288"/>
    </row>
    <row r="207" spans="35:36">
      <c r="AI207" s="288"/>
      <c r="AJ207" s="288"/>
    </row>
    <row r="208" spans="35:36">
      <c r="AI208" s="288"/>
      <c r="AJ208" s="288"/>
    </row>
    <row r="209" spans="35:36">
      <c r="AI209" s="288"/>
      <c r="AJ209" s="288"/>
    </row>
    <row r="210" spans="35:36">
      <c r="AI210" s="288"/>
      <c r="AJ210" s="288"/>
    </row>
    <row r="211" spans="35:36">
      <c r="AI211" s="288"/>
      <c r="AJ211" s="288"/>
    </row>
    <row r="212" spans="35:36">
      <c r="AI212" s="288"/>
      <c r="AJ212" s="288"/>
    </row>
    <row r="213" spans="35:36">
      <c r="AI213" s="288"/>
      <c r="AJ213" s="288"/>
    </row>
    <row r="214" spans="35:36">
      <c r="AI214" s="288"/>
      <c r="AJ214" s="288"/>
    </row>
    <row r="215" spans="35:36">
      <c r="AI215" s="288"/>
      <c r="AJ215" s="288"/>
    </row>
    <row r="216" spans="35:36">
      <c r="AI216" s="288"/>
      <c r="AJ216" s="288"/>
    </row>
    <row r="217" spans="35:36">
      <c r="AI217" s="288"/>
      <c r="AJ217" s="288"/>
    </row>
    <row r="218" spans="35:36">
      <c r="AI218" s="288"/>
      <c r="AJ218" s="288"/>
    </row>
    <row r="219" spans="35:36">
      <c r="AI219" s="288"/>
      <c r="AJ219" s="288"/>
    </row>
    <row r="220" spans="35:36">
      <c r="AI220" s="288"/>
      <c r="AJ220" s="288"/>
    </row>
    <row r="221" spans="35:36">
      <c r="AI221" s="288"/>
      <c r="AJ221" s="288"/>
    </row>
    <row r="222" spans="35:36">
      <c r="AI222" s="288"/>
      <c r="AJ222" s="288"/>
    </row>
    <row r="223" spans="35:36">
      <c r="AI223" s="288"/>
      <c r="AJ223" s="288"/>
    </row>
    <row r="224" spans="35:36">
      <c r="AI224" s="288"/>
      <c r="AJ224" s="288"/>
    </row>
    <row r="225" spans="35:36">
      <c r="AI225" s="288"/>
      <c r="AJ225" s="288"/>
    </row>
    <row r="226" spans="35:36">
      <c r="AI226" s="288"/>
      <c r="AJ226" s="288"/>
    </row>
    <row r="227" spans="35:36">
      <c r="AI227" s="288"/>
      <c r="AJ227" s="288"/>
    </row>
    <row r="228" spans="35:36">
      <c r="AI228" s="288"/>
      <c r="AJ228" s="288"/>
    </row>
    <row r="229" spans="35:36">
      <c r="AI229" s="288"/>
      <c r="AJ229" s="288"/>
    </row>
    <row r="230" spans="35:36">
      <c r="AI230" s="288"/>
      <c r="AJ230" s="288"/>
    </row>
    <row r="231" spans="35:36">
      <c r="AI231" s="288"/>
      <c r="AJ231" s="288"/>
    </row>
    <row r="232" spans="35:36">
      <c r="AI232" s="288"/>
      <c r="AJ232" s="288"/>
    </row>
    <row r="233" spans="35:36">
      <c r="AI233" s="288"/>
      <c r="AJ233" s="288"/>
    </row>
    <row r="234" spans="35:36">
      <c r="AI234" s="288"/>
      <c r="AJ234" s="288"/>
    </row>
    <row r="235" spans="35:36">
      <c r="AI235" s="288"/>
      <c r="AJ235" s="288"/>
    </row>
    <row r="236" spans="35:36">
      <c r="AI236" s="288"/>
      <c r="AJ236" s="288"/>
    </row>
    <row r="237" spans="35:36">
      <c r="AI237" s="288"/>
      <c r="AJ237" s="288"/>
    </row>
    <row r="238" spans="35:36">
      <c r="AI238" s="288"/>
      <c r="AJ238" s="288"/>
    </row>
    <row r="239" spans="35:36">
      <c r="AI239" s="288"/>
      <c r="AJ239" s="288"/>
    </row>
    <row r="240" spans="35:36">
      <c r="AI240" s="288"/>
      <c r="AJ240" s="288"/>
    </row>
    <row r="241" spans="35:36">
      <c r="AI241" s="288"/>
      <c r="AJ241" s="288"/>
    </row>
    <row r="242" spans="35:36">
      <c r="AI242" s="288"/>
      <c r="AJ242" s="288"/>
    </row>
    <row r="243" spans="35:36">
      <c r="AI243" s="288"/>
      <c r="AJ243" s="288"/>
    </row>
    <row r="244" spans="35:36">
      <c r="AI244" s="288"/>
      <c r="AJ244" s="288"/>
    </row>
    <row r="245" spans="35:36">
      <c r="AI245" s="288"/>
      <c r="AJ245" s="288"/>
    </row>
    <row r="246" spans="35:36">
      <c r="AI246" s="288"/>
      <c r="AJ246" s="288"/>
    </row>
    <row r="247" spans="35:36">
      <c r="AI247" s="288"/>
      <c r="AJ247" s="288"/>
    </row>
    <row r="248" spans="35:36">
      <c r="AI248" s="288"/>
      <c r="AJ248" s="288"/>
    </row>
    <row r="249" spans="35:36">
      <c r="AI249" s="288"/>
      <c r="AJ249" s="288"/>
    </row>
    <row r="250" spans="35:36">
      <c r="AI250" s="288"/>
      <c r="AJ250" s="288"/>
    </row>
    <row r="251" spans="35:36">
      <c r="AI251" s="288"/>
      <c r="AJ251" s="288"/>
    </row>
    <row r="252" spans="35:36">
      <c r="AI252" s="288"/>
      <c r="AJ252" s="288"/>
    </row>
    <row r="253" spans="35:36">
      <c r="AI253" s="288"/>
      <c r="AJ253" s="288"/>
    </row>
    <row r="254" spans="35:36">
      <c r="AI254" s="288"/>
      <c r="AJ254" s="288"/>
    </row>
    <row r="255" spans="35:36">
      <c r="AI255" s="288"/>
      <c r="AJ255" s="288"/>
    </row>
    <row r="256" spans="35:36">
      <c r="AI256" s="288"/>
      <c r="AJ256" s="288"/>
    </row>
    <row r="257" spans="35:36">
      <c r="AI257" s="288"/>
      <c r="AJ257" s="288"/>
    </row>
    <row r="258" spans="35:36">
      <c r="AI258" s="288"/>
      <c r="AJ258" s="288"/>
    </row>
    <row r="259" spans="35:36">
      <c r="AI259" s="288"/>
      <c r="AJ259" s="288"/>
    </row>
    <row r="260" spans="35:36">
      <c r="AI260" s="288"/>
      <c r="AJ260" s="288"/>
    </row>
    <row r="261" spans="35:36">
      <c r="AI261" s="288"/>
      <c r="AJ261" s="288"/>
    </row>
    <row r="262" spans="35:36">
      <c r="AI262" s="288"/>
      <c r="AJ262" s="288"/>
    </row>
    <row r="263" spans="35:36">
      <c r="AI263" s="288"/>
      <c r="AJ263" s="288"/>
    </row>
    <row r="264" spans="35:36">
      <c r="AI264" s="288"/>
      <c r="AJ264" s="288"/>
    </row>
    <row r="265" spans="35:36">
      <c r="AI265" s="288"/>
      <c r="AJ265" s="288"/>
    </row>
    <row r="266" spans="35:36">
      <c r="AI266" s="288"/>
      <c r="AJ266" s="288"/>
    </row>
    <row r="267" spans="35:36">
      <c r="AI267" s="288"/>
      <c r="AJ267" s="288"/>
    </row>
    <row r="268" spans="35:36">
      <c r="AI268" s="288"/>
      <c r="AJ268" s="288"/>
    </row>
    <row r="269" spans="35:36">
      <c r="AI269" s="288"/>
      <c r="AJ269" s="288"/>
    </row>
    <row r="270" spans="35:36">
      <c r="AI270" s="288"/>
      <c r="AJ270" s="288"/>
    </row>
    <row r="271" spans="35:36">
      <c r="AI271" s="288"/>
      <c r="AJ271" s="288"/>
    </row>
    <row r="272" spans="35:36">
      <c r="AI272" s="288"/>
      <c r="AJ272" s="288"/>
    </row>
    <row r="273" spans="35:36">
      <c r="AI273" s="288"/>
      <c r="AJ273" s="288"/>
    </row>
    <row r="274" spans="35:36">
      <c r="AI274" s="288"/>
      <c r="AJ274" s="288"/>
    </row>
    <row r="275" spans="35:36">
      <c r="AI275" s="288"/>
      <c r="AJ275" s="288"/>
    </row>
    <row r="276" spans="35:36">
      <c r="AI276" s="288"/>
      <c r="AJ276" s="288"/>
    </row>
    <row r="277" spans="35:36">
      <c r="AI277" s="288"/>
      <c r="AJ277" s="288"/>
    </row>
    <row r="278" spans="35:36">
      <c r="AI278" s="288"/>
      <c r="AJ278" s="288"/>
    </row>
    <row r="279" spans="35:36">
      <c r="AI279" s="288"/>
      <c r="AJ279" s="288"/>
    </row>
    <row r="280" spans="35:36">
      <c r="AI280" s="288"/>
      <c r="AJ280" s="288"/>
    </row>
    <row r="281" spans="35:36">
      <c r="AI281" s="288"/>
      <c r="AJ281" s="288"/>
    </row>
    <row r="282" spans="35:36">
      <c r="AI282" s="288"/>
      <c r="AJ282" s="288"/>
    </row>
    <row r="283" spans="35:36">
      <c r="AI283" s="288"/>
      <c r="AJ283" s="288"/>
    </row>
    <row r="284" spans="35:36">
      <c r="AI284" s="288"/>
      <c r="AJ284" s="288"/>
    </row>
    <row r="285" spans="35:36">
      <c r="AI285" s="288"/>
      <c r="AJ285" s="288"/>
    </row>
    <row r="286" spans="35:36">
      <c r="AI286" s="288"/>
      <c r="AJ286" s="288"/>
    </row>
    <row r="287" spans="35:36">
      <c r="AI287" s="288"/>
      <c r="AJ287" s="288"/>
    </row>
    <row r="288" spans="35:36">
      <c r="AI288" s="288"/>
      <c r="AJ288" s="288"/>
    </row>
    <row r="289" spans="35:36">
      <c r="AI289" s="288"/>
      <c r="AJ289" s="288"/>
    </row>
    <row r="290" spans="35:36">
      <c r="AI290" s="288"/>
      <c r="AJ290" s="288"/>
    </row>
    <row r="291" spans="35:36">
      <c r="AI291" s="288"/>
      <c r="AJ291" s="288"/>
    </row>
    <row r="292" spans="35:36">
      <c r="AI292" s="288"/>
      <c r="AJ292" s="288"/>
    </row>
    <row r="293" spans="35:36">
      <c r="AI293" s="288"/>
      <c r="AJ293" s="288"/>
    </row>
    <row r="294" spans="35:36">
      <c r="AI294" s="288"/>
      <c r="AJ294" s="288"/>
    </row>
    <row r="295" spans="35:36">
      <c r="AI295" s="288"/>
      <c r="AJ295" s="288"/>
    </row>
    <row r="296" spans="35:36">
      <c r="AI296" s="288"/>
      <c r="AJ296" s="288"/>
    </row>
    <row r="297" spans="35:36">
      <c r="AI297" s="288"/>
      <c r="AJ297" s="288"/>
    </row>
    <row r="298" spans="35:36">
      <c r="AI298" s="288"/>
      <c r="AJ298" s="288"/>
    </row>
    <row r="299" spans="35:36">
      <c r="AI299" s="288"/>
      <c r="AJ299" s="288"/>
    </row>
    <row r="300" spans="35:36">
      <c r="AI300" s="288"/>
      <c r="AJ300" s="288"/>
    </row>
    <row r="301" spans="35:36">
      <c r="AI301" s="288"/>
      <c r="AJ301" s="288"/>
    </row>
    <row r="302" spans="35:36">
      <c r="AI302" s="288"/>
      <c r="AJ302" s="288"/>
    </row>
    <row r="303" spans="35:36">
      <c r="AI303" s="288"/>
      <c r="AJ303" s="288"/>
    </row>
    <row r="304" spans="35:36">
      <c r="AI304" s="288"/>
      <c r="AJ304" s="288"/>
    </row>
    <row r="305" spans="35:36">
      <c r="AI305" s="288"/>
      <c r="AJ305" s="288"/>
    </row>
    <row r="306" spans="35:36">
      <c r="AI306" s="288"/>
      <c r="AJ306" s="288"/>
    </row>
    <row r="307" spans="35:36">
      <c r="AI307" s="288"/>
      <c r="AJ307" s="288"/>
    </row>
    <row r="308" spans="35:36">
      <c r="AI308" s="288"/>
      <c r="AJ308" s="288"/>
    </row>
    <row r="309" spans="35:36">
      <c r="AI309" s="288"/>
      <c r="AJ309" s="288"/>
    </row>
    <row r="310" spans="35:36">
      <c r="AI310" s="288"/>
      <c r="AJ310" s="288"/>
    </row>
    <row r="311" spans="35:36">
      <c r="AI311" s="288"/>
      <c r="AJ311" s="288"/>
    </row>
    <row r="312" spans="35:36">
      <c r="AI312" s="288"/>
      <c r="AJ312" s="288"/>
    </row>
    <row r="313" spans="35:36">
      <c r="AI313" s="288"/>
      <c r="AJ313" s="288"/>
    </row>
    <row r="314" spans="35:36">
      <c r="AI314" s="288"/>
      <c r="AJ314" s="288"/>
    </row>
    <row r="315" spans="35:36">
      <c r="AI315" s="288"/>
      <c r="AJ315" s="288"/>
    </row>
    <row r="316" spans="35:36">
      <c r="AI316" s="288"/>
      <c r="AJ316" s="288"/>
    </row>
    <row r="317" spans="35:36">
      <c r="AI317" s="288"/>
      <c r="AJ317" s="288"/>
    </row>
    <row r="318" spans="35:36">
      <c r="AI318" s="288"/>
      <c r="AJ318" s="288"/>
    </row>
    <row r="319" spans="35:36">
      <c r="AI319" s="288"/>
      <c r="AJ319" s="288"/>
    </row>
    <row r="320" spans="35:36">
      <c r="AI320" s="288"/>
      <c r="AJ320" s="288"/>
    </row>
    <row r="321" spans="35:36">
      <c r="AI321" s="288"/>
      <c r="AJ321" s="288"/>
    </row>
    <row r="322" spans="35:36">
      <c r="AI322" s="288"/>
      <c r="AJ322" s="288"/>
    </row>
    <row r="323" spans="35:36">
      <c r="AI323" s="288"/>
      <c r="AJ323" s="288"/>
    </row>
    <row r="324" spans="35:36">
      <c r="AI324" s="288"/>
      <c r="AJ324" s="288"/>
    </row>
    <row r="325" spans="35:36">
      <c r="AI325" s="288"/>
      <c r="AJ325" s="288"/>
    </row>
    <row r="326" spans="35:36">
      <c r="AI326" s="288"/>
      <c r="AJ326" s="288"/>
    </row>
    <row r="327" spans="35:36">
      <c r="AI327" s="288"/>
      <c r="AJ327" s="288"/>
    </row>
    <row r="328" spans="35:36">
      <c r="AI328" s="288"/>
      <c r="AJ328" s="288"/>
    </row>
    <row r="329" spans="35:36">
      <c r="AI329" s="288"/>
      <c r="AJ329" s="288"/>
    </row>
    <row r="330" spans="35:36">
      <c r="AI330" s="288"/>
      <c r="AJ330" s="288"/>
    </row>
    <row r="331" spans="35:36">
      <c r="AI331" s="288"/>
      <c r="AJ331" s="288"/>
    </row>
    <row r="332" spans="35:36">
      <c r="AI332" s="288"/>
      <c r="AJ332" s="288"/>
    </row>
    <row r="333" spans="35:36">
      <c r="AI333" s="288"/>
      <c r="AJ333" s="288"/>
    </row>
    <row r="334" spans="35:36">
      <c r="AI334" s="288"/>
      <c r="AJ334" s="288"/>
    </row>
    <row r="335" spans="35:36">
      <c r="AI335" s="288"/>
      <c r="AJ335" s="288"/>
    </row>
    <row r="336" spans="35:36">
      <c r="AI336" s="288"/>
      <c r="AJ336" s="288"/>
    </row>
    <row r="337" spans="35:36">
      <c r="AI337" s="288"/>
      <c r="AJ337" s="288"/>
    </row>
    <row r="338" spans="35:36">
      <c r="AI338" s="288"/>
      <c r="AJ338" s="288"/>
    </row>
    <row r="339" spans="35:36">
      <c r="AI339" s="288"/>
      <c r="AJ339" s="288"/>
    </row>
    <row r="340" spans="35:36">
      <c r="AI340" s="288"/>
      <c r="AJ340" s="288"/>
    </row>
    <row r="341" spans="35:36">
      <c r="AI341" s="288"/>
      <c r="AJ341" s="288"/>
    </row>
    <row r="342" spans="35:36">
      <c r="AI342" s="288"/>
      <c r="AJ342" s="288"/>
    </row>
    <row r="343" spans="35:36">
      <c r="AI343" s="288"/>
      <c r="AJ343" s="288"/>
    </row>
    <row r="344" spans="35:36">
      <c r="AI344" s="288"/>
      <c r="AJ344" s="288"/>
    </row>
    <row r="345" spans="35:36">
      <c r="AI345" s="288"/>
      <c r="AJ345" s="288"/>
    </row>
    <row r="346" spans="35:36">
      <c r="AI346" s="288"/>
      <c r="AJ346" s="288"/>
    </row>
    <row r="347" spans="35:36">
      <c r="AI347" s="288"/>
      <c r="AJ347" s="288"/>
    </row>
    <row r="348" spans="35:36">
      <c r="AI348" s="288"/>
      <c r="AJ348" s="288"/>
    </row>
    <row r="349" spans="35:36">
      <c r="AI349" s="288"/>
      <c r="AJ349" s="288"/>
    </row>
    <row r="350" spans="35:36">
      <c r="AI350" s="288"/>
      <c r="AJ350" s="288"/>
    </row>
    <row r="351" spans="35:36">
      <c r="AI351" s="288"/>
      <c r="AJ351" s="288"/>
    </row>
    <row r="352" spans="35:36">
      <c r="AI352" s="288"/>
      <c r="AJ352" s="288"/>
    </row>
    <row r="353" spans="35:36">
      <c r="AI353" s="288"/>
      <c r="AJ353" s="288"/>
    </row>
    <row r="354" spans="35:36">
      <c r="AI354" s="288"/>
      <c r="AJ354" s="288"/>
    </row>
    <row r="355" spans="35:36">
      <c r="AI355" s="288"/>
      <c r="AJ355" s="288"/>
    </row>
    <row r="356" spans="35:36">
      <c r="AI356" s="288"/>
      <c r="AJ356" s="288"/>
    </row>
    <row r="357" spans="35:36">
      <c r="AI357" s="288"/>
      <c r="AJ357" s="288"/>
    </row>
    <row r="358" spans="35:36">
      <c r="AI358" s="288"/>
      <c r="AJ358" s="288"/>
    </row>
    <row r="359" spans="35:36">
      <c r="AI359" s="288"/>
      <c r="AJ359" s="288"/>
    </row>
    <row r="360" spans="35:36">
      <c r="AI360" s="288"/>
      <c r="AJ360" s="288"/>
    </row>
    <row r="361" spans="35:36">
      <c r="AI361" s="288"/>
      <c r="AJ361" s="288"/>
    </row>
    <row r="362" spans="35:36">
      <c r="AI362" s="288"/>
      <c r="AJ362" s="288"/>
    </row>
    <row r="363" spans="35:36">
      <c r="AI363" s="288"/>
      <c r="AJ363" s="288"/>
    </row>
    <row r="364" spans="35:36">
      <c r="AI364" s="288"/>
      <c r="AJ364" s="288"/>
    </row>
    <row r="365" spans="35:36">
      <c r="AI365" s="288"/>
      <c r="AJ365" s="288"/>
    </row>
    <row r="366" spans="35:36">
      <c r="AI366" s="288"/>
      <c r="AJ366" s="288"/>
    </row>
    <row r="367" spans="35:36">
      <c r="AI367" s="288"/>
      <c r="AJ367" s="288"/>
    </row>
    <row r="368" spans="35:36">
      <c r="AI368" s="288"/>
      <c r="AJ368" s="288"/>
    </row>
    <row r="369" spans="35:36">
      <c r="AI369" s="288"/>
      <c r="AJ369" s="288"/>
    </row>
    <row r="370" spans="35:36">
      <c r="AI370" s="288"/>
      <c r="AJ370" s="288"/>
    </row>
    <row r="371" spans="35:36">
      <c r="AI371" s="288"/>
      <c r="AJ371" s="288"/>
    </row>
    <row r="372" spans="35:36">
      <c r="AI372" s="288"/>
      <c r="AJ372" s="288"/>
    </row>
    <row r="373" spans="35:36">
      <c r="AI373" s="288"/>
      <c r="AJ373" s="288"/>
    </row>
    <row r="374" spans="35:36">
      <c r="AI374" s="288"/>
      <c r="AJ374" s="288"/>
    </row>
    <row r="375" spans="35:36">
      <c r="AI375" s="288"/>
      <c r="AJ375" s="288"/>
    </row>
    <row r="376" spans="35:36">
      <c r="AI376" s="288"/>
      <c r="AJ376" s="288"/>
    </row>
    <row r="377" spans="35:36">
      <c r="AI377" s="288"/>
      <c r="AJ377" s="288"/>
    </row>
    <row r="378" spans="35:36">
      <c r="AI378" s="288"/>
      <c r="AJ378" s="288"/>
    </row>
    <row r="379" spans="35:36">
      <c r="AI379" s="288"/>
      <c r="AJ379" s="288"/>
    </row>
    <row r="380" spans="35:36">
      <c r="AI380" s="288"/>
      <c r="AJ380" s="288"/>
    </row>
    <row r="381" spans="35:36">
      <c r="AI381" s="288"/>
      <c r="AJ381" s="288"/>
    </row>
    <row r="382" spans="35:36">
      <c r="AI382" s="288"/>
      <c r="AJ382" s="288"/>
    </row>
    <row r="383" spans="35:36">
      <c r="AI383" s="288"/>
      <c r="AJ383" s="288"/>
    </row>
    <row r="384" spans="35:36">
      <c r="AI384" s="288"/>
      <c r="AJ384" s="288"/>
    </row>
    <row r="385" spans="35:36">
      <c r="AI385" s="288"/>
      <c r="AJ385" s="288"/>
    </row>
    <row r="386" spans="35:36">
      <c r="AI386" s="288"/>
      <c r="AJ386" s="288"/>
    </row>
    <row r="387" spans="35:36">
      <c r="AI387" s="288"/>
      <c r="AJ387" s="288"/>
    </row>
    <row r="388" spans="35:36">
      <c r="AI388" s="288"/>
      <c r="AJ388" s="288"/>
    </row>
    <row r="389" spans="35:36">
      <c r="AI389" s="288"/>
      <c r="AJ389" s="288"/>
    </row>
    <row r="390" spans="35:36">
      <c r="AI390" s="288"/>
      <c r="AJ390" s="288"/>
    </row>
    <row r="391" spans="35:36">
      <c r="AI391" s="288"/>
      <c r="AJ391" s="288"/>
    </row>
    <row r="392" spans="35:36">
      <c r="AI392" s="288"/>
      <c r="AJ392" s="288"/>
    </row>
    <row r="393" spans="35:36">
      <c r="AI393" s="288"/>
      <c r="AJ393" s="288"/>
    </row>
    <row r="394" spans="35:36">
      <c r="AI394" s="288"/>
      <c r="AJ394" s="288"/>
    </row>
    <row r="395" spans="35:36">
      <c r="AI395" s="288"/>
      <c r="AJ395" s="288"/>
    </row>
    <row r="396" spans="35:36">
      <c r="AI396" s="288"/>
      <c r="AJ396" s="288"/>
    </row>
    <row r="397" spans="35:36">
      <c r="AI397" s="288"/>
      <c r="AJ397" s="288"/>
    </row>
    <row r="398" spans="35:36">
      <c r="AI398" s="288"/>
      <c r="AJ398" s="288"/>
    </row>
    <row r="399" spans="35:36">
      <c r="AI399" s="288"/>
      <c r="AJ399" s="288"/>
    </row>
    <row r="400" spans="35:36">
      <c r="AI400" s="288"/>
      <c r="AJ400" s="288"/>
    </row>
    <row r="401" spans="35:36">
      <c r="AI401" s="288"/>
      <c r="AJ401" s="288"/>
    </row>
    <row r="402" spans="35:36">
      <c r="AI402" s="288"/>
      <c r="AJ402" s="288"/>
    </row>
    <row r="403" spans="35:36">
      <c r="AI403" s="288"/>
      <c r="AJ403" s="288"/>
    </row>
    <row r="404" spans="35:36">
      <c r="AI404" s="288"/>
      <c r="AJ404" s="288"/>
    </row>
    <row r="405" spans="35:36">
      <c r="AI405" s="288"/>
      <c r="AJ405" s="288"/>
    </row>
    <row r="406" spans="35:36">
      <c r="AI406" s="288"/>
      <c r="AJ406" s="288"/>
    </row>
    <row r="407" spans="35:36">
      <c r="AI407" s="288"/>
      <c r="AJ407" s="288"/>
    </row>
    <row r="408" spans="35:36">
      <c r="AI408" s="288"/>
      <c r="AJ408" s="288"/>
    </row>
    <row r="409" spans="35:36">
      <c r="AI409" s="288"/>
      <c r="AJ409" s="288"/>
    </row>
    <row r="410" spans="35:36">
      <c r="AI410" s="288"/>
      <c r="AJ410" s="288"/>
    </row>
    <row r="411" spans="35:36">
      <c r="AI411" s="288"/>
      <c r="AJ411" s="288"/>
    </row>
    <row r="412" spans="35:36">
      <c r="AI412" s="288"/>
      <c r="AJ412" s="288"/>
    </row>
    <row r="413" spans="35:36">
      <c r="AI413" s="288"/>
      <c r="AJ413" s="288"/>
    </row>
    <row r="414" spans="35:36">
      <c r="AI414" s="288"/>
      <c r="AJ414" s="288"/>
    </row>
    <row r="415" spans="35:36">
      <c r="AI415" s="288"/>
      <c r="AJ415" s="288"/>
    </row>
    <row r="416" spans="35:36">
      <c r="AI416" s="288"/>
      <c r="AJ416" s="288"/>
    </row>
    <row r="417" spans="35:36">
      <c r="AI417" s="288"/>
      <c r="AJ417" s="288"/>
    </row>
    <row r="418" spans="35:36">
      <c r="AI418" s="288"/>
      <c r="AJ418" s="288"/>
    </row>
    <row r="419" spans="35:36">
      <c r="AI419" s="288"/>
      <c r="AJ419" s="288"/>
    </row>
    <row r="420" spans="35:36">
      <c r="AI420" s="288"/>
      <c r="AJ420" s="288"/>
    </row>
    <row r="421" spans="35:36">
      <c r="AI421" s="288"/>
      <c r="AJ421" s="288"/>
    </row>
    <row r="422" spans="35:36">
      <c r="AI422" s="288"/>
      <c r="AJ422" s="288"/>
    </row>
    <row r="423" spans="35:36">
      <c r="AI423" s="288"/>
      <c r="AJ423" s="288"/>
    </row>
    <row r="424" spans="35:36">
      <c r="AI424" s="288"/>
      <c r="AJ424" s="288"/>
    </row>
    <row r="425" spans="35:36">
      <c r="AI425" s="288"/>
      <c r="AJ425" s="288"/>
    </row>
    <row r="426" spans="35:36">
      <c r="AI426" s="288"/>
      <c r="AJ426" s="288"/>
    </row>
    <row r="427" spans="35:36">
      <c r="AI427" s="288"/>
      <c r="AJ427" s="288"/>
    </row>
    <row r="428" spans="35:36">
      <c r="AI428" s="288"/>
      <c r="AJ428" s="288"/>
    </row>
    <row r="429" spans="35:36">
      <c r="AI429" s="288"/>
      <c r="AJ429" s="288"/>
    </row>
    <row r="430" spans="35:36">
      <c r="AI430" s="288"/>
      <c r="AJ430" s="288"/>
    </row>
    <row r="431" spans="35:36">
      <c r="AI431" s="288"/>
      <c r="AJ431" s="288"/>
    </row>
    <row r="432" spans="35:36">
      <c r="AI432" s="288"/>
      <c r="AJ432" s="288"/>
    </row>
    <row r="433" spans="35:36">
      <c r="AI433" s="288"/>
      <c r="AJ433" s="288"/>
    </row>
    <row r="434" spans="35:36">
      <c r="AI434" s="288"/>
      <c r="AJ434" s="288"/>
    </row>
    <row r="435" spans="35:36">
      <c r="AI435" s="288"/>
      <c r="AJ435" s="288"/>
    </row>
    <row r="436" spans="35:36">
      <c r="AI436" s="288"/>
      <c r="AJ436" s="288"/>
    </row>
    <row r="437" spans="35:36">
      <c r="AI437" s="288"/>
      <c r="AJ437" s="288"/>
    </row>
    <row r="438" spans="35:36">
      <c r="AI438" s="288"/>
      <c r="AJ438" s="288"/>
    </row>
    <row r="439" spans="35:36">
      <c r="AI439" s="288"/>
      <c r="AJ439" s="288"/>
    </row>
    <row r="440" spans="35:36">
      <c r="AI440" s="288"/>
      <c r="AJ440" s="288"/>
    </row>
    <row r="441" spans="35:36">
      <c r="AI441" s="288"/>
      <c r="AJ441" s="288"/>
    </row>
    <row r="442" spans="35:36">
      <c r="AI442" s="288"/>
      <c r="AJ442" s="288"/>
    </row>
    <row r="443" spans="35:36">
      <c r="AI443" s="288"/>
      <c r="AJ443" s="288"/>
    </row>
    <row r="444" spans="35:36">
      <c r="AI444" s="288"/>
      <c r="AJ444" s="288"/>
    </row>
    <row r="445" spans="35:36">
      <c r="AI445" s="288"/>
      <c r="AJ445" s="288"/>
    </row>
    <row r="446" spans="35:36">
      <c r="AI446" s="288"/>
      <c r="AJ446" s="288"/>
    </row>
    <row r="447" spans="35:36">
      <c r="AI447" s="288"/>
      <c r="AJ447" s="288"/>
    </row>
    <row r="448" spans="35:36">
      <c r="AI448" s="288"/>
      <c r="AJ448" s="288"/>
    </row>
    <row r="449" spans="35:36">
      <c r="AI449" s="288"/>
      <c r="AJ449" s="288"/>
    </row>
    <row r="450" spans="35:36">
      <c r="AI450" s="288"/>
      <c r="AJ450" s="288"/>
    </row>
    <row r="451" spans="35:36">
      <c r="AI451" s="288"/>
      <c r="AJ451" s="288"/>
    </row>
    <row r="452" spans="35:36">
      <c r="AI452" s="288"/>
      <c r="AJ452" s="288"/>
    </row>
    <row r="453" spans="35:36">
      <c r="AI453" s="288"/>
      <c r="AJ453" s="288"/>
    </row>
    <row r="454" spans="35:36">
      <c r="AI454" s="288"/>
      <c r="AJ454" s="288"/>
    </row>
    <row r="455" spans="35:36">
      <c r="AI455" s="288"/>
      <c r="AJ455" s="288"/>
    </row>
    <row r="456" spans="35:36">
      <c r="AI456" s="288"/>
      <c r="AJ456" s="288"/>
    </row>
    <row r="457" spans="35:36">
      <c r="AI457" s="288"/>
      <c r="AJ457" s="288"/>
    </row>
    <row r="458" spans="35:36">
      <c r="AI458" s="288"/>
      <c r="AJ458" s="288"/>
    </row>
    <row r="459" spans="35:36">
      <c r="AI459" s="288"/>
      <c r="AJ459" s="288"/>
    </row>
    <row r="460" spans="35:36">
      <c r="AI460" s="288"/>
      <c r="AJ460" s="288"/>
    </row>
    <row r="461" spans="35:36">
      <c r="AI461" s="288"/>
      <c r="AJ461" s="288"/>
    </row>
    <row r="462" spans="35:36">
      <c r="AI462" s="288"/>
      <c r="AJ462" s="288"/>
    </row>
    <row r="463" spans="35:36">
      <c r="AI463" s="288"/>
      <c r="AJ463" s="288"/>
    </row>
    <row r="464" spans="35:36">
      <c r="AI464" s="288"/>
      <c r="AJ464" s="288"/>
    </row>
    <row r="465" spans="35:36">
      <c r="AI465" s="288"/>
      <c r="AJ465" s="288"/>
    </row>
    <row r="466" spans="35:36">
      <c r="AI466" s="288"/>
      <c r="AJ466" s="288"/>
    </row>
    <row r="467" spans="35:36">
      <c r="AI467" s="288"/>
      <c r="AJ467" s="288"/>
    </row>
    <row r="468" spans="35:36">
      <c r="AI468" s="288"/>
      <c r="AJ468" s="288"/>
    </row>
    <row r="469" spans="35:36">
      <c r="AI469" s="288"/>
      <c r="AJ469" s="288"/>
    </row>
    <row r="470" spans="35:36">
      <c r="AI470" s="288"/>
      <c r="AJ470" s="288"/>
    </row>
    <row r="471" spans="35:36">
      <c r="AI471" s="288"/>
      <c r="AJ471" s="288"/>
    </row>
    <row r="472" spans="35:36">
      <c r="AI472" s="288"/>
      <c r="AJ472" s="288"/>
    </row>
    <row r="473" spans="35:36">
      <c r="AI473" s="288"/>
      <c r="AJ473" s="288"/>
    </row>
    <row r="474" spans="35:36">
      <c r="AI474" s="288"/>
      <c r="AJ474" s="288"/>
    </row>
    <row r="475" spans="35:36">
      <c r="AI475" s="288"/>
      <c r="AJ475" s="288"/>
    </row>
    <row r="476" spans="35:36">
      <c r="AI476" s="288"/>
      <c r="AJ476" s="288"/>
    </row>
    <row r="477" spans="35:36">
      <c r="AI477" s="288"/>
      <c r="AJ477" s="288"/>
    </row>
    <row r="478" spans="35:36">
      <c r="AI478" s="288"/>
      <c r="AJ478" s="288"/>
    </row>
    <row r="479" spans="35:36">
      <c r="AI479" s="288"/>
      <c r="AJ479" s="288"/>
    </row>
    <row r="480" spans="35:36">
      <c r="AI480" s="288"/>
      <c r="AJ480" s="288"/>
    </row>
    <row r="481" spans="35:36">
      <c r="AI481" s="288"/>
      <c r="AJ481" s="288"/>
    </row>
    <row r="482" spans="35:36">
      <c r="AI482" s="288"/>
      <c r="AJ482" s="288"/>
    </row>
    <row r="483" spans="35:36">
      <c r="AI483" s="288"/>
      <c r="AJ483" s="288"/>
    </row>
    <row r="484" spans="35:36">
      <c r="AI484" s="288"/>
      <c r="AJ484" s="288"/>
    </row>
    <row r="485" spans="35:36">
      <c r="AI485" s="288"/>
      <c r="AJ485" s="288"/>
    </row>
    <row r="486" spans="35:36">
      <c r="AI486" s="288"/>
      <c r="AJ486" s="288"/>
    </row>
    <row r="487" spans="35:36">
      <c r="AI487" s="288"/>
      <c r="AJ487" s="288"/>
    </row>
    <row r="488" spans="35:36">
      <c r="AI488" s="288"/>
      <c r="AJ488" s="288"/>
    </row>
    <row r="489" spans="35:36">
      <c r="AI489" s="288"/>
      <c r="AJ489" s="288"/>
    </row>
    <row r="490" spans="35:36">
      <c r="AI490" s="288"/>
      <c r="AJ490" s="288"/>
    </row>
    <row r="491" spans="35:36">
      <c r="AI491" s="288"/>
      <c r="AJ491" s="288"/>
    </row>
    <row r="492" spans="35:36">
      <c r="AI492" s="288"/>
      <c r="AJ492" s="288"/>
    </row>
    <row r="493" spans="35:36">
      <c r="AI493" s="288"/>
      <c r="AJ493" s="288"/>
    </row>
    <row r="494" spans="35:36">
      <c r="AI494" s="288"/>
      <c r="AJ494" s="288"/>
    </row>
    <row r="495" spans="35:36">
      <c r="AI495" s="288"/>
      <c r="AJ495" s="288"/>
    </row>
    <row r="496" spans="35:36">
      <c r="AI496" s="288"/>
      <c r="AJ496" s="288"/>
    </row>
    <row r="497" spans="35:36">
      <c r="AI497" s="288"/>
      <c r="AJ497" s="288"/>
    </row>
    <row r="498" spans="35:36">
      <c r="AI498" s="288"/>
      <c r="AJ498" s="288"/>
    </row>
    <row r="499" spans="35:36">
      <c r="AI499" s="288"/>
      <c r="AJ499" s="288"/>
    </row>
    <row r="500" spans="35:36">
      <c r="AI500" s="288"/>
      <c r="AJ500" s="288"/>
    </row>
    <row r="501" spans="35:36">
      <c r="AI501" s="288"/>
      <c r="AJ501" s="288"/>
    </row>
    <row r="502" spans="35:36">
      <c r="AI502" s="288"/>
      <c r="AJ502" s="288"/>
    </row>
    <row r="503" spans="35:36">
      <c r="AI503" s="288"/>
      <c r="AJ503" s="288"/>
    </row>
    <row r="504" spans="35:36">
      <c r="AI504" s="288"/>
      <c r="AJ504" s="288"/>
    </row>
    <row r="505" spans="35:36">
      <c r="AI505" s="288"/>
      <c r="AJ505" s="288"/>
    </row>
    <row r="506" spans="35:36">
      <c r="AI506" s="288"/>
      <c r="AJ506" s="288"/>
    </row>
    <row r="507" spans="35:36">
      <c r="AI507" s="288"/>
      <c r="AJ507" s="288"/>
    </row>
    <row r="508" spans="35:36">
      <c r="AI508" s="288"/>
      <c r="AJ508" s="288"/>
    </row>
    <row r="509" spans="35:36">
      <c r="AI509" s="288"/>
      <c r="AJ509" s="288"/>
    </row>
    <row r="510" spans="35:36">
      <c r="AI510" s="288"/>
      <c r="AJ510" s="288"/>
    </row>
    <row r="511" spans="35:36">
      <c r="AI511" s="288"/>
      <c r="AJ511" s="288"/>
    </row>
    <row r="512" spans="35:36">
      <c r="AI512" s="288"/>
      <c r="AJ512" s="288"/>
    </row>
    <row r="513" spans="35:36">
      <c r="AI513" s="288"/>
      <c r="AJ513" s="288"/>
    </row>
    <row r="514" spans="35:36">
      <c r="AI514" s="288"/>
      <c r="AJ514" s="288"/>
    </row>
    <row r="515" spans="35:36">
      <c r="AI515" s="288"/>
      <c r="AJ515" s="288"/>
    </row>
    <row r="516" spans="35:36">
      <c r="AI516" s="288"/>
      <c r="AJ516" s="288"/>
    </row>
    <row r="517" spans="35:36">
      <c r="AI517" s="288"/>
      <c r="AJ517" s="288"/>
    </row>
    <row r="518" spans="35:36">
      <c r="AI518" s="288"/>
      <c r="AJ518" s="288"/>
    </row>
    <row r="519" spans="35:36">
      <c r="AI519" s="288"/>
      <c r="AJ519" s="288"/>
    </row>
    <row r="520" spans="35:36">
      <c r="AI520" s="288"/>
      <c r="AJ520" s="288"/>
    </row>
    <row r="521" spans="35:36">
      <c r="AI521" s="288"/>
      <c r="AJ521" s="288"/>
    </row>
    <row r="522" spans="35:36">
      <c r="AI522" s="288"/>
      <c r="AJ522" s="288"/>
    </row>
    <row r="523" spans="35:36">
      <c r="AI523" s="288"/>
      <c r="AJ523" s="288"/>
    </row>
    <row r="524" spans="35:36">
      <c r="AI524" s="288"/>
      <c r="AJ524" s="288"/>
    </row>
  </sheetData>
  <sheetProtection algorithmName="SHA-512" hashValue="R2b+4bZISYhAnSNqFkyBF0mYvHZIzNlul4e08c/z24cPjBD7el9Odkr6Hb6amuradl832SzvOLc4Gzvlho/9nw==" saltValue="+TOs5gd2IgfkHKOMPXN3VQ==" spinCount="100000" sheet="1" objects="1" scenarios="1"/>
  <mergeCells count="157">
    <mergeCell ref="AS33:AS34"/>
    <mergeCell ref="AV33:AV34"/>
    <mergeCell ref="AY33:AY34"/>
    <mergeCell ref="BB33:BB34"/>
    <mergeCell ref="AA33:AA34"/>
    <mergeCell ref="AD33:AD34"/>
    <mergeCell ref="AG33:AG34"/>
    <mergeCell ref="AJ33:AJ34"/>
    <mergeCell ref="AM33:AM34"/>
    <mergeCell ref="AP33:AP34"/>
    <mergeCell ref="I33:I34"/>
    <mergeCell ref="L33:L34"/>
    <mergeCell ref="O33:O34"/>
    <mergeCell ref="R33:R34"/>
    <mergeCell ref="U33:U34"/>
    <mergeCell ref="X33:X34"/>
    <mergeCell ref="AW31:AX31"/>
    <mergeCell ref="AW32:AX32"/>
    <mergeCell ref="AZ25:BB25"/>
    <mergeCell ref="AZ26:BA26"/>
    <mergeCell ref="AZ27:BA27"/>
    <mergeCell ref="AZ28:BA28"/>
    <mergeCell ref="AZ29:BA29"/>
    <mergeCell ref="AZ30:BA30"/>
    <mergeCell ref="AZ31:BA31"/>
    <mergeCell ref="AZ32:BA32"/>
    <mergeCell ref="AW25:AY25"/>
    <mergeCell ref="AW26:AX26"/>
    <mergeCell ref="AW27:AX27"/>
    <mergeCell ref="AW28:AX28"/>
    <mergeCell ref="AW29:AX29"/>
    <mergeCell ref="AW30:AX30"/>
    <mergeCell ref="AQ31:AR31"/>
    <mergeCell ref="AQ32:AR32"/>
    <mergeCell ref="AT25:AV25"/>
    <mergeCell ref="AT26:AU26"/>
    <mergeCell ref="AT27:AU27"/>
    <mergeCell ref="AT28:AU28"/>
    <mergeCell ref="AT29:AU29"/>
    <mergeCell ref="AT30:AU30"/>
    <mergeCell ref="AT31:AU31"/>
    <mergeCell ref="AT32:AU32"/>
    <mergeCell ref="AQ25:AS25"/>
    <mergeCell ref="AQ26:AR26"/>
    <mergeCell ref="AQ27:AR27"/>
    <mergeCell ref="AQ28:AR28"/>
    <mergeCell ref="AQ29:AR29"/>
    <mergeCell ref="AQ30:AR30"/>
    <mergeCell ref="AK31:AL31"/>
    <mergeCell ref="AK32:AL32"/>
    <mergeCell ref="AN25:AP25"/>
    <mergeCell ref="AN26:AO26"/>
    <mergeCell ref="AN27:AO27"/>
    <mergeCell ref="AN28:AO28"/>
    <mergeCell ref="AN29:AO29"/>
    <mergeCell ref="AN30:AO30"/>
    <mergeCell ref="AN31:AO31"/>
    <mergeCell ref="AN32:AO32"/>
    <mergeCell ref="AK25:AM25"/>
    <mergeCell ref="AK26:AL26"/>
    <mergeCell ref="AK27:AL27"/>
    <mergeCell ref="AK28:AL28"/>
    <mergeCell ref="AK29:AL29"/>
    <mergeCell ref="AK30:AL30"/>
    <mergeCell ref="AE31:AF31"/>
    <mergeCell ref="AE32:AF32"/>
    <mergeCell ref="AH25:AJ25"/>
    <mergeCell ref="AH26:AI26"/>
    <mergeCell ref="AH27:AI27"/>
    <mergeCell ref="AH28:AI28"/>
    <mergeCell ref="AH29:AI29"/>
    <mergeCell ref="AH30:AI30"/>
    <mergeCell ref="AH31:AI31"/>
    <mergeCell ref="AH32:AI32"/>
    <mergeCell ref="AE25:AG25"/>
    <mergeCell ref="AE26:AF26"/>
    <mergeCell ref="AE27:AF27"/>
    <mergeCell ref="AE28:AF28"/>
    <mergeCell ref="AE29:AF29"/>
    <mergeCell ref="AE30:AF30"/>
    <mergeCell ref="Y31:Z31"/>
    <mergeCell ref="Y32:Z32"/>
    <mergeCell ref="AB25:AD25"/>
    <mergeCell ref="AB26:AC26"/>
    <mergeCell ref="AB27:AC27"/>
    <mergeCell ref="AB28:AC28"/>
    <mergeCell ref="AB29:AC29"/>
    <mergeCell ref="AB30:AC30"/>
    <mergeCell ref="AB31:AC31"/>
    <mergeCell ref="AB32:AC32"/>
    <mergeCell ref="Y25:AA25"/>
    <mergeCell ref="Y26:Z26"/>
    <mergeCell ref="Y27:Z27"/>
    <mergeCell ref="Y28:Z28"/>
    <mergeCell ref="Y29:Z29"/>
    <mergeCell ref="Y30:Z30"/>
    <mergeCell ref="S31:T31"/>
    <mergeCell ref="S32:T32"/>
    <mergeCell ref="V25:X25"/>
    <mergeCell ref="V26:W26"/>
    <mergeCell ref="V27:W27"/>
    <mergeCell ref="V28:W28"/>
    <mergeCell ref="V29:W29"/>
    <mergeCell ref="V30:W30"/>
    <mergeCell ref="V31:W31"/>
    <mergeCell ref="V32:W32"/>
    <mergeCell ref="S25:U25"/>
    <mergeCell ref="S26:T26"/>
    <mergeCell ref="S27:T27"/>
    <mergeCell ref="S28:T28"/>
    <mergeCell ref="S29:T29"/>
    <mergeCell ref="S30:T30"/>
    <mergeCell ref="J28:K28"/>
    <mergeCell ref="J29:K29"/>
    <mergeCell ref="J30:K30"/>
    <mergeCell ref="J31:K31"/>
    <mergeCell ref="J32:K32"/>
    <mergeCell ref="M31:N31"/>
    <mergeCell ref="M32:N32"/>
    <mergeCell ref="P25:R25"/>
    <mergeCell ref="P26:Q26"/>
    <mergeCell ref="P27:Q27"/>
    <mergeCell ref="P28:Q28"/>
    <mergeCell ref="P29:Q29"/>
    <mergeCell ref="P30:Q30"/>
    <mergeCell ref="P31:Q31"/>
    <mergeCell ref="P32:Q32"/>
    <mergeCell ref="M25:O25"/>
    <mergeCell ref="M26:N26"/>
    <mergeCell ref="M27:N27"/>
    <mergeCell ref="M28:N28"/>
    <mergeCell ref="M29:N29"/>
    <mergeCell ref="M30:N30"/>
    <mergeCell ref="J1:N1"/>
    <mergeCell ref="B33:B34"/>
    <mergeCell ref="C33:C34"/>
    <mergeCell ref="D25:F25"/>
    <mergeCell ref="G25:I25"/>
    <mergeCell ref="D26:E26"/>
    <mergeCell ref="D27:E27"/>
    <mergeCell ref="D28:E28"/>
    <mergeCell ref="D29:E29"/>
    <mergeCell ref="D30:E30"/>
    <mergeCell ref="F33:F34"/>
    <mergeCell ref="D31:E31"/>
    <mergeCell ref="D32:E32"/>
    <mergeCell ref="C26:C32"/>
    <mergeCell ref="G26:H26"/>
    <mergeCell ref="G27:H27"/>
    <mergeCell ref="G28:H28"/>
    <mergeCell ref="G29:H29"/>
    <mergeCell ref="G30:H30"/>
    <mergeCell ref="G31:H31"/>
    <mergeCell ref="G32:H32"/>
    <mergeCell ref="J25:L25"/>
    <mergeCell ref="J26:K26"/>
    <mergeCell ref="J27:K27"/>
  </mergeCells>
  <conditionalFormatting sqref="F43:F44">
    <cfRule type="cellIs" dxfId="67" priority="193" stopIfTrue="1" operator="lessThan">
      <formula>0</formula>
    </cfRule>
    <cfRule type="cellIs" dxfId="66" priority="194" stopIfTrue="1" operator="greaterThan">
      <formula>0</formula>
    </cfRule>
  </conditionalFormatting>
  <conditionalFormatting sqref="F35:F44">
    <cfRule type="cellIs" dxfId="65" priority="195" stopIfTrue="1" operator="lessThan">
      <formula>0</formula>
    </cfRule>
    <cfRule type="cellIs" dxfId="64" priority="196" stopIfTrue="1" operator="greaterThan">
      <formula>0</formula>
    </cfRule>
  </conditionalFormatting>
  <conditionalFormatting sqref="I43:I44">
    <cfRule type="cellIs" dxfId="63" priority="65" stopIfTrue="1" operator="lessThan">
      <formula>0</formula>
    </cfRule>
    <cfRule type="cellIs" dxfId="62" priority="66" stopIfTrue="1" operator="greaterThan">
      <formula>0</formula>
    </cfRule>
  </conditionalFormatting>
  <conditionalFormatting sqref="I35:I44">
    <cfRule type="cellIs" dxfId="61" priority="67" stopIfTrue="1" operator="lessThan">
      <formula>0</formula>
    </cfRule>
    <cfRule type="cellIs" dxfId="60" priority="68" stopIfTrue="1" operator="greaterThan">
      <formula>0</formula>
    </cfRule>
  </conditionalFormatting>
  <conditionalFormatting sqref="L43:L44">
    <cfRule type="cellIs" dxfId="59" priority="61" stopIfTrue="1" operator="lessThan">
      <formula>0</formula>
    </cfRule>
    <cfRule type="cellIs" dxfId="58" priority="62" stopIfTrue="1" operator="greaterThan">
      <formula>0</formula>
    </cfRule>
  </conditionalFormatting>
  <conditionalFormatting sqref="L35:L44">
    <cfRule type="cellIs" dxfId="57" priority="63" stopIfTrue="1" operator="lessThan">
      <formula>0</formula>
    </cfRule>
    <cfRule type="cellIs" dxfId="56" priority="64" stopIfTrue="1" operator="greaterThan">
      <formula>0</formula>
    </cfRule>
  </conditionalFormatting>
  <conditionalFormatting sqref="O43:O44">
    <cfRule type="cellIs" dxfId="55" priority="57" stopIfTrue="1" operator="lessThan">
      <formula>0</formula>
    </cfRule>
    <cfRule type="cellIs" dxfId="54" priority="58" stopIfTrue="1" operator="greaterThan">
      <formula>0</formula>
    </cfRule>
  </conditionalFormatting>
  <conditionalFormatting sqref="O35:O44">
    <cfRule type="cellIs" dxfId="53" priority="59" stopIfTrue="1" operator="lessThan">
      <formula>0</formula>
    </cfRule>
    <cfRule type="cellIs" dxfId="52" priority="60" stopIfTrue="1" operator="greaterThan">
      <formula>0</formula>
    </cfRule>
  </conditionalFormatting>
  <conditionalFormatting sqref="R43:R44">
    <cfRule type="cellIs" dxfId="51" priority="53" stopIfTrue="1" operator="lessThan">
      <formula>0</formula>
    </cfRule>
    <cfRule type="cellIs" dxfId="50" priority="54" stopIfTrue="1" operator="greaterThan">
      <formula>0</formula>
    </cfRule>
  </conditionalFormatting>
  <conditionalFormatting sqref="R35:R44">
    <cfRule type="cellIs" dxfId="49" priority="55" stopIfTrue="1" operator="lessThan">
      <formula>0</formula>
    </cfRule>
    <cfRule type="cellIs" dxfId="48" priority="56" stopIfTrue="1" operator="greaterThan">
      <formula>0</formula>
    </cfRule>
  </conditionalFormatting>
  <conditionalFormatting sqref="U43:U44">
    <cfRule type="cellIs" dxfId="47" priority="49" stopIfTrue="1" operator="lessThan">
      <formula>0</formula>
    </cfRule>
    <cfRule type="cellIs" dxfId="46" priority="50" stopIfTrue="1" operator="greaterThan">
      <formula>0</formula>
    </cfRule>
  </conditionalFormatting>
  <conditionalFormatting sqref="U35:U44">
    <cfRule type="cellIs" dxfId="45" priority="51" stopIfTrue="1" operator="lessThan">
      <formula>0</formula>
    </cfRule>
    <cfRule type="cellIs" dxfId="44" priority="52" stopIfTrue="1" operator="greaterThan">
      <formula>0</formula>
    </cfRule>
  </conditionalFormatting>
  <conditionalFormatting sqref="X43:X44">
    <cfRule type="cellIs" dxfId="43" priority="45" stopIfTrue="1" operator="lessThan">
      <formula>0</formula>
    </cfRule>
    <cfRule type="cellIs" dxfId="42" priority="46" stopIfTrue="1" operator="greaterThan">
      <formula>0</formula>
    </cfRule>
  </conditionalFormatting>
  <conditionalFormatting sqref="X35:X44">
    <cfRule type="cellIs" dxfId="41" priority="47" stopIfTrue="1" operator="lessThan">
      <formula>0</formula>
    </cfRule>
    <cfRule type="cellIs" dxfId="40" priority="48" stopIfTrue="1" operator="greaterThan">
      <formula>0</formula>
    </cfRule>
  </conditionalFormatting>
  <conditionalFormatting sqref="AA43:AA44">
    <cfRule type="cellIs" dxfId="39" priority="41" stopIfTrue="1" operator="lessThan">
      <formula>0</formula>
    </cfRule>
    <cfRule type="cellIs" dxfId="38" priority="42" stopIfTrue="1" operator="greaterThan">
      <formula>0</formula>
    </cfRule>
  </conditionalFormatting>
  <conditionalFormatting sqref="AA35:AA44">
    <cfRule type="cellIs" dxfId="37" priority="43" stopIfTrue="1" operator="lessThan">
      <formula>0</formula>
    </cfRule>
    <cfRule type="cellIs" dxfId="36" priority="44" stopIfTrue="1" operator="greaterThan">
      <formula>0</formula>
    </cfRule>
  </conditionalFormatting>
  <conditionalFormatting sqref="AD43:AD44">
    <cfRule type="cellIs" dxfId="35" priority="37" stopIfTrue="1" operator="lessThan">
      <formula>0</formula>
    </cfRule>
    <cfRule type="cellIs" dxfId="34" priority="38" stopIfTrue="1" operator="greaterThan">
      <formula>0</formula>
    </cfRule>
  </conditionalFormatting>
  <conditionalFormatting sqref="AD35:AD44">
    <cfRule type="cellIs" dxfId="33" priority="39" stopIfTrue="1" operator="lessThan">
      <formula>0</formula>
    </cfRule>
    <cfRule type="cellIs" dxfId="32" priority="40" stopIfTrue="1" operator="greaterThan">
      <formula>0</formula>
    </cfRule>
  </conditionalFormatting>
  <conditionalFormatting sqref="AG43:AG44">
    <cfRule type="cellIs" dxfId="31" priority="33" stopIfTrue="1" operator="lessThan">
      <formula>0</formula>
    </cfRule>
    <cfRule type="cellIs" dxfId="30" priority="34" stopIfTrue="1" operator="greaterThan">
      <formula>0</formula>
    </cfRule>
  </conditionalFormatting>
  <conditionalFormatting sqref="AG35:AG44">
    <cfRule type="cellIs" dxfId="29" priority="35" stopIfTrue="1" operator="lessThan">
      <formula>0</formula>
    </cfRule>
    <cfRule type="cellIs" dxfId="28" priority="36" stopIfTrue="1" operator="greaterThan">
      <formula>0</formula>
    </cfRule>
  </conditionalFormatting>
  <conditionalFormatting sqref="AJ43:AJ44">
    <cfRule type="cellIs" dxfId="27" priority="29" stopIfTrue="1" operator="lessThan">
      <formula>0</formula>
    </cfRule>
    <cfRule type="cellIs" dxfId="26" priority="30" stopIfTrue="1" operator="greaterThan">
      <formula>0</formula>
    </cfRule>
  </conditionalFormatting>
  <conditionalFormatting sqref="AJ35:AJ44">
    <cfRule type="cellIs" dxfId="25" priority="31" stopIfTrue="1" operator="lessThan">
      <formula>0</formula>
    </cfRule>
    <cfRule type="cellIs" dxfId="24" priority="32" stopIfTrue="1" operator="greaterThan">
      <formula>0</formula>
    </cfRule>
  </conditionalFormatting>
  <conditionalFormatting sqref="AM43:AM44">
    <cfRule type="cellIs" dxfId="23" priority="25" stopIfTrue="1" operator="lessThan">
      <formula>0</formula>
    </cfRule>
    <cfRule type="cellIs" dxfId="22" priority="26" stopIfTrue="1" operator="greaterThan">
      <formula>0</formula>
    </cfRule>
  </conditionalFormatting>
  <conditionalFormatting sqref="AM35:AM44">
    <cfRule type="cellIs" dxfId="21" priority="27" stopIfTrue="1" operator="lessThan">
      <formula>0</formula>
    </cfRule>
    <cfRule type="cellIs" dxfId="20" priority="28" stopIfTrue="1" operator="greaterThan">
      <formula>0</formula>
    </cfRule>
  </conditionalFormatting>
  <conditionalFormatting sqref="AP43:AP44">
    <cfRule type="cellIs" dxfId="19" priority="21" stopIfTrue="1" operator="lessThan">
      <formula>0</formula>
    </cfRule>
    <cfRule type="cellIs" dxfId="18" priority="22" stopIfTrue="1" operator="greaterThan">
      <formula>0</formula>
    </cfRule>
  </conditionalFormatting>
  <conditionalFormatting sqref="AP35:AP44">
    <cfRule type="cellIs" dxfId="17" priority="23" stopIfTrue="1" operator="lessThan">
      <formula>0</formula>
    </cfRule>
    <cfRule type="cellIs" dxfId="16" priority="24" stopIfTrue="1" operator="greaterThan">
      <formula>0</formula>
    </cfRule>
  </conditionalFormatting>
  <conditionalFormatting sqref="AS43:AS44">
    <cfRule type="cellIs" dxfId="15" priority="17" stopIfTrue="1" operator="lessThan">
      <formula>0</formula>
    </cfRule>
    <cfRule type="cellIs" dxfId="14" priority="18" stopIfTrue="1" operator="greaterThan">
      <formula>0</formula>
    </cfRule>
  </conditionalFormatting>
  <conditionalFormatting sqref="AS35:AS44">
    <cfRule type="cellIs" dxfId="13" priority="19" stopIfTrue="1" operator="lessThan">
      <formula>0</formula>
    </cfRule>
    <cfRule type="cellIs" dxfId="12" priority="20" stopIfTrue="1" operator="greaterThan">
      <formula>0</formula>
    </cfRule>
  </conditionalFormatting>
  <conditionalFormatting sqref="AV43:AV44">
    <cfRule type="cellIs" dxfId="11" priority="13" stopIfTrue="1" operator="lessThan">
      <formula>0</formula>
    </cfRule>
    <cfRule type="cellIs" dxfId="10" priority="14" stopIfTrue="1" operator="greaterThan">
      <formula>0</formula>
    </cfRule>
  </conditionalFormatting>
  <conditionalFormatting sqref="AV35:AV44">
    <cfRule type="cellIs" dxfId="9" priority="15" stopIfTrue="1" operator="lessThan">
      <formula>0</formula>
    </cfRule>
    <cfRule type="cellIs" dxfId="8" priority="16" stopIfTrue="1" operator="greaterThan">
      <formula>0</formula>
    </cfRule>
  </conditionalFormatting>
  <conditionalFormatting sqref="AY43:AY44">
    <cfRule type="cellIs" dxfId="7" priority="5" stopIfTrue="1" operator="lessThan">
      <formula>0</formula>
    </cfRule>
    <cfRule type="cellIs" dxfId="6" priority="6" stopIfTrue="1" operator="greaterThan">
      <formula>0</formula>
    </cfRule>
  </conditionalFormatting>
  <conditionalFormatting sqref="AY35:AY44">
    <cfRule type="cellIs" dxfId="5" priority="7" stopIfTrue="1" operator="lessThan">
      <formula>0</formula>
    </cfRule>
    <cfRule type="cellIs" dxfId="4" priority="8" stopIfTrue="1" operator="greaterThan">
      <formula>0</formula>
    </cfRule>
  </conditionalFormatting>
  <conditionalFormatting sqref="BB43:BB44">
    <cfRule type="cellIs" dxfId="3" priority="1" stopIfTrue="1" operator="lessThan">
      <formula>0</formula>
    </cfRule>
    <cfRule type="cellIs" dxfId="2" priority="2" stopIfTrue="1" operator="greaterThan">
      <formula>0</formula>
    </cfRule>
  </conditionalFormatting>
  <conditionalFormatting sqref="BB35:BB44">
    <cfRule type="cellIs" dxfId="1" priority="3" stopIfTrue="1" operator="lessThan">
      <formula>0</formula>
    </cfRule>
    <cfRule type="cellIs" dxfId="0" priority="4" stopIfTrue="1" operator="greaterThan">
      <formula>0</formula>
    </cfRule>
  </conditionalFormatting>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699286" r:id="rId4" name="Button 150">
              <controlPr defaultSize="0" print="0" autoFill="0" autoPict="0" macro="[0]!AC_Comp_Calc">
                <anchor moveWithCells="1" sizeWithCells="1">
                  <from>
                    <xdr:col>1</xdr:col>
                    <xdr:colOff>609600</xdr:colOff>
                    <xdr:row>0</xdr:row>
                    <xdr:rowOff>215900</xdr:rowOff>
                  </from>
                  <to>
                    <xdr:col>1</xdr:col>
                    <xdr:colOff>1930400</xdr:colOff>
                    <xdr:row>0</xdr:row>
                    <xdr:rowOff>685800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AC517"/>
  <sheetViews>
    <sheetView topLeftCell="R70" workbookViewId="0">
      <selection activeCell="AA79" sqref="AA79"/>
    </sheetView>
  </sheetViews>
  <sheetFormatPr baseColWidth="10" defaultColWidth="8.83203125" defaultRowHeight="13"/>
  <cols>
    <col min="1" max="1" width="14.5" style="4" customWidth="1"/>
    <col min="2" max="2" width="51.5" customWidth="1"/>
    <col min="3" max="3" width="2" customWidth="1"/>
    <col min="4" max="4" width="19.5" bestFit="1" customWidth="1"/>
    <col min="5" max="5" width="15.5" customWidth="1"/>
    <col min="6" max="6" width="25.83203125" bestFit="1" customWidth="1"/>
    <col min="7" max="7" width="35.6640625" bestFit="1" customWidth="1"/>
    <col min="8" max="8" width="2" customWidth="1"/>
    <col min="9" max="9" width="18.6640625" customWidth="1"/>
    <col min="10" max="10" width="25.33203125" bestFit="1" customWidth="1"/>
    <col min="11" max="11" width="30.5" bestFit="1" customWidth="1"/>
    <col min="12" max="12" width="9.6640625" style="4" customWidth="1"/>
    <col min="13" max="13" width="35.5" style="4" bestFit="1" customWidth="1"/>
    <col min="14" max="14" width="1.6640625" style="4" customWidth="1"/>
    <col min="15" max="15" width="20.1640625" customWidth="1"/>
    <col min="16" max="16" width="12.6640625" customWidth="1"/>
    <col min="17" max="17" width="34" bestFit="1" customWidth="1"/>
    <col min="18" max="18" width="7.33203125" customWidth="1"/>
    <col min="19" max="19" width="9" customWidth="1"/>
    <col min="20" max="20" width="6" customWidth="1"/>
    <col min="21" max="21" width="8.6640625" customWidth="1"/>
    <col min="22" max="22" width="10.33203125" customWidth="1"/>
    <col min="23" max="23" width="4.5" customWidth="1"/>
    <col min="24" max="24" width="8.5" customWidth="1"/>
    <col min="25" max="25" width="26.1640625" bestFit="1" customWidth="1"/>
    <col min="26" max="26" width="30.5" bestFit="1" customWidth="1"/>
    <col min="27" max="27" width="13.83203125" bestFit="1" customWidth="1"/>
    <col min="28" max="28" width="20.6640625" bestFit="1" customWidth="1"/>
  </cols>
  <sheetData>
    <row r="1" spans="1:29" ht="13.5" customHeight="1">
      <c r="A1" s="3" t="s">
        <v>1702</v>
      </c>
      <c r="B1" s="2" t="s">
        <v>1703</v>
      </c>
      <c r="C1" s="2"/>
      <c r="D1" s="2" t="s">
        <v>1314</v>
      </c>
      <c r="E1" s="2" t="s">
        <v>1313</v>
      </c>
      <c r="F1" s="2" t="s">
        <v>1828</v>
      </c>
      <c r="G1" s="2" t="s">
        <v>1828</v>
      </c>
      <c r="H1" s="2"/>
      <c r="I1" s="2" t="s">
        <v>1315</v>
      </c>
      <c r="J1" s="144" t="s">
        <v>2083</v>
      </c>
      <c r="K1" s="125" t="s">
        <v>376</v>
      </c>
      <c r="L1" s="160" t="s">
        <v>375</v>
      </c>
      <c r="M1" s="3" t="s">
        <v>12</v>
      </c>
      <c r="N1" s="3"/>
      <c r="O1" s="2" t="s">
        <v>1269</v>
      </c>
      <c r="P1" s="2" t="s">
        <v>1270</v>
      </c>
      <c r="Q1" s="2" t="s">
        <v>1910</v>
      </c>
      <c r="R1" s="2" t="s">
        <v>1892</v>
      </c>
      <c r="S1" s="2" t="s">
        <v>1893</v>
      </c>
      <c r="T1" s="2" t="s">
        <v>1926</v>
      </c>
      <c r="U1" s="144" t="s">
        <v>1929</v>
      </c>
      <c r="V1" s="144" t="s">
        <v>1946</v>
      </c>
      <c r="W1" s="144" t="s">
        <v>2079</v>
      </c>
      <c r="X1" s="144" t="s">
        <v>2080</v>
      </c>
      <c r="Y1" s="144" t="s">
        <v>2083</v>
      </c>
      <c r="Z1" s="125" t="s">
        <v>376</v>
      </c>
      <c r="AA1" s="160" t="s">
        <v>375</v>
      </c>
      <c r="AB1" s="444" t="s">
        <v>2325</v>
      </c>
      <c r="AC1" s="2" t="s">
        <v>2375</v>
      </c>
    </row>
    <row r="2" spans="1:29" ht="42">
      <c r="A2" t="s">
        <v>444</v>
      </c>
      <c r="B2" t="s">
        <v>445</v>
      </c>
      <c r="D2" s="83" t="s">
        <v>1453</v>
      </c>
      <c r="E2" s="169" t="s">
        <v>1114</v>
      </c>
      <c r="F2" t="str">
        <f t="shared" ref="F2:F65" si="0">E2&amp;" - "&amp;D2</f>
        <v>AFN - Afghanistan, I.R. of</v>
      </c>
      <c r="G2" t="s">
        <v>284</v>
      </c>
      <c r="I2" t="s">
        <v>1316</v>
      </c>
      <c r="J2" s="294" t="s">
        <v>2088</v>
      </c>
      <c r="K2" s="161" t="s">
        <v>983</v>
      </c>
      <c r="L2" s="162" t="s">
        <v>377</v>
      </c>
      <c r="M2" s="4" t="str">
        <f>L2&amp;" - "&amp;K2</f>
        <v>AB3 - A300 Passenger (All Series)</v>
      </c>
      <c r="O2" s="1" t="s">
        <v>1774</v>
      </c>
      <c r="P2" s="1" t="s">
        <v>1284</v>
      </c>
      <c r="Q2" s="1" t="s">
        <v>1911</v>
      </c>
      <c r="R2">
        <v>1</v>
      </c>
      <c r="S2" s="103" t="s">
        <v>1894</v>
      </c>
      <c r="T2" s="1" t="s">
        <v>772</v>
      </c>
      <c r="U2" s="145">
        <v>2009</v>
      </c>
      <c r="V2" s="146" t="s">
        <v>1947</v>
      </c>
      <c r="W2" s="146" t="s">
        <v>1958</v>
      </c>
      <c r="X2" s="146" t="s">
        <v>1959</v>
      </c>
      <c r="Y2" s="294" t="s">
        <v>2088</v>
      </c>
      <c r="Z2" s="161" t="s">
        <v>983</v>
      </c>
      <c r="AA2" s="296" t="s">
        <v>377</v>
      </c>
      <c r="AB2" s="445" t="s">
        <v>2326</v>
      </c>
      <c r="AC2" s="311" t="s">
        <v>2376</v>
      </c>
    </row>
    <row r="3" spans="1:29">
      <c r="A3" t="s">
        <v>446</v>
      </c>
      <c r="B3" t="s">
        <v>1373</v>
      </c>
      <c r="D3" s="83" t="s">
        <v>1454</v>
      </c>
      <c r="E3" t="s">
        <v>1115</v>
      </c>
      <c r="F3" t="str">
        <f t="shared" si="0"/>
        <v>ALL - Albania</v>
      </c>
      <c r="G3" t="s">
        <v>285</v>
      </c>
      <c r="I3" t="s">
        <v>1317</v>
      </c>
      <c r="J3" s="146" t="s">
        <v>2089</v>
      </c>
      <c r="K3" s="161" t="s">
        <v>1105</v>
      </c>
      <c r="L3" s="162" t="s">
        <v>378</v>
      </c>
      <c r="M3" s="4" t="str">
        <f t="shared" ref="M3:M66" si="1">L3&amp;" - "&amp;K3</f>
        <v>AB4 - A300-B2/B4/C4 Passenger</v>
      </c>
      <c r="O3" s="1" t="s">
        <v>1775</v>
      </c>
      <c r="P3" s="1" t="s">
        <v>1285</v>
      </c>
      <c r="Q3" s="1" t="s">
        <v>1912</v>
      </c>
      <c r="R3">
        <v>2</v>
      </c>
      <c r="S3" s="1" t="s">
        <v>1895</v>
      </c>
      <c r="T3" s="1" t="s">
        <v>1927</v>
      </c>
      <c r="U3" s="145">
        <v>2010</v>
      </c>
      <c r="V3" s="147" t="s">
        <v>1948</v>
      </c>
      <c r="W3" s="146" t="s">
        <v>1953</v>
      </c>
      <c r="X3" s="146" t="s">
        <v>1954</v>
      </c>
      <c r="Y3" s="146" t="s">
        <v>2089</v>
      </c>
      <c r="Z3" s="161" t="s">
        <v>1105</v>
      </c>
      <c r="AA3" s="162" t="s">
        <v>378</v>
      </c>
      <c r="AB3" s="445" t="s">
        <v>2327</v>
      </c>
      <c r="AC3" s="311" t="s">
        <v>2378</v>
      </c>
    </row>
    <row r="4" spans="1:29">
      <c r="A4" t="s">
        <v>447</v>
      </c>
      <c r="B4" t="s">
        <v>448</v>
      </c>
      <c r="D4" s="83" t="s">
        <v>1965</v>
      </c>
      <c r="E4" t="s">
        <v>1116</v>
      </c>
      <c r="F4" t="str">
        <f t="shared" si="0"/>
        <v>DZD - Algeria</v>
      </c>
      <c r="G4" t="s">
        <v>1712</v>
      </c>
      <c r="I4" t="s">
        <v>1318</v>
      </c>
      <c r="J4" s="145" t="s">
        <v>1104</v>
      </c>
      <c r="K4" s="161" t="s">
        <v>1104</v>
      </c>
      <c r="L4" s="162" t="s">
        <v>379</v>
      </c>
      <c r="M4" s="4" t="str">
        <f t="shared" si="1"/>
        <v>AB6 - A300-600</v>
      </c>
      <c r="O4" s="1" t="s">
        <v>1776</v>
      </c>
      <c r="P4" s="1" t="s">
        <v>1286</v>
      </c>
      <c r="Q4" s="1" t="s">
        <v>1913</v>
      </c>
      <c r="R4">
        <v>3</v>
      </c>
      <c r="S4" s="1" t="s">
        <v>1896</v>
      </c>
      <c r="U4" s="145">
        <v>2011</v>
      </c>
      <c r="V4" s="149"/>
      <c r="W4" s="30"/>
      <c r="Y4" s="145" t="s">
        <v>1104</v>
      </c>
      <c r="Z4" s="161" t="s">
        <v>1104</v>
      </c>
      <c r="AA4" s="162" t="s">
        <v>379</v>
      </c>
      <c r="AB4" s="161" t="s">
        <v>2328</v>
      </c>
    </row>
    <row r="5" spans="1:29">
      <c r="A5" t="s">
        <v>449</v>
      </c>
      <c r="B5" t="s">
        <v>450</v>
      </c>
      <c r="D5" s="83" t="s">
        <v>1966</v>
      </c>
      <c r="E5" t="s">
        <v>1117</v>
      </c>
      <c r="F5" t="str">
        <f t="shared" si="0"/>
        <v>AOA - Angola</v>
      </c>
      <c r="G5" t="s">
        <v>286</v>
      </c>
      <c r="I5" t="s">
        <v>1319</v>
      </c>
      <c r="J5" s="146" t="s">
        <v>2097</v>
      </c>
      <c r="K5" s="161" t="s">
        <v>1106</v>
      </c>
      <c r="L5" s="162" t="s">
        <v>380</v>
      </c>
      <c r="M5" s="4" t="str">
        <f t="shared" si="1"/>
        <v>ABF - A300-C4/F4/A300 600 Freighter</v>
      </c>
      <c r="O5" s="1" t="s">
        <v>1271</v>
      </c>
      <c r="P5" s="1" t="s">
        <v>1287</v>
      </c>
      <c r="Q5" s="1" t="s">
        <v>1914</v>
      </c>
      <c r="U5" s="145">
        <v>2012</v>
      </c>
      <c r="W5" s="30"/>
      <c r="Y5" s="146" t="s">
        <v>2097</v>
      </c>
      <c r="Z5" s="161" t="s">
        <v>1106</v>
      </c>
      <c r="AA5" s="162" t="s">
        <v>380</v>
      </c>
      <c r="AB5" s="295" t="s">
        <v>2330</v>
      </c>
    </row>
    <row r="6" spans="1:29">
      <c r="A6" t="s">
        <v>451</v>
      </c>
      <c r="B6" t="s">
        <v>452</v>
      </c>
      <c r="D6" s="83" t="s">
        <v>1967</v>
      </c>
      <c r="E6" t="s">
        <v>1118</v>
      </c>
      <c r="F6" t="str">
        <f t="shared" si="0"/>
        <v>XCD - Anguilla</v>
      </c>
      <c r="G6" t="s">
        <v>287</v>
      </c>
      <c r="I6" t="s">
        <v>1320</v>
      </c>
      <c r="J6" s="146" t="s">
        <v>2090</v>
      </c>
      <c r="K6" s="161" t="s">
        <v>984</v>
      </c>
      <c r="L6" s="162">
        <v>310</v>
      </c>
      <c r="M6" s="4" t="str">
        <f t="shared" si="1"/>
        <v>310 - A310 (All Series)</v>
      </c>
      <c r="O6" s="1" t="s">
        <v>1782</v>
      </c>
      <c r="P6" s="1" t="s">
        <v>1288</v>
      </c>
      <c r="Q6" s="1" t="s">
        <v>1783</v>
      </c>
      <c r="U6" s="145">
        <v>2013</v>
      </c>
      <c r="Y6" s="146" t="s">
        <v>2090</v>
      </c>
      <c r="Z6" s="161" t="s">
        <v>984</v>
      </c>
      <c r="AA6" s="162">
        <v>310</v>
      </c>
      <c r="AB6" s="161" t="s">
        <v>2329</v>
      </c>
    </row>
    <row r="7" spans="1:29">
      <c r="A7" t="s">
        <v>453</v>
      </c>
      <c r="B7" t="s">
        <v>454</v>
      </c>
      <c r="D7" s="83" t="s">
        <v>1968</v>
      </c>
      <c r="E7" t="s">
        <v>1118</v>
      </c>
      <c r="F7" t="str">
        <f t="shared" si="0"/>
        <v>XCD - Antigua and Barbuda</v>
      </c>
      <c r="G7" t="s">
        <v>1713</v>
      </c>
      <c r="I7" t="s">
        <v>1321</v>
      </c>
      <c r="J7" s="145" t="s">
        <v>1107</v>
      </c>
      <c r="K7" s="161" t="s">
        <v>1107</v>
      </c>
      <c r="L7" s="162">
        <v>312</v>
      </c>
      <c r="M7" s="4" t="str">
        <f t="shared" si="1"/>
        <v>312 - A310-200</v>
      </c>
      <c r="O7" s="1" t="s">
        <v>1784</v>
      </c>
      <c r="P7" s="1" t="s">
        <v>1289</v>
      </c>
      <c r="Q7" s="1" t="s">
        <v>1915</v>
      </c>
      <c r="U7" s="145">
        <v>2014</v>
      </c>
      <c r="Y7" s="145" t="s">
        <v>1107</v>
      </c>
      <c r="Z7" s="161" t="s">
        <v>1107</v>
      </c>
      <c r="AA7" s="162">
        <v>312</v>
      </c>
    </row>
    <row r="8" spans="1:29">
      <c r="A8" t="s">
        <v>455</v>
      </c>
      <c r="B8" t="s">
        <v>456</v>
      </c>
      <c r="D8" s="83" t="s">
        <v>1455</v>
      </c>
      <c r="E8" t="s">
        <v>1119</v>
      </c>
      <c r="F8" t="str">
        <f t="shared" si="0"/>
        <v>ARS - Argentina</v>
      </c>
      <c r="G8" t="s">
        <v>288</v>
      </c>
      <c r="I8" t="s">
        <v>1322</v>
      </c>
      <c r="J8" s="145" t="s">
        <v>1108</v>
      </c>
      <c r="K8" s="161" t="s">
        <v>1108</v>
      </c>
      <c r="L8" s="162">
        <v>313</v>
      </c>
      <c r="M8" s="4" t="str">
        <f t="shared" si="1"/>
        <v>313 - A310-300</v>
      </c>
      <c r="O8" s="1" t="s">
        <v>1785</v>
      </c>
      <c r="P8" s="1" t="s">
        <v>1290</v>
      </c>
      <c r="Q8" s="1" t="s">
        <v>1916</v>
      </c>
      <c r="U8" s="145">
        <v>2015</v>
      </c>
      <c r="Y8" s="145" t="s">
        <v>1108</v>
      </c>
      <c r="Z8" s="161" t="s">
        <v>1108</v>
      </c>
      <c r="AA8" s="162">
        <v>313</v>
      </c>
    </row>
    <row r="9" spans="1:29">
      <c r="A9" t="s">
        <v>457</v>
      </c>
      <c r="B9" t="s">
        <v>458</v>
      </c>
      <c r="D9" s="83" t="s">
        <v>1456</v>
      </c>
      <c r="E9" t="s">
        <v>1120</v>
      </c>
      <c r="F9" t="str">
        <f t="shared" si="0"/>
        <v>AMD - Armenia</v>
      </c>
      <c r="G9" t="s">
        <v>289</v>
      </c>
      <c r="I9" t="s">
        <v>1323</v>
      </c>
      <c r="J9" s="146" t="s">
        <v>2091</v>
      </c>
      <c r="K9" s="161" t="s">
        <v>1109</v>
      </c>
      <c r="L9" s="162" t="s">
        <v>381</v>
      </c>
      <c r="M9" s="4" t="str">
        <f t="shared" si="1"/>
        <v>32S - A320 Family (All Series)</v>
      </c>
      <c r="O9" s="1" t="s">
        <v>1786</v>
      </c>
      <c r="P9" s="1" t="s">
        <v>1291</v>
      </c>
      <c r="Q9" s="1" t="s">
        <v>1777</v>
      </c>
      <c r="U9" s="145">
        <v>2016</v>
      </c>
      <c r="Y9" s="146" t="s">
        <v>2091</v>
      </c>
      <c r="Z9" s="161" t="s">
        <v>1109</v>
      </c>
      <c r="AA9" s="162" t="s">
        <v>381</v>
      </c>
    </row>
    <row r="10" spans="1:29">
      <c r="A10" t="s">
        <v>459</v>
      </c>
      <c r="B10" t="s">
        <v>460</v>
      </c>
      <c r="D10" s="83" t="s">
        <v>1457</v>
      </c>
      <c r="E10" t="s">
        <v>1121</v>
      </c>
      <c r="F10" t="str">
        <f t="shared" si="0"/>
        <v>AWG - Aruba</v>
      </c>
      <c r="G10" t="s">
        <v>1714</v>
      </c>
      <c r="I10" t="s">
        <v>1324</v>
      </c>
      <c r="J10" s="145" t="s">
        <v>985</v>
      </c>
      <c r="K10" s="66" t="s">
        <v>985</v>
      </c>
      <c r="L10" s="163">
        <v>318</v>
      </c>
      <c r="M10" s="4" t="str">
        <f t="shared" si="1"/>
        <v>318 - A318</v>
      </c>
      <c r="N10" s="87"/>
      <c r="O10" s="1" t="s">
        <v>1272</v>
      </c>
      <c r="P10" s="1" t="s">
        <v>1292</v>
      </c>
      <c r="Q10" s="1" t="s">
        <v>1917</v>
      </c>
      <c r="U10" s="145">
        <v>2017</v>
      </c>
      <c r="Y10" s="145" t="s">
        <v>985</v>
      </c>
      <c r="Z10" s="66" t="s">
        <v>985</v>
      </c>
      <c r="AA10" s="163">
        <v>318</v>
      </c>
    </row>
    <row r="11" spans="1:29">
      <c r="A11" t="s">
        <v>461</v>
      </c>
      <c r="B11" t="s">
        <v>462</v>
      </c>
      <c r="D11" s="83" t="s">
        <v>1969</v>
      </c>
      <c r="E11" t="s">
        <v>1122</v>
      </c>
      <c r="F11" t="str">
        <f t="shared" si="0"/>
        <v>AUD - Australia</v>
      </c>
      <c r="G11" t="s">
        <v>1715</v>
      </c>
      <c r="I11" t="s">
        <v>1325</v>
      </c>
      <c r="J11" s="145" t="s">
        <v>986</v>
      </c>
      <c r="K11" s="66" t="s">
        <v>986</v>
      </c>
      <c r="L11" s="163">
        <v>319</v>
      </c>
      <c r="M11" s="4" t="str">
        <f t="shared" si="1"/>
        <v>319 - A319</v>
      </c>
      <c r="N11" s="87"/>
      <c r="O11" s="1" t="s">
        <v>1273</v>
      </c>
      <c r="P11" s="1" t="s">
        <v>1293</v>
      </c>
      <c r="Q11" s="1" t="s">
        <v>1918</v>
      </c>
      <c r="U11" s="145">
        <v>2018</v>
      </c>
      <c r="Y11" s="145" t="s">
        <v>986</v>
      </c>
      <c r="Z11" s="66" t="s">
        <v>986</v>
      </c>
      <c r="AA11" s="163">
        <v>319</v>
      </c>
    </row>
    <row r="12" spans="1:29">
      <c r="A12" t="s">
        <v>463</v>
      </c>
      <c r="B12" t="s">
        <v>464</v>
      </c>
      <c r="D12" s="83" t="s">
        <v>1458</v>
      </c>
      <c r="E12" t="s">
        <v>1123</v>
      </c>
      <c r="F12" t="str">
        <f t="shared" si="0"/>
        <v>EUR - Austria</v>
      </c>
      <c r="G12" t="s">
        <v>290</v>
      </c>
      <c r="I12" t="s">
        <v>1326</v>
      </c>
      <c r="J12" s="145" t="s">
        <v>987</v>
      </c>
      <c r="K12" s="66" t="s">
        <v>987</v>
      </c>
      <c r="L12" s="163">
        <v>320</v>
      </c>
      <c r="M12" s="4" t="str">
        <f t="shared" si="1"/>
        <v xml:space="preserve">320 - A320 </v>
      </c>
      <c r="N12" s="87"/>
      <c r="O12" s="1" t="s">
        <v>1781</v>
      </c>
      <c r="P12" s="1" t="s">
        <v>1294</v>
      </c>
      <c r="Q12" s="1" t="s">
        <v>1778</v>
      </c>
      <c r="U12" s="145">
        <v>2019</v>
      </c>
      <c r="Y12" s="145" t="s">
        <v>987</v>
      </c>
      <c r="Z12" s="66" t="s">
        <v>987</v>
      </c>
      <c r="AA12" s="163">
        <v>320</v>
      </c>
    </row>
    <row r="13" spans="1:29">
      <c r="A13" t="s">
        <v>465</v>
      </c>
      <c r="B13" t="s">
        <v>466</v>
      </c>
      <c r="D13" s="83" t="s">
        <v>1459</v>
      </c>
      <c r="E13" t="s">
        <v>1710</v>
      </c>
      <c r="F13" t="str">
        <f t="shared" si="0"/>
        <v>AZN - Azerbaijan, Rep. of</v>
      </c>
      <c r="G13" t="s">
        <v>291</v>
      </c>
      <c r="I13" t="s">
        <v>1327</v>
      </c>
      <c r="J13" s="145" t="s">
        <v>988</v>
      </c>
      <c r="K13" s="66" t="s">
        <v>988</v>
      </c>
      <c r="L13" s="163">
        <v>321</v>
      </c>
      <c r="M13" s="4" t="str">
        <f t="shared" si="1"/>
        <v>321 - A321</v>
      </c>
      <c r="N13" s="87"/>
      <c r="O13" s="1" t="s">
        <v>1274</v>
      </c>
      <c r="P13" s="1" t="s">
        <v>1295</v>
      </c>
      <c r="Q13" s="1" t="s">
        <v>1919</v>
      </c>
      <c r="U13" s="145">
        <v>2020</v>
      </c>
      <c r="Y13" s="145" t="s">
        <v>988</v>
      </c>
      <c r="Z13" s="66" t="s">
        <v>988</v>
      </c>
      <c r="AA13" s="163">
        <v>321</v>
      </c>
    </row>
    <row r="14" spans="1:29">
      <c r="A14" t="s">
        <v>467</v>
      </c>
      <c r="B14" t="s">
        <v>468</v>
      </c>
      <c r="D14" s="83" t="s">
        <v>1970</v>
      </c>
      <c r="E14" t="s">
        <v>1124</v>
      </c>
      <c r="F14" t="str">
        <f t="shared" si="0"/>
        <v>BSD - Bahamas, The</v>
      </c>
      <c r="G14" t="s">
        <v>292</v>
      </c>
      <c r="J14" s="146" t="s">
        <v>2092</v>
      </c>
      <c r="K14" s="66" t="s">
        <v>989</v>
      </c>
      <c r="L14" s="163">
        <v>330</v>
      </c>
      <c r="M14" s="4" t="str">
        <f t="shared" si="1"/>
        <v>330 - A330 (All Series)</v>
      </c>
      <c r="N14" s="87"/>
      <c r="O14" s="1" t="s">
        <v>1275</v>
      </c>
      <c r="P14" s="1" t="s">
        <v>1296</v>
      </c>
      <c r="Q14" s="1" t="s">
        <v>1920</v>
      </c>
      <c r="U14" s="145">
        <v>2021</v>
      </c>
      <c r="Y14" s="146" t="s">
        <v>2092</v>
      </c>
      <c r="Z14" s="66" t="s">
        <v>989</v>
      </c>
      <c r="AA14" s="163">
        <v>330</v>
      </c>
    </row>
    <row r="15" spans="1:29">
      <c r="A15" t="s">
        <v>469</v>
      </c>
      <c r="B15" t="s">
        <v>470</v>
      </c>
      <c r="D15" s="83" t="s">
        <v>1460</v>
      </c>
      <c r="E15" t="s">
        <v>1125</v>
      </c>
      <c r="F15" t="str">
        <f t="shared" si="0"/>
        <v>BHD - Bahrain, Kingdom of</v>
      </c>
      <c r="G15" t="s">
        <v>293</v>
      </c>
      <c r="J15" s="145" t="s">
        <v>990</v>
      </c>
      <c r="K15" s="66" t="s">
        <v>990</v>
      </c>
      <c r="L15" s="163">
        <v>332</v>
      </c>
      <c r="M15" s="4" t="str">
        <f t="shared" si="1"/>
        <v>332 - A330-200</v>
      </c>
      <c r="N15" s="87"/>
      <c r="O15" s="1" t="s">
        <v>1276</v>
      </c>
      <c r="P15" s="1" t="s">
        <v>1297</v>
      </c>
      <c r="Q15" s="1" t="s">
        <v>1921</v>
      </c>
      <c r="U15" s="145">
        <v>2022</v>
      </c>
      <c r="Y15" s="145" t="s">
        <v>990</v>
      </c>
      <c r="Z15" s="66" t="s">
        <v>990</v>
      </c>
      <c r="AA15" s="163">
        <v>332</v>
      </c>
    </row>
    <row r="16" spans="1:29">
      <c r="A16" t="s">
        <v>471</v>
      </c>
      <c r="B16" t="s">
        <v>472</v>
      </c>
      <c r="D16" s="83" t="s">
        <v>1971</v>
      </c>
      <c r="E16" t="s">
        <v>1126</v>
      </c>
      <c r="F16" t="str">
        <f t="shared" si="0"/>
        <v>BDT - Bangladesh</v>
      </c>
      <c r="G16" t="s">
        <v>294</v>
      </c>
      <c r="J16" s="145" t="s">
        <v>991</v>
      </c>
      <c r="K16" s="66" t="s">
        <v>991</v>
      </c>
      <c r="L16" s="163">
        <v>333</v>
      </c>
      <c r="M16" s="4" t="str">
        <f t="shared" si="1"/>
        <v>333 - A330-300</v>
      </c>
      <c r="N16" s="87"/>
      <c r="O16" s="1" t="s">
        <v>1277</v>
      </c>
      <c r="P16" s="1" t="s">
        <v>1298</v>
      </c>
      <c r="Q16" s="1" t="s">
        <v>0</v>
      </c>
      <c r="U16" s="145">
        <v>2023</v>
      </c>
      <c r="Y16" s="145" t="s">
        <v>991</v>
      </c>
      <c r="Z16" s="66" t="s">
        <v>991</v>
      </c>
      <c r="AA16" s="163">
        <v>333</v>
      </c>
    </row>
    <row r="17" spans="1:27">
      <c r="A17" t="s">
        <v>473</v>
      </c>
      <c r="B17" t="s">
        <v>474</v>
      </c>
      <c r="D17" s="83" t="s">
        <v>1972</v>
      </c>
      <c r="E17" t="s">
        <v>1127</v>
      </c>
      <c r="F17" t="str">
        <f t="shared" si="0"/>
        <v>BBD - Barbados</v>
      </c>
      <c r="G17" t="s">
        <v>295</v>
      </c>
      <c r="J17" s="146" t="s">
        <v>2093</v>
      </c>
      <c r="K17" s="66" t="s">
        <v>992</v>
      </c>
      <c r="L17" s="163">
        <v>340</v>
      </c>
      <c r="M17" s="4" t="str">
        <f t="shared" si="1"/>
        <v>340 - A340 (All Series)</v>
      </c>
      <c r="N17" s="87"/>
      <c r="O17" s="1" t="s">
        <v>1278</v>
      </c>
      <c r="P17" s="1" t="s">
        <v>1299</v>
      </c>
      <c r="Q17" s="1" t="s">
        <v>1</v>
      </c>
      <c r="U17" s="145">
        <v>2024</v>
      </c>
      <c r="Y17" s="146" t="s">
        <v>2093</v>
      </c>
      <c r="Z17" s="66" t="s">
        <v>992</v>
      </c>
      <c r="AA17" s="163">
        <v>340</v>
      </c>
    </row>
    <row r="18" spans="1:27">
      <c r="A18" t="s">
        <v>475</v>
      </c>
      <c r="B18" t="s">
        <v>476</v>
      </c>
      <c r="D18" s="83" t="s">
        <v>1461</v>
      </c>
      <c r="E18" t="s">
        <v>1128</v>
      </c>
      <c r="F18" t="str">
        <f t="shared" si="0"/>
        <v>BYR - Belarus</v>
      </c>
      <c r="G18" t="s">
        <v>296</v>
      </c>
      <c r="J18" s="145" t="s">
        <v>993</v>
      </c>
      <c r="K18" s="66" t="s">
        <v>993</v>
      </c>
      <c r="L18" s="163">
        <v>342</v>
      </c>
      <c r="M18" s="4" t="str">
        <f t="shared" si="1"/>
        <v>342 - A340-200</v>
      </c>
      <c r="N18" s="87"/>
      <c r="O18" s="1" t="s">
        <v>1787</v>
      </c>
      <c r="P18" s="1" t="s">
        <v>1300</v>
      </c>
      <c r="Q18" s="1" t="s">
        <v>1779</v>
      </c>
      <c r="U18" s="145">
        <v>2025</v>
      </c>
      <c r="Y18" s="145" t="s">
        <v>993</v>
      </c>
      <c r="Z18" s="66" t="s">
        <v>993</v>
      </c>
      <c r="AA18" s="163">
        <v>342</v>
      </c>
    </row>
    <row r="19" spans="1:27">
      <c r="A19" t="s">
        <v>482</v>
      </c>
      <c r="B19" t="s">
        <v>483</v>
      </c>
      <c r="D19" s="83" t="s">
        <v>1462</v>
      </c>
      <c r="E19" t="s">
        <v>1123</v>
      </c>
      <c r="F19" t="str">
        <f t="shared" si="0"/>
        <v>EUR - Belgium</v>
      </c>
      <c r="G19" t="s">
        <v>297</v>
      </c>
      <c r="J19" s="145" t="s">
        <v>994</v>
      </c>
      <c r="K19" s="66" t="s">
        <v>994</v>
      </c>
      <c r="L19" s="163">
        <v>343</v>
      </c>
      <c r="M19" s="4" t="str">
        <f t="shared" si="1"/>
        <v>343 - A340-300</v>
      </c>
      <c r="N19" s="87"/>
      <c r="O19" s="1" t="s">
        <v>1788</v>
      </c>
      <c r="P19" s="1" t="s">
        <v>1301</v>
      </c>
      <c r="Q19" s="1" t="s">
        <v>2</v>
      </c>
      <c r="U19" s="145">
        <v>2026</v>
      </c>
      <c r="Y19" s="145" t="s">
        <v>994</v>
      </c>
      <c r="Z19" s="66" t="s">
        <v>994</v>
      </c>
      <c r="AA19" s="163">
        <v>343</v>
      </c>
    </row>
    <row r="20" spans="1:27">
      <c r="A20" t="s">
        <v>484</v>
      </c>
      <c r="B20" t="s">
        <v>485</v>
      </c>
      <c r="D20" s="83" t="s">
        <v>1973</v>
      </c>
      <c r="E20" t="s">
        <v>1129</v>
      </c>
      <c r="F20" t="str">
        <f t="shared" si="0"/>
        <v>BZD - Belize</v>
      </c>
      <c r="G20" t="s">
        <v>298</v>
      </c>
      <c r="J20" s="145" t="s">
        <v>995</v>
      </c>
      <c r="K20" s="66" t="s">
        <v>995</v>
      </c>
      <c r="L20" s="163">
        <v>345</v>
      </c>
      <c r="M20" s="4" t="str">
        <f t="shared" si="1"/>
        <v>345 - A340-500</v>
      </c>
      <c r="N20" s="87"/>
      <c r="O20" s="1" t="s">
        <v>1279</v>
      </c>
      <c r="P20" s="1" t="s">
        <v>1302</v>
      </c>
      <c r="Q20" s="1" t="s">
        <v>3</v>
      </c>
      <c r="U20" s="145">
        <v>2027</v>
      </c>
      <c r="Y20" s="145" t="s">
        <v>995</v>
      </c>
      <c r="Z20" s="66" t="s">
        <v>995</v>
      </c>
      <c r="AA20" s="163">
        <v>345</v>
      </c>
    </row>
    <row r="21" spans="1:27">
      <c r="A21" t="s">
        <v>486</v>
      </c>
      <c r="B21" t="s">
        <v>487</v>
      </c>
      <c r="D21" s="83" t="s">
        <v>1974</v>
      </c>
      <c r="E21" t="s">
        <v>1130</v>
      </c>
      <c r="F21" t="str">
        <f t="shared" si="0"/>
        <v>XOF - Benin</v>
      </c>
      <c r="G21" t="s">
        <v>1716</v>
      </c>
      <c r="J21" s="145" t="s">
        <v>996</v>
      </c>
      <c r="K21" s="66" t="s">
        <v>996</v>
      </c>
      <c r="L21" s="163">
        <v>346</v>
      </c>
      <c r="M21" s="4" t="str">
        <f t="shared" si="1"/>
        <v>346 - A340-600</v>
      </c>
      <c r="N21" s="87"/>
      <c r="O21" s="1" t="s">
        <v>1789</v>
      </c>
      <c r="P21" s="1" t="s">
        <v>1303</v>
      </c>
      <c r="Q21" s="1" t="s">
        <v>4</v>
      </c>
      <c r="U21" s="145">
        <v>2028</v>
      </c>
      <c r="Y21" s="145" t="s">
        <v>996</v>
      </c>
      <c r="Z21" s="66" t="s">
        <v>996</v>
      </c>
      <c r="AA21" s="163">
        <v>346</v>
      </c>
    </row>
    <row r="22" spans="1:27">
      <c r="A22" t="s">
        <v>488</v>
      </c>
      <c r="B22" t="s">
        <v>489</v>
      </c>
      <c r="D22" s="83" t="s">
        <v>1975</v>
      </c>
      <c r="E22" t="s">
        <v>1131</v>
      </c>
      <c r="F22" t="str">
        <f t="shared" si="0"/>
        <v>BMD - Bermuda</v>
      </c>
      <c r="G22" t="s">
        <v>299</v>
      </c>
      <c r="J22" s="146" t="s">
        <v>2098</v>
      </c>
      <c r="K22" s="66" t="s">
        <v>1103</v>
      </c>
      <c r="L22" s="163">
        <v>380</v>
      </c>
      <c r="M22" s="4" t="str">
        <f t="shared" si="1"/>
        <v>380 - A380 Pax</v>
      </c>
      <c r="N22" s="87"/>
      <c r="O22" s="1" t="s">
        <v>1790</v>
      </c>
      <c r="P22" s="1" t="s">
        <v>1304</v>
      </c>
      <c r="Q22" s="1" t="s">
        <v>5</v>
      </c>
      <c r="U22" s="145">
        <v>2029</v>
      </c>
      <c r="Y22" s="294" t="s">
        <v>2316</v>
      </c>
      <c r="Z22" s="297" t="s">
        <v>2317</v>
      </c>
      <c r="AA22" s="163">
        <v>350</v>
      </c>
    </row>
    <row r="23" spans="1:27">
      <c r="A23" t="s">
        <v>490</v>
      </c>
      <c r="B23" t="s">
        <v>491</v>
      </c>
      <c r="D23" s="83" t="s">
        <v>1976</v>
      </c>
      <c r="E23" t="s">
        <v>1132</v>
      </c>
      <c r="F23" t="str">
        <f t="shared" si="0"/>
        <v>BTN - Bhutan</v>
      </c>
      <c r="G23" t="s">
        <v>1717</v>
      </c>
      <c r="J23" s="146" t="s">
        <v>2099</v>
      </c>
      <c r="K23" s="66" t="s">
        <v>997</v>
      </c>
      <c r="L23" s="163" t="s">
        <v>382</v>
      </c>
      <c r="M23" s="4" t="str">
        <f t="shared" si="1"/>
        <v>38F - A380 Freighter</v>
      </c>
      <c r="N23" s="87"/>
      <c r="O23" s="1" t="s">
        <v>1791</v>
      </c>
      <c r="P23" s="1" t="s">
        <v>1305</v>
      </c>
      <c r="Q23" s="1" t="s">
        <v>1792</v>
      </c>
      <c r="U23" s="145">
        <v>2030</v>
      </c>
      <c r="Y23" s="146" t="s">
        <v>2098</v>
      </c>
      <c r="Z23" s="66" t="s">
        <v>1103</v>
      </c>
      <c r="AA23" s="163">
        <v>380</v>
      </c>
    </row>
    <row r="24" spans="1:27">
      <c r="A24" t="s">
        <v>492</v>
      </c>
      <c r="B24" t="s">
        <v>493</v>
      </c>
      <c r="D24" s="83" t="s">
        <v>1977</v>
      </c>
      <c r="E24" t="s">
        <v>1133</v>
      </c>
      <c r="F24" t="str">
        <f t="shared" si="0"/>
        <v>BOB - Bolivia</v>
      </c>
      <c r="G24" t="s">
        <v>1718</v>
      </c>
      <c r="J24" s="145" t="s">
        <v>998</v>
      </c>
      <c r="K24" s="66" t="s">
        <v>998</v>
      </c>
      <c r="L24" s="163" t="s">
        <v>383</v>
      </c>
      <c r="M24" s="4" t="str">
        <f t="shared" si="1"/>
        <v>AN4 - An 24</v>
      </c>
      <c r="N24" s="87"/>
      <c r="O24" s="1" t="s">
        <v>1793</v>
      </c>
      <c r="P24" s="1" t="s">
        <v>1306</v>
      </c>
      <c r="Q24" s="1" t="s">
        <v>1780</v>
      </c>
      <c r="Y24" s="146" t="s">
        <v>2099</v>
      </c>
      <c r="Z24" s="66" t="s">
        <v>997</v>
      </c>
      <c r="AA24" s="163" t="s">
        <v>382</v>
      </c>
    </row>
    <row r="25" spans="1:27">
      <c r="A25" t="s">
        <v>494</v>
      </c>
      <c r="B25" t="s">
        <v>495</v>
      </c>
      <c r="D25" s="83" t="s">
        <v>1463</v>
      </c>
      <c r="E25" t="s">
        <v>1134</v>
      </c>
      <c r="F25" t="str">
        <f t="shared" si="0"/>
        <v>BAM - Bosnia &amp; Herzegovina</v>
      </c>
      <c r="G25" t="s">
        <v>300</v>
      </c>
      <c r="J25" s="145" t="s">
        <v>999</v>
      </c>
      <c r="K25" s="161" t="s">
        <v>999</v>
      </c>
      <c r="L25" s="162" t="s">
        <v>384</v>
      </c>
      <c r="M25" s="4" t="str">
        <f t="shared" si="1"/>
        <v>AN6 - An 26</v>
      </c>
      <c r="O25" s="1" t="s">
        <v>1794</v>
      </c>
      <c r="P25" s="1" t="s">
        <v>1307</v>
      </c>
      <c r="Q25" s="1" t="s">
        <v>6</v>
      </c>
      <c r="Y25" s="145" t="s">
        <v>998</v>
      </c>
      <c r="Z25" s="66" t="s">
        <v>998</v>
      </c>
      <c r="AA25" s="163" t="s">
        <v>383</v>
      </c>
    </row>
    <row r="26" spans="1:27">
      <c r="A26" t="s">
        <v>496</v>
      </c>
      <c r="B26" t="s">
        <v>497</v>
      </c>
      <c r="D26" s="83" t="s">
        <v>1978</v>
      </c>
      <c r="E26" t="s">
        <v>1135</v>
      </c>
      <c r="F26" t="str">
        <f t="shared" si="0"/>
        <v>BWP - Botswana</v>
      </c>
      <c r="G26" t="s">
        <v>301</v>
      </c>
      <c r="J26" s="146" t="s">
        <v>385</v>
      </c>
      <c r="K26" s="161" t="s">
        <v>971</v>
      </c>
      <c r="L26" s="162" t="s">
        <v>385</v>
      </c>
      <c r="M26" s="4" t="str">
        <f t="shared" si="1"/>
        <v>ATR - ATR (All Series)</v>
      </c>
      <c r="O26" s="1" t="s">
        <v>1280</v>
      </c>
      <c r="P26" s="1" t="s">
        <v>1308</v>
      </c>
      <c r="Q26" s="1" t="s">
        <v>7</v>
      </c>
      <c r="Y26" s="145" t="s">
        <v>999</v>
      </c>
      <c r="Z26" s="161" t="s">
        <v>999</v>
      </c>
      <c r="AA26" s="162" t="s">
        <v>384</v>
      </c>
    </row>
    <row r="27" spans="1:27">
      <c r="A27" t="s">
        <v>498</v>
      </c>
      <c r="B27" t="s">
        <v>499</v>
      </c>
      <c r="D27" s="83" t="s">
        <v>1464</v>
      </c>
      <c r="E27" t="s">
        <v>1136</v>
      </c>
      <c r="F27" t="str">
        <f t="shared" si="0"/>
        <v>BRL - Brazil</v>
      </c>
      <c r="G27" t="s">
        <v>302</v>
      </c>
      <c r="J27" s="145" t="s">
        <v>1000</v>
      </c>
      <c r="K27" s="161" t="s">
        <v>1000</v>
      </c>
      <c r="L27" s="162" t="s">
        <v>386</v>
      </c>
      <c r="M27" s="4" t="str">
        <f t="shared" si="1"/>
        <v>AT4 - ATR 42</v>
      </c>
      <c r="O27" s="1" t="s">
        <v>1281</v>
      </c>
      <c r="P27" s="1" t="s">
        <v>1309</v>
      </c>
      <c r="Q27" s="1" t="s">
        <v>8</v>
      </c>
      <c r="Y27" s="146" t="s">
        <v>385</v>
      </c>
      <c r="Z27" s="161" t="s">
        <v>971</v>
      </c>
      <c r="AA27" s="162" t="s">
        <v>385</v>
      </c>
    </row>
    <row r="28" spans="1:27">
      <c r="A28" t="s">
        <v>500</v>
      </c>
      <c r="B28" t="s">
        <v>501</v>
      </c>
      <c r="D28" s="83" t="s">
        <v>1979</v>
      </c>
      <c r="E28" t="s">
        <v>1137</v>
      </c>
      <c r="F28" t="str">
        <f t="shared" si="0"/>
        <v>BND - Brunei Darussalam</v>
      </c>
      <c r="G28" t="s">
        <v>1719</v>
      </c>
      <c r="J28" s="145" t="s">
        <v>1001</v>
      </c>
      <c r="K28" s="161" t="s">
        <v>1001</v>
      </c>
      <c r="L28" s="162" t="s">
        <v>387</v>
      </c>
      <c r="M28" s="4" t="str">
        <f t="shared" si="1"/>
        <v>AT7 - ATR 72</v>
      </c>
      <c r="O28" s="1" t="s">
        <v>1282</v>
      </c>
      <c r="P28" s="1" t="s">
        <v>1310</v>
      </c>
      <c r="Q28" s="1" t="s">
        <v>9</v>
      </c>
      <c r="Y28" s="145" t="s">
        <v>1000</v>
      </c>
      <c r="Z28" s="161" t="s">
        <v>1000</v>
      </c>
      <c r="AA28" s="162" t="s">
        <v>386</v>
      </c>
    </row>
    <row r="29" spans="1:27">
      <c r="A29" t="s">
        <v>502</v>
      </c>
      <c r="B29" t="s">
        <v>503</v>
      </c>
      <c r="D29" s="83" t="s">
        <v>1980</v>
      </c>
      <c r="E29" t="s">
        <v>1138</v>
      </c>
      <c r="F29" t="str">
        <f t="shared" si="0"/>
        <v>BGN - Bulgaria</v>
      </c>
      <c r="G29" t="s">
        <v>303</v>
      </c>
      <c r="J29" s="145" t="s">
        <v>972</v>
      </c>
      <c r="K29" s="161" t="s">
        <v>972</v>
      </c>
      <c r="L29" s="162" t="s">
        <v>388</v>
      </c>
      <c r="M29" s="4" t="str">
        <f t="shared" si="1"/>
        <v>AR7 - Avro RJ70</v>
      </c>
      <c r="O29" s="1" t="s">
        <v>1795</v>
      </c>
      <c r="P29" s="1" t="s">
        <v>1311</v>
      </c>
      <c r="Q29" s="1" t="s">
        <v>10</v>
      </c>
      <c r="Y29" s="145" t="s">
        <v>1001</v>
      </c>
      <c r="Z29" s="161" t="s">
        <v>1001</v>
      </c>
      <c r="AA29" s="162" t="s">
        <v>387</v>
      </c>
    </row>
    <row r="30" spans="1:27">
      <c r="A30" t="s">
        <v>504</v>
      </c>
      <c r="B30" t="s">
        <v>505</v>
      </c>
      <c r="D30" s="83" t="s">
        <v>1981</v>
      </c>
      <c r="E30" t="s">
        <v>1130</v>
      </c>
      <c r="F30" t="str">
        <f t="shared" si="0"/>
        <v>XOF - Burkina Faso</v>
      </c>
      <c r="G30" t="s">
        <v>304</v>
      </c>
      <c r="J30" s="145" t="s">
        <v>973</v>
      </c>
      <c r="K30" s="161" t="s">
        <v>973</v>
      </c>
      <c r="L30" s="162" t="s">
        <v>389</v>
      </c>
      <c r="M30" s="4" t="str">
        <f t="shared" si="1"/>
        <v>AR8 - Avro RJ85</v>
      </c>
      <c r="O30" s="1" t="s">
        <v>1283</v>
      </c>
      <c r="P30" s="1" t="s">
        <v>1312</v>
      </c>
      <c r="Q30" s="1" t="s">
        <v>11</v>
      </c>
      <c r="Y30" s="145" t="s">
        <v>972</v>
      </c>
      <c r="Z30" s="161" t="s">
        <v>972</v>
      </c>
      <c r="AA30" s="162" t="s">
        <v>388</v>
      </c>
    </row>
    <row r="31" spans="1:27">
      <c r="A31" t="s">
        <v>506</v>
      </c>
      <c r="B31" t="s">
        <v>507</v>
      </c>
      <c r="D31" s="83" t="s">
        <v>1982</v>
      </c>
      <c r="E31" t="s">
        <v>1139</v>
      </c>
      <c r="F31" t="str">
        <f t="shared" si="0"/>
        <v>BIF - Burundi</v>
      </c>
      <c r="G31" t="s">
        <v>1720</v>
      </c>
      <c r="J31" s="145" t="s">
        <v>974</v>
      </c>
      <c r="K31" s="161" t="s">
        <v>974</v>
      </c>
      <c r="L31" s="162" t="s">
        <v>390</v>
      </c>
      <c r="M31" s="4" t="str">
        <f t="shared" si="1"/>
        <v>AR1 - Avro RJ100/RJ115</v>
      </c>
      <c r="O31" s="147" t="s">
        <v>2086</v>
      </c>
      <c r="P31" s="147" t="s">
        <v>2086</v>
      </c>
      <c r="Q31" s="147" t="s">
        <v>2087</v>
      </c>
      <c r="Y31" s="145" t="s">
        <v>973</v>
      </c>
      <c r="Z31" s="161" t="s">
        <v>973</v>
      </c>
      <c r="AA31" s="162" t="s">
        <v>389</v>
      </c>
    </row>
    <row r="32" spans="1:27">
      <c r="A32" t="s">
        <v>508</v>
      </c>
      <c r="B32" t="s">
        <v>509</v>
      </c>
      <c r="D32" s="83" t="s">
        <v>1983</v>
      </c>
      <c r="E32" t="s">
        <v>1140</v>
      </c>
      <c r="F32" t="str">
        <f t="shared" si="0"/>
        <v>KHR - Cambodia</v>
      </c>
      <c r="G32" t="s">
        <v>305</v>
      </c>
      <c r="J32" s="146" t="s">
        <v>2094</v>
      </c>
      <c r="K32" s="161" t="s">
        <v>975</v>
      </c>
      <c r="L32" s="162" t="s">
        <v>391</v>
      </c>
      <c r="M32" s="4" t="str">
        <f t="shared" si="1"/>
        <v>B11 - BAC 111 (All Series)</v>
      </c>
      <c r="Y32" s="145" t="s">
        <v>974</v>
      </c>
      <c r="Z32" s="161" t="s">
        <v>974</v>
      </c>
      <c r="AA32" s="162" t="s">
        <v>390</v>
      </c>
    </row>
    <row r="33" spans="1:27">
      <c r="A33" t="s">
        <v>510</v>
      </c>
      <c r="B33" t="s">
        <v>511</v>
      </c>
      <c r="D33" s="83" t="s">
        <v>1984</v>
      </c>
      <c r="E33" t="s">
        <v>1141</v>
      </c>
      <c r="F33" t="str">
        <f t="shared" si="0"/>
        <v>XAF - Cameroon</v>
      </c>
      <c r="G33" t="s">
        <v>306</v>
      </c>
      <c r="J33" s="146" t="s">
        <v>2095</v>
      </c>
      <c r="K33" s="161" t="s">
        <v>1111</v>
      </c>
      <c r="L33" s="162">
        <v>707</v>
      </c>
      <c r="M33" s="4" t="str">
        <f t="shared" si="1"/>
        <v>707 - B707/720-B Passenger (All Series)</v>
      </c>
      <c r="Y33" s="146" t="s">
        <v>2094</v>
      </c>
      <c r="Z33" s="161" t="s">
        <v>975</v>
      </c>
      <c r="AA33" s="162" t="s">
        <v>391</v>
      </c>
    </row>
    <row r="34" spans="1:27">
      <c r="A34" t="s">
        <v>512</v>
      </c>
      <c r="B34" t="s">
        <v>513</v>
      </c>
      <c r="D34" s="83" t="s">
        <v>1985</v>
      </c>
      <c r="E34" t="s">
        <v>1142</v>
      </c>
      <c r="F34" t="str">
        <f t="shared" si="0"/>
        <v>CAD - Canada</v>
      </c>
      <c r="G34" t="s">
        <v>307</v>
      </c>
      <c r="J34" s="146" t="s">
        <v>2096</v>
      </c>
      <c r="K34" s="161" t="s">
        <v>1002</v>
      </c>
      <c r="L34" s="162">
        <v>703</v>
      </c>
      <c r="M34" s="4" t="str">
        <f t="shared" si="1"/>
        <v>703 - B707 Passenger</v>
      </c>
      <c r="Y34" s="146" t="s">
        <v>2095</v>
      </c>
      <c r="Z34" s="161" t="s">
        <v>1111</v>
      </c>
      <c r="AA34" s="162">
        <v>707</v>
      </c>
    </row>
    <row r="35" spans="1:27">
      <c r="A35" t="s">
        <v>514</v>
      </c>
      <c r="B35" t="s">
        <v>515</v>
      </c>
      <c r="D35" s="83" t="s">
        <v>1986</v>
      </c>
      <c r="E35" s="518" t="s">
        <v>1143</v>
      </c>
      <c r="F35" s="518" t="str">
        <f t="shared" si="0"/>
        <v>CVE - Cape Verde</v>
      </c>
      <c r="G35" t="s">
        <v>308</v>
      </c>
      <c r="J35" s="146" t="s">
        <v>2100</v>
      </c>
      <c r="K35" s="161" t="s">
        <v>1110</v>
      </c>
      <c r="L35" s="162" t="s">
        <v>392</v>
      </c>
      <c r="M35" s="4" t="str">
        <f t="shared" si="1"/>
        <v>B72 - B720-B Passenger</v>
      </c>
      <c r="Y35" s="146" t="s">
        <v>2096</v>
      </c>
      <c r="Z35" s="161" t="s">
        <v>1002</v>
      </c>
      <c r="AA35" s="162">
        <v>703</v>
      </c>
    </row>
    <row r="36" spans="1:27">
      <c r="A36" t="s">
        <v>516</v>
      </c>
      <c r="B36" t="s">
        <v>517</v>
      </c>
      <c r="D36" s="83" t="s">
        <v>1987</v>
      </c>
      <c r="E36" s="518" t="s">
        <v>1144</v>
      </c>
      <c r="F36" s="518" t="str">
        <f t="shared" si="0"/>
        <v>KYD - Cayman Islands</v>
      </c>
      <c r="G36" t="s">
        <v>309</v>
      </c>
      <c r="J36" s="146" t="s">
        <v>2101</v>
      </c>
      <c r="K36" s="161" t="s">
        <v>1003</v>
      </c>
      <c r="L36" s="162" t="s">
        <v>393</v>
      </c>
      <c r="M36" s="4" t="str">
        <f t="shared" si="1"/>
        <v xml:space="preserve">70M  - B707 Mixed Configuration </v>
      </c>
      <c r="Y36" s="146" t="s">
        <v>2100</v>
      </c>
      <c r="Z36" s="161" t="s">
        <v>1110</v>
      </c>
      <c r="AA36" s="162" t="s">
        <v>392</v>
      </c>
    </row>
    <row r="37" spans="1:27">
      <c r="A37" t="s">
        <v>518</v>
      </c>
      <c r="B37" t="s">
        <v>519</v>
      </c>
      <c r="D37" s="83" t="s">
        <v>1465</v>
      </c>
      <c r="E37" s="518" t="s">
        <v>1141</v>
      </c>
      <c r="F37" s="518" t="str">
        <f t="shared" si="0"/>
        <v>XAF - Central African Rep.</v>
      </c>
      <c r="G37" t="s">
        <v>310</v>
      </c>
      <c r="J37" s="146" t="s">
        <v>2102</v>
      </c>
      <c r="K37" s="161" t="s">
        <v>1004</v>
      </c>
      <c r="L37" s="162" t="s">
        <v>394</v>
      </c>
      <c r="M37" s="4" t="str">
        <f t="shared" si="1"/>
        <v>70F - B707 Freighter (All Series)</v>
      </c>
      <c r="Y37" s="146" t="s">
        <v>2101</v>
      </c>
      <c r="Z37" s="161" t="s">
        <v>1003</v>
      </c>
      <c r="AA37" s="162" t="s">
        <v>393</v>
      </c>
    </row>
    <row r="38" spans="1:27">
      <c r="A38" t="s">
        <v>1374</v>
      </c>
      <c r="B38" t="s">
        <v>1375</v>
      </c>
      <c r="D38" s="83" t="s">
        <v>1988</v>
      </c>
      <c r="E38" s="518" t="s">
        <v>1141</v>
      </c>
      <c r="F38" s="518" t="str">
        <f t="shared" si="0"/>
        <v>XAF - Chad</v>
      </c>
      <c r="G38" t="s">
        <v>311</v>
      </c>
      <c r="J38" s="146" t="s">
        <v>2103</v>
      </c>
      <c r="K38" s="161" t="s">
        <v>1005</v>
      </c>
      <c r="L38" s="162">
        <v>717</v>
      </c>
      <c r="M38" s="4" t="str">
        <f t="shared" si="1"/>
        <v>717 - B717 Passenger (All Series)</v>
      </c>
      <c r="Y38" s="146" t="s">
        <v>2102</v>
      </c>
      <c r="Z38" s="161" t="s">
        <v>1004</v>
      </c>
      <c r="AA38" s="162" t="s">
        <v>394</v>
      </c>
    </row>
    <row r="39" spans="1:27">
      <c r="A39" t="s">
        <v>524</v>
      </c>
      <c r="B39" t="s">
        <v>525</v>
      </c>
      <c r="D39" s="83" t="s">
        <v>1466</v>
      </c>
      <c r="E39" s="518" t="s">
        <v>1145</v>
      </c>
      <c r="F39" s="518" t="str">
        <f t="shared" si="0"/>
        <v>CLP - Chile</v>
      </c>
      <c r="G39" t="s">
        <v>312</v>
      </c>
      <c r="J39" s="146" t="s">
        <v>2104</v>
      </c>
      <c r="K39" s="161" t="s">
        <v>1006</v>
      </c>
      <c r="L39" s="162">
        <v>727</v>
      </c>
      <c r="M39" s="4" t="str">
        <f t="shared" si="1"/>
        <v>727 - B727 Passenger (All Series)</v>
      </c>
      <c r="Y39" s="146" t="s">
        <v>2103</v>
      </c>
      <c r="Z39" s="161" t="s">
        <v>1005</v>
      </c>
      <c r="AA39" s="162">
        <v>717</v>
      </c>
    </row>
    <row r="40" spans="1:27">
      <c r="A40" t="s">
        <v>526</v>
      </c>
      <c r="B40" t="s">
        <v>527</v>
      </c>
      <c r="D40" s="83" t="s">
        <v>1467</v>
      </c>
      <c r="E40" s="518" t="s">
        <v>1146</v>
      </c>
      <c r="F40" s="518" t="str">
        <f t="shared" si="0"/>
        <v>CNY - China,P.R.: Mainland</v>
      </c>
      <c r="G40" t="s">
        <v>313</v>
      </c>
      <c r="J40" s="146" t="s">
        <v>2105</v>
      </c>
      <c r="K40" s="161" t="s">
        <v>1007</v>
      </c>
      <c r="L40" s="162">
        <v>721</v>
      </c>
      <c r="M40" s="4" t="str">
        <f t="shared" si="1"/>
        <v>721 - B727-100 Passenger</v>
      </c>
      <c r="Y40" s="146" t="s">
        <v>2104</v>
      </c>
      <c r="Z40" s="161" t="s">
        <v>1006</v>
      </c>
      <c r="AA40" s="162">
        <v>727</v>
      </c>
    </row>
    <row r="41" spans="1:27">
      <c r="A41" t="s">
        <v>528</v>
      </c>
      <c r="B41" t="s">
        <v>529</v>
      </c>
      <c r="D41" s="83" t="s">
        <v>1468</v>
      </c>
      <c r="E41" s="518" t="s">
        <v>1177</v>
      </c>
      <c r="F41" s="518" t="str">
        <f t="shared" si="0"/>
        <v>HKD - China,P.R.:Hong Kong</v>
      </c>
      <c r="G41" t="s">
        <v>1721</v>
      </c>
      <c r="J41" s="146" t="s">
        <v>2106</v>
      </c>
      <c r="K41" s="161" t="s">
        <v>1008</v>
      </c>
      <c r="L41" s="162">
        <v>722</v>
      </c>
      <c r="M41" s="4" t="str">
        <f t="shared" si="1"/>
        <v>722 - B727-200 Passenger</v>
      </c>
      <c r="Y41" s="146" t="s">
        <v>2105</v>
      </c>
      <c r="Z41" s="161" t="s">
        <v>1007</v>
      </c>
      <c r="AA41" s="162">
        <v>721</v>
      </c>
    </row>
    <row r="42" spans="1:27">
      <c r="A42" t="s">
        <v>530</v>
      </c>
      <c r="B42" t="s">
        <v>531</v>
      </c>
      <c r="D42" s="83" t="s">
        <v>1989</v>
      </c>
      <c r="E42" s="518" t="s">
        <v>1199</v>
      </c>
      <c r="F42" s="518" t="str">
        <f t="shared" si="0"/>
        <v>MOP - China,P.R.:Macao</v>
      </c>
      <c r="G42" t="s">
        <v>314</v>
      </c>
      <c r="J42" s="239" t="s">
        <v>2113</v>
      </c>
      <c r="K42" s="161" t="s">
        <v>1030</v>
      </c>
      <c r="L42" s="162" t="s">
        <v>395</v>
      </c>
      <c r="M42" s="4" t="str">
        <f t="shared" si="1"/>
        <v>72A - B727-200 Advanced Passenger</v>
      </c>
      <c r="Y42" s="146" t="s">
        <v>2106</v>
      </c>
      <c r="Z42" s="161" t="s">
        <v>1008</v>
      </c>
      <c r="AA42" s="162">
        <v>722</v>
      </c>
    </row>
    <row r="43" spans="1:27">
      <c r="A43" t="s">
        <v>533</v>
      </c>
      <c r="B43" t="s">
        <v>1376</v>
      </c>
      <c r="D43" s="83" t="s">
        <v>1469</v>
      </c>
      <c r="E43" s="518" t="s">
        <v>1147</v>
      </c>
      <c r="F43" s="518" t="str">
        <f t="shared" si="0"/>
        <v>COP - Colombia</v>
      </c>
      <c r="G43" t="s">
        <v>315</v>
      </c>
      <c r="J43" s="239" t="s">
        <v>2107</v>
      </c>
      <c r="K43" s="161" t="s">
        <v>1031</v>
      </c>
      <c r="L43" s="162" t="s">
        <v>396</v>
      </c>
      <c r="M43" s="4" t="str">
        <f t="shared" si="1"/>
        <v>72M - B727-100 Mixed Configuration</v>
      </c>
      <c r="Y43" s="146" t="s">
        <v>2108</v>
      </c>
      <c r="Z43" s="161" t="s">
        <v>1009</v>
      </c>
      <c r="AA43" s="162" t="s">
        <v>397</v>
      </c>
    </row>
    <row r="44" spans="1:27">
      <c r="A44" t="s">
        <v>1377</v>
      </c>
      <c r="B44" t="s">
        <v>1378</v>
      </c>
      <c r="D44" s="83" t="s">
        <v>1990</v>
      </c>
      <c r="E44" s="518" t="s">
        <v>1148</v>
      </c>
      <c r="F44" s="518" t="str">
        <f t="shared" si="0"/>
        <v>KMF - Comoros</v>
      </c>
      <c r="G44" t="s">
        <v>316</v>
      </c>
      <c r="J44" s="146" t="s">
        <v>2108</v>
      </c>
      <c r="K44" s="161" t="s">
        <v>1009</v>
      </c>
      <c r="L44" s="162" t="s">
        <v>397</v>
      </c>
      <c r="M44" s="4" t="str">
        <f t="shared" si="1"/>
        <v>72F - B727 Freighter</v>
      </c>
      <c r="Y44" s="146" t="s">
        <v>2109</v>
      </c>
      <c r="Z44" s="161" t="s">
        <v>1010</v>
      </c>
      <c r="AA44" s="162">
        <v>737</v>
      </c>
    </row>
    <row r="45" spans="1:27">
      <c r="A45" t="s">
        <v>534</v>
      </c>
      <c r="B45" t="s">
        <v>535</v>
      </c>
      <c r="D45" s="83" t="s">
        <v>1149</v>
      </c>
      <c r="E45" s="518" t="s">
        <v>1141</v>
      </c>
      <c r="F45" s="518" t="str">
        <f t="shared" si="0"/>
        <v>XAF - Congo</v>
      </c>
      <c r="G45" t="s">
        <v>317</v>
      </c>
      <c r="J45" s="146" t="s">
        <v>2109</v>
      </c>
      <c r="K45" s="161" t="s">
        <v>1010</v>
      </c>
      <c r="L45" s="162">
        <v>737</v>
      </c>
      <c r="M45" s="4" t="str">
        <f t="shared" si="1"/>
        <v>737 - B737 Passenger (All Series)</v>
      </c>
      <c r="Y45" s="146" t="s">
        <v>2110</v>
      </c>
      <c r="Z45" s="161" t="s">
        <v>1032</v>
      </c>
      <c r="AA45" s="162">
        <v>731</v>
      </c>
    </row>
    <row r="46" spans="1:27">
      <c r="A46" t="s">
        <v>536</v>
      </c>
      <c r="B46" t="s">
        <v>537</v>
      </c>
      <c r="D46" s="83" t="s">
        <v>1470</v>
      </c>
      <c r="E46" s="518" t="s">
        <v>1150</v>
      </c>
      <c r="F46" s="518" t="str">
        <f t="shared" si="0"/>
        <v>CDF - Congo, Dem. Rep. of</v>
      </c>
      <c r="G46" t="s">
        <v>318</v>
      </c>
      <c r="J46" s="146" t="s">
        <v>2110</v>
      </c>
      <c r="K46" s="161" t="s">
        <v>1032</v>
      </c>
      <c r="L46" s="162">
        <v>731</v>
      </c>
      <c r="M46" s="4" t="str">
        <f t="shared" si="1"/>
        <v>731 - B737-100 Passenger</v>
      </c>
      <c r="Y46" s="146" t="s">
        <v>2111</v>
      </c>
      <c r="Z46" s="161" t="s">
        <v>1033</v>
      </c>
      <c r="AA46" s="162">
        <v>732</v>
      </c>
    </row>
    <row r="47" spans="1:27">
      <c r="A47" t="s">
        <v>538</v>
      </c>
      <c r="B47" t="s">
        <v>1379</v>
      </c>
      <c r="D47" s="83" t="s">
        <v>1151</v>
      </c>
      <c r="E47" s="518" t="s">
        <v>1152</v>
      </c>
      <c r="F47" s="518" t="str">
        <f t="shared" si="0"/>
        <v>NZD - Cook Islands</v>
      </c>
      <c r="G47" t="s">
        <v>319</v>
      </c>
      <c r="J47" s="146" t="s">
        <v>2111</v>
      </c>
      <c r="K47" s="161" t="s">
        <v>1033</v>
      </c>
      <c r="L47" s="162">
        <v>732</v>
      </c>
      <c r="M47" s="4" t="str">
        <f t="shared" si="1"/>
        <v>732 - B737-200 Passenger</v>
      </c>
      <c r="Y47" s="146" t="s">
        <v>2114</v>
      </c>
      <c r="Z47" s="161" t="s">
        <v>1035</v>
      </c>
      <c r="AA47" s="162">
        <v>733</v>
      </c>
    </row>
    <row r="48" spans="1:27">
      <c r="A48" t="s">
        <v>540</v>
      </c>
      <c r="B48" t="s">
        <v>1380</v>
      </c>
      <c r="D48" s="83" t="s">
        <v>1991</v>
      </c>
      <c r="E48" s="518" t="s">
        <v>1153</v>
      </c>
      <c r="F48" s="518" t="str">
        <f t="shared" si="0"/>
        <v>CRC - Costa Rica</v>
      </c>
      <c r="G48" t="s">
        <v>1722</v>
      </c>
      <c r="J48" s="239" t="s">
        <v>2112</v>
      </c>
      <c r="K48" s="161" t="s">
        <v>1034</v>
      </c>
      <c r="L48" s="162" t="s">
        <v>398</v>
      </c>
      <c r="M48" s="4" t="str">
        <f t="shared" si="1"/>
        <v>73S - B737-200 Advanced Passenger</v>
      </c>
      <c r="Y48" s="146" t="s">
        <v>2115</v>
      </c>
      <c r="Z48" s="161" t="s">
        <v>1036</v>
      </c>
      <c r="AA48" s="162">
        <v>734</v>
      </c>
    </row>
    <row r="49" spans="1:27">
      <c r="A49" t="s">
        <v>541</v>
      </c>
      <c r="B49" t="s">
        <v>542</v>
      </c>
      <c r="D49" s="83" t="s">
        <v>1992</v>
      </c>
      <c r="E49" s="518" t="s">
        <v>1130</v>
      </c>
      <c r="F49" s="518" t="str">
        <f t="shared" si="0"/>
        <v>XOF - Côte d'Ivoire</v>
      </c>
      <c r="G49" t="s">
        <v>320</v>
      </c>
      <c r="J49" s="146" t="s">
        <v>2114</v>
      </c>
      <c r="K49" s="161" t="s">
        <v>1035</v>
      </c>
      <c r="L49" s="162">
        <v>733</v>
      </c>
      <c r="M49" s="4" t="str">
        <f t="shared" si="1"/>
        <v>733 - B737-300 Passenger</v>
      </c>
      <c r="Y49" s="146" t="s">
        <v>2116</v>
      </c>
      <c r="Z49" s="161" t="s">
        <v>1037</v>
      </c>
      <c r="AA49" s="162">
        <v>735</v>
      </c>
    </row>
    <row r="50" spans="1:27">
      <c r="A50" t="s">
        <v>543</v>
      </c>
      <c r="B50" t="s">
        <v>544</v>
      </c>
      <c r="D50" s="83" t="s">
        <v>1471</v>
      </c>
      <c r="E50" s="518" t="s">
        <v>1154</v>
      </c>
      <c r="F50" s="518" t="str">
        <f t="shared" si="0"/>
        <v>HRK - Croatia</v>
      </c>
      <c r="G50" t="s">
        <v>1723</v>
      </c>
      <c r="J50" s="146" t="s">
        <v>2115</v>
      </c>
      <c r="K50" s="161" t="s">
        <v>1036</v>
      </c>
      <c r="L50" s="162">
        <v>734</v>
      </c>
      <c r="M50" s="4" t="str">
        <f t="shared" si="1"/>
        <v>734 - B737-400 Passenger</v>
      </c>
      <c r="Y50" s="146" t="s">
        <v>2117</v>
      </c>
      <c r="Z50" s="161" t="s">
        <v>1038</v>
      </c>
      <c r="AA50" s="162">
        <v>736</v>
      </c>
    </row>
    <row r="51" spans="1:27">
      <c r="A51" t="s">
        <v>545</v>
      </c>
      <c r="B51" t="s">
        <v>1381</v>
      </c>
      <c r="D51" s="83" t="s">
        <v>1155</v>
      </c>
      <c r="E51" s="518" t="s">
        <v>1156</v>
      </c>
      <c r="F51" s="518" t="str">
        <f t="shared" si="0"/>
        <v>CUP - Cuba</v>
      </c>
      <c r="G51" t="s">
        <v>321</v>
      </c>
      <c r="J51" s="146" t="s">
        <v>2116</v>
      </c>
      <c r="K51" s="161" t="s">
        <v>1037</v>
      </c>
      <c r="L51" s="162">
        <v>735</v>
      </c>
      <c r="M51" s="4" t="str">
        <f t="shared" si="1"/>
        <v>735 - B737-500 Passenger</v>
      </c>
      <c r="Y51" s="146" t="s">
        <v>2118</v>
      </c>
      <c r="Z51" s="161" t="s">
        <v>1039</v>
      </c>
      <c r="AA51" s="162" t="s">
        <v>399</v>
      </c>
    </row>
    <row r="52" spans="1:27">
      <c r="A52" t="s">
        <v>546</v>
      </c>
      <c r="B52" t="s">
        <v>547</v>
      </c>
      <c r="D52" s="83" t="s">
        <v>1993</v>
      </c>
      <c r="E52" s="518" t="s">
        <v>1123</v>
      </c>
      <c r="F52" s="518" t="str">
        <f t="shared" si="0"/>
        <v>EUR - Cyprus</v>
      </c>
      <c r="G52" t="s">
        <v>1724</v>
      </c>
      <c r="J52" s="146" t="s">
        <v>2117</v>
      </c>
      <c r="K52" s="161" t="s">
        <v>1038</v>
      </c>
      <c r="L52" s="162">
        <v>736</v>
      </c>
      <c r="M52" s="4" t="str">
        <f t="shared" si="1"/>
        <v>736 - B737-600 Passenger</v>
      </c>
      <c r="Y52" s="146" t="s">
        <v>2119</v>
      </c>
      <c r="Z52" s="161" t="s">
        <v>1040</v>
      </c>
      <c r="AA52" s="162">
        <v>738</v>
      </c>
    </row>
    <row r="53" spans="1:27">
      <c r="A53" t="s">
        <v>548</v>
      </c>
      <c r="B53" t="s">
        <v>1382</v>
      </c>
      <c r="D53" s="83" t="s">
        <v>1472</v>
      </c>
      <c r="E53" t="s">
        <v>1157</v>
      </c>
      <c r="F53" t="str">
        <f t="shared" si="0"/>
        <v>CZK - Czech Republic</v>
      </c>
      <c r="G53" t="s">
        <v>322</v>
      </c>
      <c r="J53" s="146" t="s">
        <v>2118</v>
      </c>
      <c r="K53" s="161" t="s">
        <v>1039</v>
      </c>
      <c r="L53" s="162" t="s">
        <v>399</v>
      </c>
      <c r="M53" s="4" t="str">
        <f t="shared" si="1"/>
        <v>73G - B737-700 Passenger</v>
      </c>
      <c r="Y53" s="146" t="s">
        <v>2120</v>
      </c>
      <c r="Z53" s="161" t="s">
        <v>1041</v>
      </c>
      <c r="AA53" s="162">
        <v>739</v>
      </c>
    </row>
    <row r="54" spans="1:27">
      <c r="A54" t="s">
        <v>549</v>
      </c>
      <c r="B54" t="s">
        <v>1383</v>
      </c>
      <c r="D54" s="83" t="s">
        <v>1994</v>
      </c>
      <c r="E54" t="s">
        <v>1158</v>
      </c>
      <c r="F54" t="str">
        <f t="shared" si="0"/>
        <v>DKK - Denmark</v>
      </c>
      <c r="G54" t="s">
        <v>323</v>
      </c>
      <c r="J54" s="146" t="s">
        <v>2119</v>
      </c>
      <c r="K54" s="161" t="s">
        <v>1040</v>
      </c>
      <c r="L54" s="162">
        <v>738</v>
      </c>
      <c r="M54" s="4" t="str">
        <f t="shared" si="1"/>
        <v>738 - B737-800 Passenger</v>
      </c>
      <c r="Y54" s="146" t="s">
        <v>2122</v>
      </c>
      <c r="Z54" s="161" t="s">
        <v>1012</v>
      </c>
      <c r="AA54" s="162" t="s">
        <v>401</v>
      </c>
    </row>
    <row r="55" spans="1:27">
      <c r="A55" t="s">
        <v>550</v>
      </c>
      <c r="B55" t="s">
        <v>1384</v>
      </c>
      <c r="D55" s="83" t="s">
        <v>1995</v>
      </c>
      <c r="E55" t="s">
        <v>1159</v>
      </c>
      <c r="F55" t="str">
        <f t="shared" si="0"/>
        <v>DJF - Djibouti</v>
      </c>
      <c r="G55" t="s">
        <v>1725</v>
      </c>
      <c r="J55" s="146" t="s">
        <v>2120</v>
      </c>
      <c r="K55" s="161" t="s">
        <v>1041</v>
      </c>
      <c r="L55" s="162">
        <v>739</v>
      </c>
      <c r="M55" s="4" t="str">
        <f t="shared" si="1"/>
        <v>739 - B737-900 Passenger</v>
      </c>
      <c r="Y55" s="146" t="s">
        <v>2123</v>
      </c>
      <c r="Z55" s="161" t="s">
        <v>1013</v>
      </c>
      <c r="AA55" s="162">
        <v>747</v>
      </c>
    </row>
    <row r="56" spans="1:27">
      <c r="A56" t="s">
        <v>551</v>
      </c>
      <c r="B56" t="s">
        <v>1385</v>
      </c>
      <c r="D56" s="83" t="s">
        <v>1996</v>
      </c>
      <c r="E56" t="s">
        <v>1118</v>
      </c>
      <c r="F56" t="str">
        <f t="shared" si="0"/>
        <v>XCD - Dominica</v>
      </c>
      <c r="G56" t="s">
        <v>324</v>
      </c>
      <c r="J56" s="239" t="s">
        <v>2121</v>
      </c>
      <c r="K56" s="161" t="s">
        <v>1011</v>
      </c>
      <c r="L56" s="162" t="s">
        <v>400</v>
      </c>
      <c r="M56" s="4" t="str">
        <f t="shared" si="1"/>
        <v>73M - B737-200 Mixed Configuration</v>
      </c>
      <c r="Y56" s="146" t="s">
        <v>2124</v>
      </c>
      <c r="Z56" s="161" t="s">
        <v>1042</v>
      </c>
      <c r="AA56" s="162">
        <v>741</v>
      </c>
    </row>
    <row r="57" spans="1:27">
      <c r="A57" t="s">
        <v>552</v>
      </c>
      <c r="B57" t="s">
        <v>553</v>
      </c>
      <c r="D57" s="83" t="s">
        <v>1473</v>
      </c>
      <c r="E57" t="s">
        <v>1160</v>
      </c>
      <c r="F57" t="str">
        <f t="shared" si="0"/>
        <v>DOP - Dominican Republic</v>
      </c>
      <c r="G57" t="s">
        <v>1726</v>
      </c>
      <c r="J57" s="146" t="s">
        <v>2122</v>
      </c>
      <c r="K57" s="161" t="s">
        <v>1012</v>
      </c>
      <c r="L57" s="162" t="s">
        <v>401</v>
      </c>
      <c r="M57" s="4" t="str">
        <f t="shared" si="1"/>
        <v>73F - B737 Freighter (All Series)</v>
      </c>
      <c r="Y57" s="146" t="s">
        <v>2125</v>
      </c>
      <c r="Z57" s="161" t="s">
        <v>1043</v>
      </c>
      <c r="AA57" s="162">
        <v>742</v>
      </c>
    </row>
    <row r="58" spans="1:27">
      <c r="A58" t="s">
        <v>554</v>
      </c>
      <c r="B58" t="s">
        <v>1386</v>
      </c>
      <c r="D58" s="83" t="s">
        <v>1474</v>
      </c>
      <c r="E58" t="s">
        <v>1161</v>
      </c>
      <c r="F58" t="str">
        <f t="shared" si="0"/>
        <v>USD - Ecuador</v>
      </c>
      <c r="G58" t="s">
        <v>325</v>
      </c>
      <c r="J58" s="146" t="s">
        <v>2123</v>
      </c>
      <c r="K58" s="161" t="s">
        <v>1013</v>
      </c>
      <c r="L58" s="162">
        <v>747</v>
      </c>
      <c r="M58" s="4" t="str">
        <f t="shared" si="1"/>
        <v>747 - B747 Passenger (All Series)</v>
      </c>
      <c r="Y58" s="146" t="s">
        <v>2126</v>
      </c>
      <c r="Z58" s="161" t="s">
        <v>1044</v>
      </c>
      <c r="AA58" s="162">
        <v>743</v>
      </c>
    </row>
    <row r="59" spans="1:27">
      <c r="A59" t="s">
        <v>555</v>
      </c>
      <c r="B59" t="s">
        <v>1387</v>
      </c>
      <c r="D59" s="83" t="s">
        <v>1997</v>
      </c>
      <c r="E59" t="s">
        <v>1162</v>
      </c>
      <c r="F59" t="str">
        <f t="shared" si="0"/>
        <v>EGP - Egypt</v>
      </c>
      <c r="G59" t="s">
        <v>1727</v>
      </c>
      <c r="J59" s="146" t="s">
        <v>2124</v>
      </c>
      <c r="K59" s="161" t="s">
        <v>1042</v>
      </c>
      <c r="L59" s="162">
        <v>741</v>
      </c>
      <c r="M59" s="4" t="str">
        <f t="shared" si="1"/>
        <v>741 - B747-100 Passenger</v>
      </c>
      <c r="Y59" s="146" t="s">
        <v>2127</v>
      </c>
      <c r="Z59" s="161" t="s">
        <v>1045</v>
      </c>
      <c r="AA59" s="162">
        <v>744</v>
      </c>
    </row>
    <row r="60" spans="1:27">
      <c r="A60" t="s">
        <v>556</v>
      </c>
      <c r="B60" t="s">
        <v>1388</v>
      </c>
      <c r="D60" s="83" t="s">
        <v>1998</v>
      </c>
      <c r="E60" t="s">
        <v>1161</v>
      </c>
      <c r="F60" t="str">
        <f t="shared" si="0"/>
        <v>USD - El Salvador</v>
      </c>
      <c r="G60" t="s">
        <v>1728</v>
      </c>
      <c r="J60" s="146" t="s">
        <v>2125</v>
      </c>
      <c r="K60" s="161" t="s">
        <v>1043</v>
      </c>
      <c r="L60" s="162">
        <v>742</v>
      </c>
      <c r="M60" s="4" t="str">
        <f t="shared" si="1"/>
        <v>742 - B747-200 Passenger</v>
      </c>
      <c r="Y60" s="146" t="s">
        <v>2128</v>
      </c>
      <c r="Z60" s="161" t="s">
        <v>1014</v>
      </c>
      <c r="AA60" s="162" t="s">
        <v>402</v>
      </c>
    </row>
    <row r="61" spans="1:27">
      <c r="A61" t="s">
        <v>557</v>
      </c>
      <c r="B61" t="s">
        <v>558</v>
      </c>
      <c r="D61" s="83" t="s">
        <v>1999</v>
      </c>
      <c r="E61" t="s">
        <v>1141</v>
      </c>
      <c r="F61" t="str">
        <f t="shared" si="0"/>
        <v>XAF - Equatorial Guinea</v>
      </c>
      <c r="G61" t="s">
        <v>326</v>
      </c>
      <c r="J61" s="146" t="s">
        <v>2126</v>
      </c>
      <c r="K61" s="161" t="s">
        <v>1044</v>
      </c>
      <c r="L61" s="162">
        <v>743</v>
      </c>
      <c r="M61" s="4" t="str">
        <f t="shared" si="1"/>
        <v>743 - B747-300 Passenger</v>
      </c>
      <c r="Y61" s="146" t="s">
        <v>2129</v>
      </c>
      <c r="Z61" s="161" t="s">
        <v>1015</v>
      </c>
      <c r="AA61" s="162" t="s">
        <v>403</v>
      </c>
    </row>
    <row r="62" spans="1:27">
      <c r="A62" t="s">
        <v>559</v>
      </c>
      <c r="B62" t="s">
        <v>560</v>
      </c>
      <c r="D62" s="83" t="s">
        <v>2000</v>
      </c>
      <c r="E62" t="s">
        <v>1163</v>
      </c>
      <c r="F62" t="str">
        <f t="shared" si="0"/>
        <v>EEK - Estonia</v>
      </c>
      <c r="G62" t="s">
        <v>327</v>
      </c>
      <c r="J62" s="146" t="s">
        <v>2127</v>
      </c>
      <c r="K62" s="161" t="s">
        <v>1045</v>
      </c>
      <c r="L62" s="162">
        <v>744</v>
      </c>
      <c r="M62" s="4" t="str">
        <f t="shared" si="1"/>
        <v>744 - B747-400 Passenger</v>
      </c>
      <c r="Y62" s="294" t="s">
        <v>2244</v>
      </c>
      <c r="Z62" s="161" t="s">
        <v>2243</v>
      </c>
      <c r="AA62" s="162">
        <v>748</v>
      </c>
    </row>
    <row r="63" spans="1:27">
      <c r="A63" t="s">
        <v>561</v>
      </c>
      <c r="B63" t="s">
        <v>1389</v>
      </c>
      <c r="D63" s="83" t="s">
        <v>2001</v>
      </c>
      <c r="E63" t="s">
        <v>1164</v>
      </c>
      <c r="F63" t="str">
        <f t="shared" si="0"/>
        <v>ETB - Ethiopia</v>
      </c>
      <c r="G63" t="s">
        <v>328</v>
      </c>
      <c r="J63" s="146" t="s">
        <v>2128</v>
      </c>
      <c r="K63" s="161" t="s">
        <v>1014</v>
      </c>
      <c r="L63" s="162" t="s">
        <v>402</v>
      </c>
      <c r="M63" s="4" t="str">
        <f t="shared" si="1"/>
        <v xml:space="preserve">74S - B747SP Passenger </v>
      </c>
      <c r="Y63" s="146" t="s">
        <v>2134</v>
      </c>
      <c r="Z63" s="161" t="s">
        <v>1017</v>
      </c>
      <c r="AA63" s="162" t="s">
        <v>408</v>
      </c>
    </row>
    <row r="64" spans="1:27">
      <c r="A64" t="s">
        <v>562</v>
      </c>
      <c r="B64" t="s">
        <v>563</v>
      </c>
      <c r="D64" s="83" t="s">
        <v>2002</v>
      </c>
      <c r="E64" t="s">
        <v>1165</v>
      </c>
      <c r="F64" t="str">
        <f t="shared" si="0"/>
        <v>FKP - Falkland Islands</v>
      </c>
      <c r="G64" t="s">
        <v>329</v>
      </c>
      <c r="J64" s="146" t="s">
        <v>2129</v>
      </c>
      <c r="K64" s="161" t="s">
        <v>1015</v>
      </c>
      <c r="L64" s="162" t="s">
        <v>403</v>
      </c>
      <c r="M64" s="4" t="str">
        <f t="shared" si="1"/>
        <v xml:space="preserve">74R - B747SR Passenger </v>
      </c>
      <c r="Y64" s="146" t="s">
        <v>2209</v>
      </c>
      <c r="Z64" s="161" t="s">
        <v>1018</v>
      </c>
      <c r="AA64" s="162" t="s">
        <v>409</v>
      </c>
    </row>
    <row r="65" spans="1:27">
      <c r="A65" t="s">
        <v>564</v>
      </c>
      <c r="B65" t="s">
        <v>565</v>
      </c>
      <c r="D65" s="83" t="s">
        <v>1475</v>
      </c>
      <c r="E65" t="s">
        <v>1158</v>
      </c>
      <c r="F65" t="str">
        <f t="shared" si="0"/>
        <v>DKK - Faroe Islands</v>
      </c>
      <c r="G65" t="s">
        <v>330</v>
      </c>
      <c r="J65" s="239" t="s">
        <v>2130</v>
      </c>
      <c r="K65" s="161" t="s">
        <v>1016</v>
      </c>
      <c r="L65" s="162" t="s">
        <v>404</v>
      </c>
      <c r="M65" s="4" t="str">
        <f t="shared" si="1"/>
        <v>74M - B747 Mixed Configuration</v>
      </c>
      <c r="Y65" s="146" t="s">
        <v>2136</v>
      </c>
      <c r="Z65" s="161" t="s">
        <v>1019</v>
      </c>
      <c r="AA65" s="162" t="s">
        <v>410</v>
      </c>
    </row>
    <row r="66" spans="1:27">
      <c r="A66" t="s">
        <v>566</v>
      </c>
      <c r="B66" t="s">
        <v>567</v>
      </c>
      <c r="D66" s="83" t="s">
        <v>2003</v>
      </c>
      <c r="E66" t="s">
        <v>1166</v>
      </c>
      <c r="F66" t="str">
        <f t="shared" ref="F66:F129" si="2">E66&amp;" - "&amp;D66</f>
        <v>FJD - Fiji</v>
      </c>
      <c r="G66" t="s">
        <v>331</v>
      </c>
      <c r="J66" s="239" t="s">
        <v>2131</v>
      </c>
      <c r="K66" s="161" t="s">
        <v>1046</v>
      </c>
      <c r="L66" s="162" t="s">
        <v>405</v>
      </c>
      <c r="M66" s="4" t="str">
        <f t="shared" si="1"/>
        <v>74C - B747-200 Mixed Configuration</v>
      </c>
      <c r="Y66" s="146" t="s">
        <v>2137</v>
      </c>
      <c r="Z66" s="161" t="s">
        <v>1020</v>
      </c>
      <c r="AA66" s="162">
        <v>757</v>
      </c>
    </row>
    <row r="67" spans="1:27">
      <c r="A67" t="s">
        <v>568</v>
      </c>
      <c r="B67" t="s">
        <v>569</v>
      </c>
      <c r="D67" s="83" t="s">
        <v>1476</v>
      </c>
      <c r="E67" t="s">
        <v>1123</v>
      </c>
      <c r="F67" t="str">
        <f t="shared" si="2"/>
        <v>EUR - Finland</v>
      </c>
      <c r="G67" t="s">
        <v>332</v>
      </c>
      <c r="J67" s="239" t="s">
        <v>2132</v>
      </c>
      <c r="K67" s="161" t="s">
        <v>1047</v>
      </c>
      <c r="L67" s="162" t="s">
        <v>406</v>
      </c>
      <c r="M67" s="4" t="str">
        <f t="shared" ref="M67:M130" si="3">L67&amp;" - "&amp;K67</f>
        <v>74D - B747-300 Mixed Configuration</v>
      </c>
      <c r="Y67" s="146" t="s">
        <v>2138</v>
      </c>
      <c r="Z67" s="161" t="s">
        <v>1049</v>
      </c>
      <c r="AA67" s="162">
        <v>752</v>
      </c>
    </row>
    <row r="68" spans="1:27">
      <c r="A68" t="s">
        <v>570</v>
      </c>
      <c r="B68" t="s">
        <v>571</v>
      </c>
      <c r="D68" s="83" t="s">
        <v>1477</v>
      </c>
      <c r="E68" t="s">
        <v>1123</v>
      </c>
      <c r="F68" t="str">
        <f t="shared" si="2"/>
        <v>EUR - France</v>
      </c>
      <c r="G68" t="s">
        <v>1729</v>
      </c>
      <c r="J68" s="239" t="s">
        <v>2133</v>
      </c>
      <c r="K68" s="161" t="s">
        <v>1048</v>
      </c>
      <c r="L68" s="162" t="s">
        <v>407</v>
      </c>
      <c r="M68" s="4" t="str">
        <f t="shared" si="3"/>
        <v>74E - B747-400 Mixed Configuration</v>
      </c>
      <c r="Y68" s="146" t="s">
        <v>2139</v>
      </c>
      <c r="Z68" s="161" t="s">
        <v>1050</v>
      </c>
      <c r="AA68" s="162">
        <v>753</v>
      </c>
    </row>
    <row r="69" spans="1:27">
      <c r="A69" t="s">
        <v>572</v>
      </c>
      <c r="B69" t="s">
        <v>573</v>
      </c>
      <c r="D69" s="83" t="s">
        <v>1478</v>
      </c>
      <c r="E69" t="s">
        <v>1167</v>
      </c>
      <c r="F69" t="str">
        <f t="shared" si="2"/>
        <v>XPF - French Polynesia</v>
      </c>
      <c r="G69" t="s">
        <v>1730</v>
      </c>
      <c r="J69" s="146" t="s">
        <v>2134</v>
      </c>
      <c r="K69" s="161" t="s">
        <v>1017</v>
      </c>
      <c r="L69" s="162" t="s">
        <v>408</v>
      </c>
      <c r="M69" s="4" t="str">
        <f t="shared" si="3"/>
        <v>74F - B747 Freighter (All Series)</v>
      </c>
      <c r="Y69" s="146" t="s">
        <v>2140</v>
      </c>
      <c r="Z69" s="161" t="s">
        <v>1021</v>
      </c>
      <c r="AA69" s="162" t="s">
        <v>411</v>
      </c>
    </row>
    <row r="70" spans="1:27">
      <c r="A70" t="s">
        <v>574</v>
      </c>
      <c r="B70" t="s">
        <v>575</v>
      </c>
      <c r="D70" s="83" t="s">
        <v>2004</v>
      </c>
      <c r="E70" t="s">
        <v>1141</v>
      </c>
      <c r="F70" t="str">
        <f t="shared" si="2"/>
        <v>XAF - Gabon</v>
      </c>
      <c r="G70" t="s">
        <v>1731</v>
      </c>
      <c r="J70" s="146" t="s">
        <v>2135</v>
      </c>
      <c r="K70" s="161" t="s">
        <v>1018</v>
      </c>
      <c r="L70" s="162" t="s">
        <v>409</v>
      </c>
      <c r="M70" s="4" t="str">
        <f t="shared" si="3"/>
        <v>74X - B747-100/200/747SR Freighter</v>
      </c>
      <c r="Y70" s="146" t="s">
        <v>2141</v>
      </c>
      <c r="Z70" s="161" t="s">
        <v>1022</v>
      </c>
      <c r="AA70" s="162">
        <v>767</v>
      </c>
    </row>
    <row r="71" spans="1:27">
      <c r="A71" t="s">
        <v>576</v>
      </c>
      <c r="B71" t="s">
        <v>577</v>
      </c>
      <c r="D71" s="83" t="s">
        <v>2005</v>
      </c>
      <c r="E71" t="s">
        <v>1706</v>
      </c>
      <c r="F71" t="str">
        <f t="shared" si="2"/>
        <v>GMD - Gambia, The</v>
      </c>
      <c r="G71" t="s">
        <v>1732</v>
      </c>
      <c r="J71" s="146" t="s">
        <v>2136</v>
      </c>
      <c r="K71" s="161" t="s">
        <v>1019</v>
      </c>
      <c r="L71" s="162" t="s">
        <v>410</v>
      </c>
      <c r="M71" s="4" t="str">
        <f t="shared" si="3"/>
        <v>74Y - B747-400 Freighter</v>
      </c>
      <c r="Y71" s="146" t="s">
        <v>2142</v>
      </c>
      <c r="Z71" s="161" t="s">
        <v>1023</v>
      </c>
      <c r="AA71" s="162">
        <v>762</v>
      </c>
    </row>
    <row r="72" spans="1:27">
      <c r="A72" t="s">
        <v>578</v>
      </c>
      <c r="B72" t="s">
        <v>1390</v>
      </c>
      <c r="D72" s="83" t="s">
        <v>2006</v>
      </c>
      <c r="E72" t="s">
        <v>1168</v>
      </c>
      <c r="F72" t="str">
        <f t="shared" si="2"/>
        <v>GEL - Georgia</v>
      </c>
      <c r="G72" t="s">
        <v>333</v>
      </c>
      <c r="J72" s="146" t="s">
        <v>2137</v>
      </c>
      <c r="K72" s="161" t="s">
        <v>1020</v>
      </c>
      <c r="L72" s="162">
        <v>757</v>
      </c>
      <c r="M72" s="4" t="str">
        <f t="shared" si="3"/>
        <v>757 - B757 Passenger (All Series)</v>
      </c>
      <c r="Y72" s="146" t="s">
        <v>2143</v>
      </c>
      <c r="Z72" s="161" t="s">
        <v>1024</v>
      </c>
      <c r="AA72" s="162">
        <v>763</v>
      </c>
    </row>
    <row r="73" spans="1:27">
      <c r="A73" t="s">
        <v>579</v>
      </c>
      <c r="B73" t="s">
        <v>580</v>
      </c>
      <c r="D73" s="83" t="s">
        <v>1479</v>
      </c>
      <c r="E73" t="s">
        <v>1123</v>
      </c>
      <c r="F73" t="str">
        <f t="shared" si="2"/>
        <v>EUR - Germany</v>
      </c>
      <c r="G73" t="s">
        <v>1733</v>
      </c>
      <c r="J73" s="146" t="s">
        <v>2138</v>
      </c>
      <c r="K73" s="161" t="s">
        <v>1049</v>
      </c>
      <c r="L73" s="162">
        <v>752</v>
      </c>
      <c r="M73" s="4" t="str">
        <f t="shared" si="3"/>
        <v>752 - B757-200 Passenger</v>
      </c>
      <c r="Y73" s="146" t="s">
        <v>2144</v>
      </c>
      <c r="Z73" s="161" t="s">
        <v>1025</v>
      </c>
      <c r="AA73" s="162">
        <v>764</v>
      </c>
    </row>
    <row r="74" spans="1:27">
      <c r="A74" t="s">
        <v>581</v>
      </c>
      <c r="B74" t="s">
        <v>582</v>
      </c>
      <c r="D74" s="83" t="s">
        <v>2007</v>
      </c>
      <c r="E74" t="s">
        <v>1169</v>
      </c>
      <c r="F74" t="str">
        <f t="shared" si="2"/>
        <v>GHS - Ghana</v>
      </c>
      <c r="G74" t="s">
        <v>334</v>
      </c>
      <c r="J74" s="146" t="s">
        <v>2139</v>
      </c>
      <c r="K74" s="161" t="s">
        <v>1050</v>
      </c>
      <c r="L74" s="162">
        <v>753</v>
      </c>
      <c r="M74" s="4" t="str">
        <f t="shared" si="3"/>
        <v>753 - B757-300 Passenger</v>
      </c>
      <c r="Y74" s="146" t="s">
        <v>2145</v>
      </c>
      <c r="Z74" s="161" t="s">
        <v>1026</v>
      </c>
      <c r="AA74" s="162" t="s">
        <v>412</v>
      </c>
    </row>
    <row r="75" spans="1:27">
      <c r="A75" t="s">
        <v>583</v>
      </c>
      <c r="B75" t="s">
        <v>584</v>
      </c>
      <c r="D75" s="83" t="s">
        <v>2008</v>
      </c>
      <c r="E75" t="s">
        <v>1170</v>
      </c>
      <c r="F75" t="str">
        <f t="shared" si="2"/>
        <v>GIP - Gibraltar</v>
      </c>
      <c r="G75" t="s">
        <v>335</v>
      </c>
      <c r="J75" s="146" t="s">
        <v>2140</v>
      </c>
      <c r="K75" s="161" t="s">
        <v>1021</v>
      </c>
      <c r="L75" s="162" t="s">
        <v>411</v>
      </c>
      <c r="M75" s="4" t="str">
        <f t="shared" si="3"/>
        <v>75F - B757 Freighter (All Series)</v>
      </c>
      <c r="Y75" s="146" t="s">
        <v>2146</v>
      </c>
      <c r="Z75" s="161" t="s">
        <v>1027</v>
      </c>
      <c r="AA75" s="162">
        <v>777</v>
      </c>
    </row>
    <row r="76" spans="1:27">
      <c r="A76" t="s">
        <v>585</v>
      </c>
      <c r="B76" t="s">
        <v>586</v>
      </c>
      <c r="D76" s="83" t="s">
        <v>1480</v>
      </c>
      <c r="E76" t="s">
        <v>1123</v>
      </c>
      <c r="F76" t="str">
        <f t="shared" si="2"/>
        <v>EUR - Greece</v>
      </c>
      <c r="G76" t="s">
        <v>1734</v>
      </c>
      <c r="J76" s="146" t="s">
        <v>2141</v>
      </c>
      <c r="K76" s="161" t="s">
        <v>1022</v>
      </c>
      <c r="L76" s="162">
        <v>767</v>
      </c>
      <c r="M76" s="4" t="str">
        <f t="shared" si="3"/>
        <v>767 - B767 Passenger (All Series)</v>
      </c>
      <c r="Y76" s="146" t="s">
        <v>2147</v>
      </c>
      <c r="Z76" s="161" t="s">
        <v>1028</v>
      </c>
      <c r="AA76" s="162">
        <v>772</v>
      </c>
    </row>
    <row r="77" spans="1:27">
      <c r="A77" t="s">
        <v>587</v>
      </c>
      <c r="B77" t="s">
        <v>1391</v>
      </c>
      <c r="D77" s="83" t="s">
        <v>1481</v>
      </c>
      <c r="E77" t="s">
        <v>1158</v>
      </c>
      <c r="F77" t="str">
        <f t="shared" si="2"/>
        <v>DKK - Greenland</v>
      </c>
      <c r="G77" t="s">
        <v>1735</v>
      </c>
      <c r="J77" s="146" t="s">
        <v>2142</v>
      </c>
      <c r="K77" s="161" t="s">
        <v>1023</v>
      </c>
      <c r="L77" s="162">
        <v>762</v>
      </c>
      <c r="M77" s="4" t="str">
        <f t="shared" si="3"/>
        <v>762 - B767-200 Passenger</v>
      </c>
      <c r="Y77" s="146" t="s">
        <v>2148</v>
      </c>
      <c r="Z77" s="161" t="s">
        <v>1029</v>
      </c>
      <c r="AA77" s="162">
        <v>773</v>
      </c>
    </row>
    <row r="78" spans="1:27">
      <c r="A78" t="s">
        <v>588</v>
      </c>
      <c r="B78" t="s">
        <v>589</v>
      </c>
      <c r="D78" s="83" t="s">
        <v>2009</v>
      </c>
      <c r="E78" t="s">
        <v>1118</v>
      </c>
      <c r="F78" t="str">
        <f t="shared" si="2"/>
        <v>XCD - Grenada</v>
      </c>
      <c r="G78" t="s">
        <v>336</v>
      </c>
      <c r="J78" s="146" t="s">
        <v>2143</v>
      </c>
      <c r="K78" s="161" t="s">
        <v>1024</v>
      </c>
      <c r="L78" s="162">
        <v>763</v>
      </c>
      <c r="M78" s="4" t="str">
        <f t="shared" si="3"/>
        <v>763 - B767-300 Passenger</v>
      </c>
      <c r="Y78" s="294" t="s">
        <v>2238</v>
      </c>
      <c r="Z78" s="161" t="s">
        <v>2239</v>
      </c>
      <c r="AA78" s="162" t="s">
        <v>2240</v>
      </c>
    </row>
    <row r="79" spans="1:27">
      <c r="A79" t="s">
        <v>590</v>
      </c>
      <c r="B79" t="s">
        <v>751</v>
      </c>
      <c r="D79" s="83" t="s">
        <v>1482</v>
      </c>
      <c r="E79" t="s">
        <v>1123</v>
      </c>
      <c r="F79" t="str">
        <f t="shared" si="2"/>
        <v>EUR - Guadeloupe</v>
      </c>
      <c r="G79" t="s">
        <v>337</v>
      </c>
      <c r="J79" s="146" t="s">
        <v>2144</v>
      </c>
      <c r="K79" s="161" t="s">
        <v>1025</v>
      </c>
      <c r="L79" s="162">
        <v>764</v>
      </c>
      <c r="M79" s="4" t="str">
        <f t="shared" si="3"/>
        <v>764 - B767-400 Passenger</v>
      </c>
      <c r="Y79" s="294" t="s">
        <v>2235</v>
      </c>
      <c r="Z79" s="295" t="s">
        <v>2459</v>
      </c>
      <c r="AA79" s="162">
        <v>787</v>
      </c>
    </row>
    <row r="80" spans="1:27">
      <c r="A80" t="s">
        <v>591</v>
      </c>
      <c r="B80" t="s">
        <v>1392</v>
      </c>
      <c r="D80" s="83" t="s">
        <v>2010</v>
      </c>
      <c r="E80" t="s">
        <v>1171</v>
      </c>
      <c r="F80" t="str">
        <f t="shared" si="2"/>
        <v>GTQ - Guatemala</v>
      </c>
      <c r="G80" t="s">
        <v>338</v>
      </c>
      <c r="J80" s="146" t="s">
        <v>2145</v>
      </c>
      <c r="K80" s="161" t="s">
        <v>1026</v>
      </c>
      <c r="L80" s="162" t="s">
        <v>412</v>
      </c>
      <c r="M80" s="4" t="str">
        <f t="shared" si="3"/>
        <v>76F - B767 Freighter (All Series)</v>
      </c>
      <c r="Y80" s="294" t="s">
        <v>2460</v>
      </c>
      <c r="Z80" s="295" t="s">
        <v>2460</v>
      </c>
      <c r="AA80" s="162">
        <v>788</v>
      </c>
    </row>
    <row r="81" spans="1:27">
      <c r="A81" t="s">
        <v>592</v>
      </c>
      <c r="B81" t="s">
        <v>593</v>
      </c>
      <c r="D81" s="83" t="s">
        <v>1483</v>
      </c>
      <c r="E81" t="s">
        <v>1257</v>
      </c>
      <c r="F81" t="str">
        <f t="shared" si="2"/>
        <v>GBP - Guernsey</v>
      </c>
      <c r="G81" t="s">
        <v>1736</v>
      </c>
      <c r="J81" s="146" t="s">
        <v>2146</v>
      </c>
      <c r="K81" s="161" t="s">
        <v>1027</v>
      </c>
      <c r="L81" s="162">
        <v>777</v>
      </c>
      <c r="M81" s="4" t="str">
        <f t="shared" si="3"/>
        <v>777 - B777 Passenger (All Series)</v>
      </c>
      <c r="Y81" s="294" t="s">
        <v>2461</v>
      </c>
      <c r="Z81" s="295" t="s">
        <v>2461</v>
      </c>
      <c r="AA81" s="162">
        <v>789</v>
      </c>
    </row>
    <row r="82" spans="1:27">
      <c r="A82" t="s">
        <v>594</v>
      </c>
      <c r="B82" t="s">
        <v>595</v>
      </c>
      <c r="D82" s="83" t="s">
        <v>2011</v>
      </c>
      <c r="E82" t="s">
        <v>1123</v>
      </c>
      <c r="F82" t="str">
        <f t="shared" si="2"/>
        <v>EUR - Guiana, French</v>
      </c>
      <c r="G82" t="s">
        <v>339</v>
      </c>
      <c r="J82" s="146" t="s">
        <v>2147</v>
      </c>
      <c r="K82" s="161" t="s">
        <v>1028</v>
      </c>
      <c r="L82" s="162">
        <v>772</v>
      </c>
      <c r="M82" s="4" t="str">
        <f t="shared" si="3"/>
        <v>772 - B777-200 Passenger</v>
      </c>
      <c r="Y82" s="146" t="s">
        <v>2149</v>
      </c>
      <c r="Z82" s="161" t="s">
        <v>1052</v>
      </c>
      <c r="AA82" s="162">
        <v>146</v>
      </c>
    </row>
    <row r="83" spans="1:27">
      <c r="A83" t="s">
        <v>596</v>
      </c>
      <c r="B83" t="s">
        <v>1393</v>
      </c>
      <c r="D83" s="83" t="s">
        <v>2012</v>
      </c>
      <c r="E83" t="s">
        <v>1172</v>
      </c>
      <c r="F83" t="str">
        <f t="shared" si="2"/>
        <v>GNF - Guinea</v>
      </c>
      <c r="G83" t="s">
        <v>340</v>
      </c>
      <c r="J83" s="146" t="s">
        <v>2148</v>
      </c>
      <c r="K83" s="161" t="s">
        <v>1029</v>
      </c>
      <c r="L83" s="162">
        <v>773</v>
      </c>
      <c r="M83" s="4" t="str">
        <f t="shared" si="3"/>
        <v>773 - B777-300 Passenger</v>
      </c>
      <c r="Y83" s="146" t="s">
        <v>2150</v>
      </c>
      <c r="Z83" s="161" t="s">
        <v>1053</v>
      </c>
      <c r="AA83" s="162" t="s">
        <v>413</v>
      </c>
    </row>
    <row r="84" spans="1:27">
      <c r="A84" t="s">
        <v>597</v>
      </c>
      <c r="B84" t="s">
        <v>1394</v>
      </c>
      <c r="D84" s="83" t="s">
        <v>2013</v>
      </c>
      <c r="E84" t="s">
        <v>1130</v>
      </c>
      <c r="F84" t="str">
        <f t="shared" si="2"/>
        <v>XOF - Guinea-Bissau</v>
      </c>
      <c r="G84" t="s">
        <v>341</v>
      </c>
      <c r="J84" s="146" t="s">
        <v>2149</v>
      </c>
      <c r="K84" s="161" t="s">
        <v>1052</v>
      </c>
      <c r="L84" s="162">
        <v>146</v>
      </c>
      <c r="M84" s="4" t="str">
        <f t="shared" si="3"/>
        <v>146 - BAe 146 (All Series)</v>
      </c>
      <c r="Y84" s="146" t="s">
        <v>2151</v>
      </c>
      <c r="Z84" s="161" t="s">
        <v>1051</v>
      </c>
      <c r="AA84" s="162" t="s">
        <v>414</v>
      </c>
    </row>
    <row r="85" spans="1:27">
      <c r="A85" t="s">
        <v>598</v>
      </c>
      <c r="B85" t="s">
        <v>1395</v>
      </c>
      <c r="D85" s="83" t="s">
        <v>2014</v>
      </c>
      <c r="E85" t="s">
        <v>1173</v>
      </c>
      <c r="F85" t="str">
        <f t="shared" si="2"/>
        <v>GYD - Guyana</v>
      </c>
      <c r="G85" t="s">
        <v>342</v>
      </c>
      <c r="J85" s="146" t="s">
        <v>2150</v>
      </c>
      <c r="K85" s="161" t="s">
        <v>1053</v>
      </c>
      <c r="L85" s="162" t="s">
        <v>413</v>
      </c>
      <c r="M85" s="4" t="str">
        <f t="shared" si="3"/>
        <v>HS7 - BAe 748 (All Series)</v>
      </c>
      <c r="Y85" s="146" t="s">
        <v>2236</v>
      </c>
      <c r="Z85" s="161" t="s">
        <v>2236</v>
      </c>
      <c r="AA85" s="162" t="s">
        <v>2237</v>
      </c>
    </row>
    <row r="86" spans="1:27">
      <c r="A86" t="s">
        <v>599</v>
      </c>
      <c r="B86" t="s">
        <v>600</v>
      </c>
      <c r="D86" s="83" t="s">
        <v>2015</v>
      </c>
      <c r="E86" t="s">
        <v>1174</v>
      </c>
      <c r="F86" t="str">
        <f t="shared" si="2"/>
        <v>HTG - Haiti</v>
      </c>
      <c r="G86" t="s">
        <v>343</v>
      </c>
      <c r="J86" s="146" t="s">
        <v>2151</v>
      </c>
      <c r="K86" s="161" t="s">
        <v>1051</v>
      </c>
      <c r="L86" s="162" t="s">
        <v>414</v>
      </c>
      <c r="M86" s="4" t="str">
        <f t="shared" si="3"/>
        <v>ATP - BAe Advanced Turboprop</v>
      </c>
      <c r="Y86" s="145" t="s">
        <v>415</v>
      </c>
      <c r="Z86" s="161" t="s">
        <v>415</v>
      </c>
      <c r="AA86" s="162" t="s">
        <v>415</v>
      </c>
    </row>
    <row r="87" spans="1:27">
      <c r="A87" t="s">
        <v>601</v>
      </c>
      <c r="B87" t="s">
        <v>602</v>
      </c>
      <c r="D87" s="83" t="s">
        <v>2016</v>
      </c>
      <c r="E87" t="s">
        <v>1175</v>
      </c>
      <c r="F87" t="str">
        <f t="shared" si="2"/>
        <v>HNL - Honduras</v>
      </c>
      <c r="G87" t="s">
        <v>1737</v>
      </c>
      <c r="J87" s="145" t="s">
        <v>415</v>
      </c>
      <c r="K87" s="161" t="s">
        <v>415</v>
      </c>
      <c r="L87" s="162" t="s">
        <v>415</v>
      </c>
      <c r="M87" s="4" t="str">
        <f t="shared" si="3"/>
        <v>CRJ - CRJ</v>
      </c>
      <c r="Y87" s="145" t="s">
        <v>1056</v>
      </c>
      <c r="Z87" s="161" t="s">
        <v>1056</v>
      </c>
      <c r="AA87" s="162" t="s">
        <v>416</v>
      </c>
    </row>
    <row r="88" spans="1:27">
      <c r="A88" t="s">
        <v>603</v>
      </c>
      <c r="B88" t="s">
        <v>604</v>
      </c>
      <c r="D88" s="83" t="s">
        <v>2017</v>
      </c>
      <c r="E88" t="s">
        <v>1176</v>
      </c>
      <c r="F88" t="str">
        <f t="shared" si="2"/>
        <v>HUF - Hungary</v>
      </c>
      <c r="G88" t="s">
        <v>1738</v>
      </c>
      <c r="J88" s="145" t="s">
        <v>1056</v>
      </c>
      <c r="K88" s="161" t="s">
        <v>1056</v>
      </c>
      <c r="L88" s="162" t="s">
        <v>416</v>
      </c>
      <c r="M88" s="4" t="str">
        <f t="shared" si="3"/>
        <v>CR1 - CRJ100</v>
      </c>
      <c r="Y88" s="145" t="s">
        <v>1054</v>
      </c>
      <c r="Z88" s="161" t="s">
        <v>1054</v>
      </c>
      <c r="AA88" s="162" t="s">
        <v>417</v>
      </c>
    </row>
    <row r="89" spans="1:27">
      <c r="A89" t="s">
        <v>605</v>
      </c>
      <c r="B89" t="s">
        <v>606</v>
      </c>
      <c r="D89" s="83" t="s">
        <v>2018</v>
      </c>
      <c r="E89" t="s">
        <v>1178</v>
      </c>
      <c r="F89" t="str">
        <f t="shared" si="2"/>
        <v>ISK - Iceland</v>
      </c>
      <c r="G89" t="s">
        <v>1739</v>
      </c>
      <c r="J89" s="145" t="s">
        <v>1054</v>
      </c>
      <c r="K89" s="161" t="s">
        <v>1054</v>
      </c>
      <c r="L89" s="162" t="s">
        <v>417</v>
      </c>
      <c r="M89" s="4" t="str">
        <f t="shared" si="3"/>
        <v>CR7 - CRJ700</v>
      </c>
      <c r="Y89" s="145" t="s">
        <v>1055</v>
      </c>
      <c r="Z89" s="66" t="s">
        <v>1055</v>
      </c>
      <c r="AA89" s="163" t="s">
        <v>418</v>
      </c>
    </row>
    <row r="90" spans="1:27">
      <c r="A90" t="s">
        <v>607</v>
      </c>
      <c r="B90" t="s">
        <v>608</v>
      </c>
      <c r="D90" s="83" t="s">
        <v>1484</v>
      </c>
      <c r="E90" t="s">
        <v>1179</v>
      </c>
      <c r="F90" t="str">
        <f t="shared" si="2"/>
        <v>INR - India</v>
      </c>
      <c r="G90" t="s">
        <v>1740</v>
      </c>
      <c r="J90" s="145" t="s">
        <v>1055</v>
      </c>
      <c r="K90" s="66" t="s">
        <v>1055</v>
      </c>
      <c r="L90" s="163" t="s">
        <v>418</v>
      </c>
      <c r="M90" s="4" t="str">
        <f t="shared" si="3"/>
        <v>CR9 - CRJ900</v>
      </c>
      <c r="Y90" s="145" t="s">
        <v>976</v>
      </c>
      <c r="Z90" s="66" t="s">
        <v>976</v>
      </c>
      <c r="AA90" s="163" t="s">
        <v>419</v>
      </c>
    </row>
    <row r="91" spans="1:27">
      <c r="A91" t="s">
        <v>609</v>
      </c>
      <c r="B91" t="s">
        <v>1396</v>
      </c>
      <c r="D91" s="83" t="s">
        <v>2019</v>
      </c>
      <c r="E91" t="s">
        <v>1180</v>
      </c>
      <c r="F91" t="str">
        <f t="shared" si="2"/>
        <v>IDR - Indonesia</v>
      </c>
      <c r="G91" t="s">
        <v>1741</v>
      </c>
      <c r="J91" s="145" t="s">
        <v>976</v>
      </c>
      <c r="K91" s="66" t="s">
        <v>976</v>
      </c>
      <c r="L91" s="163" t="s">
        <v>419</v>
      </c>
      <c r="M91" s="4" t="str">
        <f t="shared" si="3"/>
        <v>SSC - Concorde</v>
      </c>
      <c r="Y91" s="145" t="s">
        <v>1112</v>
      </c>
      <c r="Z91" s="66" t="s">
        <v>1112</v>
      </c>
      <c r="AA91" s="163" t="s">
        <v>420</v>
      </c>
    </row>
    <row r="92" spans="1:27">
      <c r="A92" t="s">
        <v>610</v>
      </c>
      <c r="B92" t="s">
        <v>1397</v>
      </c>
      <c r="D92" s="83" t="s">
        <v>1485</v>
      </c>
      <c r="E92" t="s">
        <v>1181</v>
      </c>
      <c r="F92" t="str">
        <f t="shared" si="2"/>
        <v>IRR - Iran, I.R. of</v>
      </c>
      <c r="G92" t="s">
        <v>1742</v>
      </c>
      <c r="J92" s="145" t="s">
        <v>1112</v>
      </c>
      <c r="K92" s="66" t="s">
        <v>1112</v>
      </c>
      <c r="L92" s="163" t="s">
        <v>420</v>
      </c>
      <c r="M92" s="4" t="str">
        <f t="shared" si="3"/>
        <v>DH7 - Dash 7</v>
      </c>
      <c r="Y92" s="146" t="s">
        <v>2152</v>
      </c>
      <c r="Z92" s="66" t="s">
        <v>1113</v>
      </c>
      <c r="AA92" s="163" t="s">
        <v>421</v>
      </c>
    </row>
    <row r="93" spans="1:27">
      <c r="A93" t="s">
        <v>611</v>
      </c>
      <c r="B93" t="s">
        <v>1398</v>
      </c>
      <c r="D93" s="83" t="s">
        <v>2020</v>
      </c>
      <c r="E93" t="s">
        <v>1182</v>
      </c>
      <c r="F93" t="str">
        <f t="shared" si="2"/>
        <v>IQD - Iraq</v>
      </c>
      <c r="G93" t="s">
        <v>344</v>
      </c>
      <c r="J93" s="146" t="s">
        <v>2152</v>
      </c>
      <c r="K93" s="66" t="s">
        <v>1113</v>
      </c>
      <c r="L93" s="163" t="s">
        <v>421</v>
      </c>
      <c r="M93" s="4" t="str">
        <f t="shared" si="3"/>
        <v>DH8 - Dash 8 (All Series)</v>
      </c>
      <c r="Y93" s="145" t="s">
        <v>1059</v>
      </c>
      <c r="Z93" s="66" t="s">
        <v>1059</v>
      </c>
      <c r="AA93" s="163" t="s">
        <v>422</v>
      </c>
    </row>
    <row r="94" spans="1:27">
      <c r="A94" t="s">
        <v>612</v>
      </c>
      <c r="B94" t="s">
        <v>613</v>
      </c>
      <c r="D94" s="83" t="s">
        <v>1486</v>
      </c>
      <c r="E94" t="s">
        <v>1123</v>
      </c>
      <c r="F94" t="str">
        <f t="shared" si="2"/>
        <v>EUR - Ireland</v>
      </c>
      <c r="G94" t="s">
        <v>1743</v>
      </c>
      <c r="J94" s="145" t="s">
        <v>1059</v>
      </c>
      <c r="K94" s="66" t="s">
        <v>1059</v>
      </c>
      <c r="L94" s="163" t="s">
        <v>422</v>
      </c>
      <c r="M94" s="4" t="str">
        <f t="shared" si="3"/>
        <v>EMB - EMB-110/120</v>
      </c>
      <c r="Y94" s="240" t="s">
        <v>2203</v>
      </c>
      <c r="Z94" s="66" t="s">
        <v>2204</v>
      </c>
      <c r="AA94" s="163" t="s">
        <v>423</v>
      </c>
    </row>
    <row r="95" spans="1:27">
      <c r="A95" t="s">
        <v>1284</v>
      </c>
      <c r="B95" t="s">
        <v>614</v>
      </c>
      <c r="D95" s="83" t="s">
        <v>1487</v>
      </c>
      <c r="E95" s="4" t="s">
        <v>1257</v>
      </c>
      <c r="F95" t="str">
        <f t="shared" si="2"/>
        <v>GBP - Isle of Man</v>
      </c>
      <c r="G95" t="s">
        <v>1744</v>
      </c>
      <c r="J95" s="240" t="s">
        <v>2203</v>
      </c>
      <c r="K95" s="66" t="s">
        <v>2204</v>
      </c>
      <c r="L95" s="163" t="s">
        <v>423</v>
      </c>
      <c r="M95" s="4" t="str">
        <f t="shared" si="3"/>
        <v>ER4 - EMB-145 Amazon</v>
      </c>
      <c r="N95" s="87"/>
      <c r="Y95" s="145" t="s">
        <v>1057</v>
      </c>
      <c r="Z95" s="66" t="s">
        <v>1057</v>
      </c>
      <c r="AA95" s="163" t="s">
        <v>424</v>
      </c>
    </row>
    <row r="96" spans="1:27">
      <c r="A96" t="s">
        <v>615</v>
      </c>
      <c r="B96" t="s">
        <v>616</v>
      </c>
      <c r="D96" s="83" t="s">
        <v>2021</v>
      </c>
      <c r="E96" t="s">
        <v>1183</v>
      </c>
      <c r="F96" t="str">
        <f t="shared" si="2"/>
        <v>ILS - Israel</v>
      </c>
      <c r="G96" t="s">
        <v>345</v>
      </c>
      <c r="H96" s="4"/>
      <c r="J96" s="145" t="s">
        <v>1057</v>
      </c>
      <c r="K96" s="66" t="s">
        <v>1057</v>
      </c>
      <c r="L96" s="163" t="s">
        <v>424</v>
      </c>
      <c r="M96" s="4" t="str">
        <f t="shared" si="3"/>
        <v>E70 - EMB-170</v>
      </c>
      <c r="N96" s="88"/>
      <c r="Y96" s="145" t="s">
        <v>1058</v>
      </c>
      <c r="Z96" s="66" t="s">
        <v>1058</v>
      </c>
      <c r="AA96" s="163" t="s">
        <v>425</v>
      </c>
    </row>
    <row r="97" spans="1:27">
      <c r="A97" t="s">
        <v>617</v>
      </c>
      <c r="B97" t="s">
        <v>1399</v>
      </c>
      <c r="D97" s="83" t="s">
        <v>1488</v>
      </c>
      <c r="E97" t="s">
        <v>1123</v>
      </c>
      <c r="F97" t="str">
        <f t="shared" si="2"/>
        <v>EUR - Italy</v>
      </c>
      <c r="G97" t="s">
        <v>346</v>
      </c>
      <c r="J97" s="145" t="s">
        <v>1058</v>
      </c>
      <c r="K97" s="66" t="s">
        <v>1058</v>
      </c>
      <c r="L97" s="163" t="s">
        <v>425</v>
      </c>
      <c r="M97" s="4" t="str">
        <f t="shared" si="3"/>
        <v>E90 - EMB-190</v>
      </c>
      <c r="N97" s="87"/>
      <c r="Y97" s="145" t="s">
        <v>2242</v>
      </c>
      <c r="Z97" s="297" t="s">
        <v>2242</v>
      </c>
      <c r="AA97" s="296" t="s">
        <v>2241</v>
      </c>
    </row>
    <row r="98" spans="1:27">
      <c r="A98" t="s">
        <v>1900</v>
      </c>
      <c r="B98" t="s">
        <v>1400</v>
      </c>
      <c r="D98" s="83" t="s">
        <v>2022</v>
      </c>
      <c r="E98" t="s">
        <v>1184</v>
      </c>
      <c r="F98" t="str">
        <f t="shared" si="2"/>
        <v>JMD - Jamaica</v>
      </c>
      <c r="G98" t="s">
        <v>347</v>
      </c>
      <c r="J98" s="146" t="s">
        <v>2153</v>
      </c>
      <c r="K98" s="162" t="s">
        <v>1099</v>
      </c>
      <c r="L98" s="162" t="s">
        <v>1891</v>
      </c>
      <c r="M98" s="4" t="str">
        <f t="shared" si="3"/>
        <v>F27 - F27/Fh 227 (All Series)</v>
      </c>
      <c r="N98" s="87"/>
      <c r="Y98" s="146" t="s">
        <v>2153</v>
      </c>
      <c r="Z98" s="162" t="s">
        <v>1099</v>
      </c>
      <c r="AA98" s="162" t="s">
        <v>1891</v>
      </c>
    </row>
    <row r="99" spans="1:27">
      <c r="A99" t="s">
        <v>1285</v>
      </c>
      <c r="B99" t="s">
        <v>1401</v>
      </c>
      <c r="D99" s="83" t="s">
        <v>2023</v>
      </c>
      <c r="E99" t="s">
        <v>1185</v>
      </c>
      <c r="F99" t="str">
        <f t="shared" si="2"/>
        <v>JPY - Japan</v>
      </c>
      <c r="G99" t="s">
        <v>1745</v>
      </c>
      <c r="J99" s="145" t="s">
        <v>426</v>
      </c>
      <c r="K99" s="162" t="s">
        <v>426</v>
      </c>
      <c r="L99" s="162" t="s">
        <v>426</v>
      </c>
      <c r="M99" s="4" t="str">
        <f t="shared" si="3"/>
        <v>F50 - F50</v>
      </c>
      <c r="N99" s="87"/>
      <c r="Y99" s="145" t="s">
        <v>426</v>
      </c>
      <c r="Z99" s="162" t="s">
        <v>426</v>
      </c>
      <c r="AA99" s="162" t="s">
        <v>426</v>
      </c>
    </row>
    <row r="100" spans="1:27">
      <c r="A100" t="s">
        <v>1901</v>
      </c>
      <c r="B100" t="s">
        <v>1902</v>
      </c>
      <c r="D100" s="83" t="s">
        <v>1489</v>
      </c>
      <c r="E100" t="s">
        <v>1257</v>
      </c>
      <c r="F100" t="str">
        <f t="shared" si="2"/>
        <v>GBP - Jersey</v>
      </c>
      <c r="G100" t="s">
        <v>348</v>
      </c>
      <c r="J100" s="145" t="s">
        <v>1890</v>
      </c>
      <c r="K100" s="162" t="s">
        <v>1890</v>
      </c>
      <c r="L100" s="162" t="s">
        <v>1890</v>
      </c>
      <c r="M100" s="4" t="str">
        <f t="shared" si="3"/>
        <v>F28 - F28</v>
      </c>
      <c r="N100" s="87"/>
      <c r="Y100" s="145" t="s">
        <v>1890</v>
      </c>
      <c r="Z100" s="162" t="s">
        <v>1890</v>
      </c>
      <c r="AA100" s="162" t="s">
        <v>1890</v>
      </c>
    </row>
    <row r="101" spans="1:27">
      <c r="A101" t="s">
        <v>1903</v>
      </c>
      <c r="B101" t="s">
        <v>1402</v>
      </c>
      <c r="D101" s="83" t="s">
        <v>1490</v>
      </c>
      <c r="E101" t="s">
        <v>1186</v>
      </c>
      <c r="F101" t="str">
        <f t="shared" si="2"/>
        <v>JOD - Jordan</v>
      </c>
      <c r="G101" t="s">
        <v>349</v>
      </c>
      <c r="J101" s="145" t="s">
        <v>427</v>
      </c>
      <c r="K101" s="162" t="s">
        <v>427</v>
      </c>
      <c r="L101" s="162" t="s">
        <v>427</v>
      </c>
      <c r="M101" s="4" t="str">
        <f t="shared" si="3"/>
        <v>F70 - F70</v>
      </c>
      <c r="N101" s="87"/>
      <c r="Y101" s="145" t="s">
        <v>427</v>
      </c>
      <c r="Z101" s="162" t="s">
        <v>427</v>
      </c>
      <c r="AA101" s="162" t="s">
        <v>427</v>
      </c>
    </row>
    <row r="102" spans="1:27">
      <c r="A102" t="s">
        <v>1904</v>
      </c>
      <c r="B102" t="s">
        <v>1403</v>
      </c>
      <c r="D102" s="83" t="s">
        <v>2024</v>
      </c>
      <c r="E102" t="s">
        <v>1187</v>
      </c>
      <c r="F102" t="str">
        <f t="shared" si="2"/>
        <v>KZT - Kazakhstan</v>
      </c>
      <c r="G102" t="s">
        <v>350</v>
      </c>
      <c r="J102" s="145" t="s">
        <v>1098</v>
      </c>
      <c r="K102" s="162" t="s">
        <v>1098</v>
      </c>
      <c r="L102" s="162">
        <v>100</v>
      </c>
      <c r="M102" s="4" t="str">
        <f t="shared" si="3"/>
        <v>100 - F100</v>
      </c>
      <c r="N102" s="87"/>
      <c r="Y102" s="145" t="s">
        <v>1098</v>
      </c>
      <c r="Z102" s="162" t="s">
        <v>1098</v>
      </c>
      <c r="AA102" s="162">
        <v>100</v>
      </c>
    </row>
    <row r="103" spans="1:27">
      <c r="A103" t="s">
        <v>1905</v>
      </c>
      <c r="B103" t="s">
        <v>1906</v>
      </c>
      <c r="D103" s="83" t="s">
        <v>2025</v>
      </c>
      <c r="E103" t="s">
        <v>1188</v>
      </c>
      <c r="F103" t="str">
        <f t="shared" si="2"/>
        <v>KES - Kenya</v>
      </c>
      <c r="G103" t="s">
        <v>351</v>
      </c>
      <c r="J103" s="145" t="s">
        <v>1101</v>
      </c>
      <c r="K103" s="161" t="s">
        <v>1101</v>
      </c>
      <c r="L103" s="162" t="s">
        <v>428</v>
      </c>
      <c r="M103" s="4" t="str">
        <f t="shared" si="3"/>
        <v>IL6 - Il 62</v>
      </c>
      <c r="Y103" s="145" t="s">
        <v>1101</v>
      </c>
      <c r="Z103" s="161" t="s">
        <v>1101</v>
      </c>
      <c r="AA103" s="162" t="s">
        <v>428</v>
      </c>
    </row>
    <row r="104" spans="1:27">
      <c r="A104" t="s">
        <v>1907</v>
      </c>
      <c r="B104" t="s">
        <v>1908</v>
      </c>
      <c r="D104" s="83" t="s">
        <v>2026</v>
      </c>
      <c r="E104" t="s">
        <v>1122</v>
      </c>
      <c r="F104" t="str">
        <f t="shared" si="2"/>
        <v>AUD - Kiribati</v>
      </c>
      <c r="G104" t="s">
        <v>1746</v>
      </c>
      <c r="J104" s="145" t="s">
        <v>1102</v>
      </c>
      <c r="K104" s="161" t="s">
        <v>1102</v>
      </c>
      <c r="L104" s="162" t="s">
        <v>429</v>
      </c>
      <c r="M104" s="4" t="str">
        <f t="shared" si="3"/>
        <v>IL7 - Il 76</v>
      </c>
      <c r="Y104" s="145" t="s">
        <v>1102</v>
      </c>
      <c r="Z104" s="161" t="s">
        <v>1102</v>
      </c>
      <c r="AA104" s="162" t="s">
        <v>429</v>
      </c>
    </row>
    <row r="105" spans="1:27">
      <c r="A105" t="s">
        <v>1909</v>
      </c>
      <c r="B105" t="s">
        <v>1404</v>
      </c>
      <c r="D105" s="83" t="s">
        <v>1491</v>
      </c>
      <c r="E105" t="s">
        <v>1190</v>
      </c>
      <c r="F105" t="str">
        <f t="shared" si="2"/>
        <v>KWD - Kuwait</v>
      </c>
      <c r="G105" t="s">
        <v>1747</v>
      </c>
      <c r="J105" s="146" t="s">
        <v>2154</v>
      </c>
      <c r="K105" s="161" t="s">
        <v>1100</v>
      </c>
      <c r="L105" s="162" t="s">
        <v>430</v>
      </c>
      <c r="M105" s="4" t="str">
        <f t="shared" si="3"/>
        <v>L10 - L 1011 (All Series)</v>
      </c>
      <c r="Y105" s="146" t="s">
        <v>2154</v>
      </c>
      <c r="Z105" s="161" t="s">
        <v>1100</v>
      </c>
      <c r="AA105" s="162" t="s">
        <v>430</v>
      </c>
    </row>
    <row r="106" spans="1:27">
      <c r="A106" t="s">
        <v>13</v>
      </c>
      <c r="B106" t="s">
        <v>1405</v>
      </c>
      <c r="D106" s="83" t="s">
        <v>2027</v>
      </c>
      <c r="E106" t="s">
        <v>1191</v>
      </c>
      <c r="F106" t="str">
        <f t="shared" si="2"/>
        <v>KGS - Kyrgyz Republic</v>
      </c>
      <c r="G106" t="s">
        <v>1748</v>
      </c>
      <c r="J106" s="146" t="s">
        <v>2155</v>
      </c>
      <c r="K106" s="161" t="s">
        <v>1062</v>
      </c>
      <c r="L106" s="162" t="s">
        <v>431</v>
      </c>
      <c r="M106" s="4" t="str">
        <f t="shared" si="3"/>
        <v>D3F - DC-3 Freighter</v>
      </c>
      <c r="Y106" s="146" t="s">
        <v>2155</v>
      </c>
      <c r="Z106" s="161" t="s">
        <v>1062</v>
      </c>
      <c r="AA106" s="162" t="s">
        <v>431</v>
      </c>
    </row>
    <row r="107" spans="1:27">
      <c r="A107" t="s">
        <v>14</v>
      </c>
      <c r="B107" t="s">
        <v>1406</v>
      </c>
      <c r="D107" s="83" t="s">
        <v>1492</v>
      </c>
      <c r="E107" t="s">
        <v>1192</v>
      </c>
      <c r="F107" t="str">
        <f t="shared" si="2"/>
        <v>LAK - Lao People's Dem.Rep</v>
      </c>
      <c r="G107" t="s">
        <v>1749</v>
      </c>
      <c r="J107" s="146" t="s">
        <v>2156</v>
      </c>
      <c r="K107" s="161" t="s">
        <v>1063</v>
      </c>
      <c r="L107" s="162" t="s">
        <v>432</v>
      </c>
      <c r="M107" s="4" t="str">
        <f t="shared" si="3"/>
        <v>DC3 - DC-3 Passenger</v>
      </c>
      <c r="Y107" s="146" t="s">
        <v>2156</v>
      </c>
      <c r="Z107" s="161" t="s">
        <v>1063</v>
      </c>
      <c r="AA107" s="162" t="s">
        <v>432</v>
      </c>
    </row>
    <row r="108" spans="1:27">
      <c r="A108" t="s">
        <v>15</v>
      </c>
      <c r="B108" t="s">
        <v>1407</v>
      </c>
      <c r="D108" s="83" t="s">
        <v>2028</v>
      </c>
      <c r="E108" t="s">
        <v>1193</v>
      </c>
      <c r="F108" t="str">
        <f t="shared" si="2"/>
        <v>LVL - Latvia</v>
      </c>
      <c r="G108" t="s">
        <v>352</v>
      </c>
      <c r="J108" s="146" t="s">
        <v>2157</v>
      </c>
      <c r="K108" s="161" t="s">
        <v>1060</v>
      </c>
      <c r="L108" s="162" t="s">
        <v>433</v>
      </c>
      <c r="M108" s="4" t="str">
        <f t="shared" si="3"/>
        <v>DC6 - DC-6A/B Passenger</v>
      </c>
      <c r="Y108" s="146" t="s">
        <v>2157</v>
      </c>
      <c r="Z108" s="161" t="s">
        <v>1060</v>
      </c>
      <c r="AA108" s="162" t="s">
        <v>433</v>
      </c>
    </row>
    <row r="109" spans="1:27">
      <c r="A109" t="s">
        <v>16</v>
      </c>
      <c r="B109" t="s">
        <v>17</v>
      </c>
      <c r="D109" s="83" t="s">
        <v>2029</v>
      </c>
      <c r="E109" t="s">
        <v>1194</v>
      </c>
      <c r="F109" t="str">
        <f t="shared" si="2"/>
        <v>LBP - Lebanon</v>
      </c>
      <c r="G109" t="s">
        <v>353</v>
      </c>
      <c r="J109" s="146" t="s">
        <v>2158</v>
      </c>
      <c r="K109" s="161" t="s">
        <v>1061</v>
      </c>
      <c r="L109" s="162" t="s">
        <v>434</v>
      </c>
      <c r="M109" s="4" t="str">
        <f t="shared" si="3"/>
        <v>D6F - DC-6A/B/C Freighter</v>
      </c>
      <c r="Y109" s="146" t="s">
        <v>2158</v>
      </c>
      <c r="Z109" s="161" t="s">
        <v>1061</v>
      </c>
      <c r="AA109" s="162" t="s">
        <v>434</v>
      </c>
    </row>
    <row r="110" spans="1:27">
      <c r="A110" t="s">
        <v>18</v>
      </c>
      <c r="B110" t="s">
        <v>19</v>
      </c>
      <c r="D110" s="83" t="s">
        <v>2030</v>
      </c>
      <c r="E110" t="s">
        <v>1195</v>
      </c>
      <c r="F110" t="str">
        <f t="shared" si="2"/>
        <v>LSL - Lesotho</v>
      </c>
      <c r="G110" t="s">
        <v>1750</v>
      </c>
      <c r="J110" s="146" t="s">
        <v>2159</v>
      </c>
      <c r="K110" s="161" t="s">
        <v>1092</v>
      </c>
      <c r="L110" s="162" t="s">
        <v>435</v>
      </c>
      <c r="M110" s="4" t="str">
        <f t="shared" si="3"/>
        <v>D8F - DC 8 Freighter (All Series)</v>
      </c>
      <c r="Y110" s="146" t="s">
        <v>2159</v>
      </c>
      <c r="Z110" s="161" t="s">
        <v>1092</v>
      </c>
      <c r="AA110" s="162" t="s">
        <v>435</v>
      </c>
    </row>
    <row r="111" spans="1:27">
      <c r="A111" t="s">
        <v>1408</v>
      </c>
      <c r="B111" t="s">
        <v>1409</v>
      </c>
      <c r="D111" s="83" t="s">
        <v>2031</v>
      </c>
      <c r="E111" t="s">
        <v>1196</v>
      </c>
      <c r="F111" t="str">
        <f t="shared" si="2"/>
        <v>LRD - Liberia</v>
      </c>
      <c r="G111" t="s">
        <v>1751</v>
      </c>
      <c r="J111" s="146" t="s">
        <v>2160</v>
      </c>
      <c r="K111" s="161" t="s">
        <v>1093</v>
      </c>
      <c r="L111" s="162" t="s">
        <v>436</v>
      </c>
      <c r="M111" s="4" t="str">
        <f t="shared" si="3"/>
        <v>DC8 - DC 8 Passenger (All Series)</v>
      </c>
      <c r="Y111" s="146" t="s">
        <v>2160</v>
      </c>
      <c r="Z111" s="161" t="s">
        <v>1093</v>
      </c>
      <c r="AA111" s="162" t="s">
        <v>436</v>
      </c>
    </row>
    <row r="112" spans="1:27">
      <c r="A112" t="s">
        <v>20</v>
      </c>
      <c r="B112" t="s">
        <v>21</v>
      </c>
      <c r="D112" s="83" t="s">
        <v>2032</v>
      </c>
      <c r="E112" t="s">
        <v>1197</v>
      </c>
      <c r="F112" t="str">
        <f t="shared" si="2"/>
        <v>LYD - Libya</v>
      </c>
      <c r="G112" t="s">
        <v>354</v>
      </c>
      <c r="J112" s="145" t="s">
        <v>1064</v>
      </c>
      <c r="K112" s="161" t="s">
        <v>1064</v>
      </c>
      <c r="L112" s="162" t="s">
        <v>437</v>
      </c>
      <c r="M112" s="4" t="str">
        <f t="shared" si="3"/>
        <v>D85 - DC 8 50</v>
      </c>
      <c r="Y112" s="145" t="s">
        <v>1064</v>
      </c>
      <c r="Z112" s="161" t="s">
        <v>1064</v>
      </c>
      <c r="AA112" s="162" t="s">
        <v>437</v>
      </c>
    </row>
    <row r="113" spans="1:27">
      <c r="A113" t="s">
        <v>22</v>
      </c>
      <c r="B113" t="s">
        <v>23</v>
      </c>
      <c r="D113" s="83" t="s">
        <v>2033</v>
      </c>
      <c r="E113" t="s">
        <v>1198</v>
      </c>
      <c r="F113" t="str">
        <f t="shared" si="2"/>
        <v>LTL - Lithuania</v>
      </c>
      <c r="G113" t="s">
        <v>355</v>
      </c>
      <c r="J113" s="145" t="s">
        <v>1065</v>
      </c>
      <c r="K113" s="161" t="s">
        <v>1065</v>
      </c>
      <c r="L113" s="162" t="s">
        <v>438</v>
      </c>
      <c r="M113" s="4" t="str">
        <f t="shared" si="3"/>
        <v>D86 - DC 8 61</v>
      </c>
      <c r="Y113" s="145" t="s">
        <v>1065</v>
      </c>
      <c r="Z113" s="161" t="s">
        <v>1065</v>
      </c>
      <c r="AA113" s="162" t="s">
        <v>438</v>
      </c>
    </row>
    <row r="114" spans="1:27">
      <c r="A114" t="s">
        <v>24</v>
      </c>
      <c r="B114" t="s">
        <v>1410</v>
      </c>
      <c r="D114" s="83" t="s">
        <v>1493</v>
      </c>
      <c r="E114" t="s">
        <v>1123</v>
      </c>
      <c r="F114" t="str">
        <f t="shared" si="2"/>
        <v>EUR - Luxembourg</v>
      </c>
      <c r="G114" t="s">
        <v>356</v>
      </c>
      <c r="J114" s="145" t="s">
        <v>1066</v>
      </c>
      <c r="K114" s="161" t="s">
        <v>1066</v>
      </c>
      <c r="L114" s="162" t="s">
        <v>439</v>
      </c>
      <c r="M114" s="4" t="str">
        <f t="shared" si="3"/>
        <v>D8L - DC 8 62</v>
      </c>
      <c r="Y114" s="145" t="s">
        <v>1066</v>
      </c>
      <c r="Z114" s="161" t="s">
        <v>1066</v>
      </c>
      <c r="AA114" s="162" t="s">
        <v>439</v>
      </c>
    </row>
    <row r="115" spans="1:27">
      <c r="A115" t="s">
        <v>25</v>
      </c>
      <c r="B115" t="s">
        <v>1411</v>
      </c>
      <c r="D115" s="83" t="s">
        <v>1494</v>
      </c>
      <c r="E115" t="s">
        <v>1200</v>
      </c>
      <c r="F115" t="str">
        <f t="shared" si="2"/>
        <v>MKD - Macedonia, FYR</v>
      </c>
      <c r="G115" t="s">
        <v>1752</v>
      </c>
      <c r="J115" s="145" t="s">
        <v>1067</v>
      </c>
      <c r="K115" s="161" t="s">
        <v>1067</v>
      </c>
      <c r="L115" s="162" t="s">
        <v>440</v>
      </c>
      <c r="M115" s="4" t="str">
        <f t="shared" si="3"/>
        <v>D8A - DC 8 63</v>
      </c>
      <c r="Y115" s="145" t="s">
        <v>1067</v>
      </c>
      <c r="Z115" s="161" t="s">
        <v>1067</v>
      </c>
      <c r="AA115" s="162" t="s">
        <v>440</v>
      </c>
    </row>
    <row r="116" spans="1:27">
      <c r="A116" t="s">
        <v>26</v>
      </c>
      <c r="B116" t="s">
        <v>27</v>
      </c>
      <c r="D116" s="83" t="s">
        <v>1495</v>
      </c>
      <c r="E116" t="s">
        <v>1201</v>
      </c>
      <c r="F116" t="str">
        <f t="shared" si="2"/>
        <v>MGA - Madagascar</v>
      </c>
      <c r="G116" t="s">
        <v>357</v>
      </c>
      <c r="J116" s="145" t="s">
        <v>1068</v>
      </c>
      <c r="K116" s="161" t="s">
        <v>1068</v>
      </c>
      <c r="L116" s="162" t="s">
        <v>441</v>
      </c>
      <c r="M116" s="4" t="str">
        <f t="shared" si="3"/>
        <v>D87 - DC 8 71</v>
      </c>
      <c r="Y116" s="145" t="s">
        <v>1068</v>
      </c>
      <c r="Z116" s="161" t="s">
        <v>1068</v>
      </c>
      <c r="AA116" s="162" t="s">
        <v>441</v>
      </c>
    </row>
    <row r="117" spans="1:27">
      <c r="A117" t="s">
        <v>28</v>
      </c>
      <c r="B117" t="s">
        <v>29</v>
      </c>
      <c r="D117" s="83" t="s">
        <v>2034</v>
      </c>
      <c r="E117" t="s">
        <v>1202</v>
      </c>
      <c r="F117" t="str">
        <f t="shared" si="2"/>
        <v>MWK - Malawi</v>
      </c>
      <c r="G117" t="s">
        <v>358</v>
      </c>
      <c r="J117" s="145" t="s">
        <v>1069</v>
      </c>
      <c r="K117" s="161" t="s">
        <v>1069</v>
      </c>
      <c r="L117" s="162" t="s">
        <v>442</v>
      </c>
      <c r="M117" s="4" t="str">
        <f t="shared" si="3"/>
        <v>D8Q - DC 8 72</v>
      </c>
      <c r="Y117" s="145" t="s">
        <v>1069</v>
      </c>
      <c r="Z117" s="161" t="s">
        <v>1069</v>
      </c>
      <c r="AA117" s="162" t="s">
        <v>442</v>
      </c>
    </row>
    <row r="118" spans="1:27">
      <c r="A118" t="s">
        <v>30</v>
      </c>
      <c r="B118" t="s">
        <v>31</v>
      </c>
      <c r="D118" s="83" t="s">
        <v>2035</v>
      </c>
      <c r="E118" t="s">
        <v>1203</v>
      </c>
      <c r="F118" t="str">
        <f t="shared" si="2"/>
        <v>MYR - Malaysia</v>
      </c>
      <c r="G118" t="s">
        <v>359</v>
      </c>
      <c r="J118" s="145" t="s">
        <v>1070</v>
      </c>
      <c r="K118" s="161" t="s">
        <v>1070</v>
      </c>
      <c r="L118" s="162" t="s">
        <v>443</v>
      </c>
      <c r="M118" s="4" t="str">
        <f t="shared" si="3"/>
        <v>D8B - DC 8 73</v>
      </c>
      <c r="Y118" s="145" t="s">
        <v>1070</v>
      </c>
      <c r="Z118" s="161" t="s">
        <v>1070</v>
      </c>
      <c r="AA118" s="162" t="s">
        <v>443</v>
      </c>
    </row>
    <row r="119" spans="1:27">
      <c r="A119" t="s">
        <v>32</v>
      </c>
      <c r="B119" t="s">
        <v>33</v>
      </c>
      <c r="D119" s="83" t="s">
        <v>2036</v>
      </c>
      <c r="E119" t="s">
        <v>1204</v>
      </c>
      <c r="F119" t="str">
        <f t="shared" si="2"/>
        <v>MVR - Maldives</v>
      </c>
      <c r="G119" t="s">
        <v>360</v>
      </c>
      <c r="J119" s="146" t="s">
        <v>2161</v>
      </c>
      <c r="K119" s="161" t="s">
        <v>1071</v>
      </c>
      <c r="L119" s="162" t="s">
        <v>939</v>
      </c>
      <c r="M119" s="4" t="str">
        <f t="shared" si="3"/>
        <v>D9F - DC 9 Freighter (All Series)</v>
      </c>
      <c r="Y119" s="146" t="s">
        <v>2161</v>
      </c>
      <c r="Z119" s="161" t="s">
        <v>1071</v>
      </c>
      <c r="AA119" s="162" t="s">
        <v>939</v>
      </c>
    </row>
    <row r="120" spans="1:27">
      <c r="A120" t="s">
        <v>34</v>
      </c>
      <c r="B120" t="s">
        <v>35</v>
      </c>
      <c r="D120" s="83" t="s">
        <v>2037</v>
      </c>
      <c r="E120" t="s">
        <v>1130</v>
      </c>
      <c r="F120" t="str">
        <f t="shared" si="2"/>
        <v>XOF - Mali</v>
      </c>
      <c r="G120" t="s">
        <v>361</v>
      </c>
      <c r="J120" s="146" t="s">
        <v>2162</v>
      </c>
      <c r="K120" s="161" t="s">
        <v>1072</v>
      </c>
      <c r="L120" s="162" t="s">
        <v>940</v>
      </c>
      <c r="M120" s="4" t="str">
        <f t="shared" si="3"/>
        <v>DC9 - DC 9 Passenger (All Series)</v>
      </c>
      <c r="Y120" s="146" t="s">
        <v>2162</v>
      </c>
      <c r="Z120" s="161" t="s">
        <v>1072</v>
      </c>
      <c r="AA120" s="162" t="s">
        <v>940</v>
      </c>
    </row>
    <row r="121" spans="1:27">
      <c r="A121" t="s">
        <v>36</v>
      </c>
      <c r="B121" t="s">
        <v>1412</v>
      </c>
      <c r="D121" s="83" t="s">
        <v>2038</v>
      </c>
      <c r="E121" t="s">
        <v>1123</v>
      </c>
      <c r="F121" t="str">
        <f t="shared" si="2"/>
        <v>EUR - Malta</v>
      </c>
      <c r="G121" t="s">
        <v>1753</v>
      </c>
      <c r="J121" s="145" t="s">
        <v>1073</v>
      </c>
      <c r="K121" s="161" t="s">
        <v>1073</v>
      </c>
      <c r="L121" s="162" t="s">
        <v>941</v>
      </c>
      <c r="M121" s="4" t="str">
        <f t="shared" si="3"/>
        <v>D91 - DC 9 10</v>
      </c>
      <c r="Y121" s="145" t="s">
        <v>1073</v>
      </c>
      <c r="Z121" s="161" t="s">
        <v>1073</v>
      </c>
      <c r="AA121" s="162" t="s">
        <v>941</v>
      </c>
    </row>
    <row r="122" spans="1:27">
      <c r="A122" t="s">
        <v>37</v>
      </c>
      <c r="B122" t="s">
        <v>1413</v>
      </c>
      <c r="D122" s="83" t="s">
        <v>1496</v>
      </c>
      <c r="E122" t="s">
        <v>1161</v>
      </c>
      <c r="F122" t="str">
        <f t="shared" si="2"/>
        <v>USD - Marshall Islands,Rep</v>
      </c>
      <c r="G122" t="s">
        <v>362</v>
      </c>
      <c r="J122" s="145" t="s">
        <v>1074</v>
      </c>
      <c r="K122" s="161" t="s">
        <v>1074</v>
      </c>
      <c r="L122" s="162" t="s">
        <v>942</v>
      </c>
      <c r="M122" s="4" t="str">
        <f t="shared" si="3"/>
        <v>D92 - DC-9-20</v>
      </c>
      <c r="Y122" s="145" t="s">
        <v>1074</v>
      </c>
      <c r="Z122" s="161" t="s">
        <v>1074</v>
      </c>
      <c r="AA122" s="162" t="s">
        <v>942</v>
      </c>
    </row>
    <row r="123" spans="1:27">
      <c r="A123" t="s">
        <v>38</v>
      </c>
      <c r="B123" t="s">
        <v>1414</v>
      </c>
      <c r="D123" s="83" t="s">
        <v>1497</v>
      </c>
      <c r="E123" t="s">
        <v>1123</v>
      </c>
      <c r="F123" t="str">
        <f t="shared" si="2"/>
        <v>EUR - Martinique</v>
      </c>
      <c r="G123" t="s">
        <v>1754</v>
      </c>
      <c r="J123" s="145" t="s">
        <v>1075</v>
      </c>
      <c r="K123" s="161" t="s">
        <v>1075</v>
      </c>
      <c r="L123" s="162" t="s">
        <v>943</v>
      </c>
      <c r="M123" s="4" t="str">
        <f t="shared" si="3"/>
        <v>D93 - DC-9-30</v>
      </c>
      <c r="Y123" s="145" t="s">
        <v>1075</v>
      </c>
      <c r="Z123" s="161" t="s">
        <v>1075</v>
      </c>
      <c r="AA123" s="162" t="s">
        <v>943</v>
      </c>
    </row>
    <row r="124" spans="1:27">
      <c r="A124" t="s">
        <v>39</v>
      </c>
      <c r="B124" t="s">
        <v>1415</v>
      </c>
      <c r="D124" s="83" t="s">
        <v>2039</v>
      </c>
      <c r="E124" t="s">
        <v>1205</v>
      </c>
      <c r="F124" t="str">
        <f t="shared" si="2"/>
        <v>MRO - Mauritania</v>
      </c>
      <c r="G124" t="s">
        <v>618</v>
      </c>
      <c r="J124" s="145" t="s">
        <v>1076</v>
      </c>
      <c r="K124" s="161" t="s">
        <v>1076</v>
      </c>
      <c r="L124" s="162" t="s">
        <v>944</v>
      </c>
      <c r="M124" s="4" t="str">
        <f t="shared" si="3"/>
        <v>D94 - DC-9-40</v>
      </c>
      <c r="Y124" s="145" t="s">
        <v>1076</v>
      </c>
      <c r="Z124" s="161" t="s">
        <v>1076</v>
      </c>
      <c r="AA124" s="162" t="s">
        <v>944</v>
      </c>
    </row>
    <row r="125" spans="1:27">
      <c r="A125" t="s">
        <v>40</v>
      </c>
      <c r="B125" t="s">
        <v>1416</v>
      </c>
      <c r="D125" s="83" t="s">
        <v>1498</v>
      </c>
      <c r="E125" t="s">
        <v>1206</v>
      </c>
      <c r="F125" t="str">
        <f t="shared" si="2"/>
        <v>MUR - Mauritius</v>
      </c>
      <c r="G125" t="s">
        <v>1755</v>
      </c>
      <c r="J125" s="145" t="s">
        <v>1077</v>
      </c>
      <c r="K125" s="161" t="s">
        <v>1077</v>
      </c>
      <c r="L125" s="162" t="s">
        <v>945</v>
      </c>
      <c r="M125" s="4" t="str">
        <f t="shared" si="3"/>
        <v>D95 - DC-9-50</v>
      </c>
      <c r="Y125" s="145" t="s">
        <v>1077</v>
      </c>
      <c r="Z125" s="161" t="s">
        <v>1077</v>
      </c>
      <c r="AA125" s="162" t="s">
        <v>945</v>
      </c>
    </row>
    <row r="126" spans="1:27">
      <c r="A126" t="s">
        <v>41</v>
      </c>
      <c r="B126" t="s">
        <v>42</v>
      </c>
      <c r="D126" s="83" t="s">
        <v>1499</v>
      </c>
      <c r="E126" t="s">
        <v>1207</v>
      </c>
      <c r="F126" t="str">
        <f t="shared" si="2"/>
        <v>MXN - Mexico</v>
      </c>
      <c r="G126" t="s">
        <v>619</v>
      </c>
      <c r="J126" s="146" t="s">
        <v>2163</v>
      </c>
      <c r="K126" s="161" t="s">
        <v>1078</v>
      </c>
      <c r="L126" s="162" t="s">
        <v>946</v>
      </c>
      <c r="M126" s="4" t="str">
        <f t="shared" si="3"/>
        <v xml:space="preserve">D1F - DC 10 Freighter (All Series) </v>
      </c>
      <c r="Y126" s="146" t="s">
        <v>2163</v>
      </c>
      <c r="Z126" s="161" t="s">
        <v>1078</v>
      </c>
      <c r="AA126" s="162" t="s">
        <v>946</v>
      </c>
    </row>
    <row r="127" spans="1:27">
      <c r="A127" t="s">
        <v>43</v>
      </c>
      <c r="B127" t="s">
        <v>44</v>
      </c>
      <c r="D127" s="83" t="s">
        <v>1500</v>
      </c>
      <c r="E127" t="s">
        <v>1161</v>
      </c>
      <c r="F127" t="str">
        <f t="shared" si="2"/>
        <v>USD - Micronesia, Fed.Sts.</v>
      </c>
      <c r="G127" t="s">
        <v>1756</v>
      </c>
      <c r="J127" s="241" t="s">
        <v>1079</v>
      </c>
      <c r="K127" s="161" t="s">
        <v>1079</v>
      </c>
      <c r="L127" s="162" t="s">
        <v>947</v>
      </c>
      <c r="M127" s="4" t="str">
        <f t="shared" si="3"/>
        <v>D1M - DC 10 Combi</v>
      </c>
      <c r="Y127" s="146" t="s">
        <v>2164</v>
      </c>
      <c r="Z127" s="161" t="s">
        <v>1080</v>
      </c>
      <c r="AA127" s="162" t="s">
        <v>948</v>
      </c>
    </row>
    <row r="128" spans="1:27">
      <c r="A128" t="s">
        <v>1417</v>
      </c>
      <c r="B128" t="s">
        <v>1418</v>
      </c>
      <c r="D128" s="83" t="s">
        <v>2040</v>
      </c>
      <c r="E128" t="s">
        <v>1208</v>
      </c>
      <c r="F128" t="str">
        <f t="shared" si="2"/>
        <v>MDL - Moldova</v>
      </c>
      <c r="G128" t="s">
        <v>620</v>
      </c>
      <c r="J128" s="146" t="s">
        <v>2164</v>
      </c>
      <c r="K128" s="161" t="s">
        <v>1080</v>
      </c>
      <c r="L128" s="162" t="s">
        <v>948</v>
      </c>
      <c r="M128" s="4" t="str">
        <f t="shared" si="3"/>
        <v>D10 - DC 10 Passenger (All Series)</v>
      </c>
      <c r="Y128" s="146" t="s">
        <v>2167</v>
      </c>
      <c r="Z128" s="161" t="s">
        <v>1083</v>
      </c>
      <c r="AA128" s="162" t="s">
        <v>951</v>
      </c>
    </row>
    <row r="129" spans="1:27">
      <c r="A129" t="s">
        <v>45</v>
      </c>
      <c r="B129" t="s">
        <v>46</v>
      </c>
      <c r="D129" s="83" t="s">
        <v>2041</v>
      </c>
      <c r="E129" t="s">
        <v>1209</v>
      </c>
      <c r="F129" t="str">
        <f t="shared" si="2"/>
        <v>MNT - Mongolia</v>
      </c>
      <c r="G129" t="s">
        <v>1757</v>
      </c>
      <c r="J129" s="239" t="s">
        <v>2165</v>
      </c>
      <c r="K129" s="161" t="s">
        <v>1081</v>
      </c>
      <c r="L129" s="162" t="s">
        <v>949</v>
      </c>
      <c r="M129" s="4" t="str">
        <f t="shared" si="3"/>
        <v>D11 - DC 10 10/15 Passenger</v>
      </c>
      <c r="Y129" s="146" t="s">
        <v>2168</v>
      </c>
      <c r="Z129" s="161" t="s">
        <v>1084</v>
      </c>
      <c r="AA129" s="162" t="s">
        <v>952</v>
      </c>
    </row>
    <row r="130" spans="1:27">
      <c r="A130" t="s">
        <v>47</v>
      </c>
      <c r="B130" t="s">
        <v>1419</v>
      </c>
      <c r="D130" s="83" t="s">
        <v>1501</v>
      </c>
      <c r="E130" t="s">
        <v>1123</v>
      </c>
      <c r="F130" t="str">
        <f t="shared" ref="F130:F193" si="4">E130&amp;" - "&amp;D130</f>
        <v>EUR - Montenegro, Rep. of</v>
      </c>
      <c r="G130" t="s">
        <v>1758</v>
      </c>
      <c r="J130" s="239" t="s">
        <v>2166</v>
      </c>
      <c r="K130" s="161" t="s">
        <v>1082</v>
      </c>
      <c r="L130" s="162" t="s">
        <v>950</v>
      </c>
      <c r="M130" s="4" t="str">
        <f t="shared" si="3"/>
        <v>D1C - DC 10 30/40 Passenger</v>
      </c>
      <c r="Y130" s="146" t="s">
        <v>2169</v>
      </c>
      <c r="Z130" s="161" t="s">
        <v>1085</v>
      </c>
      <c r="AA130" s="162" t="s">
        <v>953</v>
      </c>
    </row>
    <row r="131" spans="1:27">
      <c r="A131" t="s">
        <v>1420</v>
      </c>
      <c r="B131" t="s">
        <v>1421</v>
      </c>
      <c r="D131" s="83" t="s">
        <v>2042</v>
      </c>
      <c r="E131" t="s">
        <v>1118</v>
      </c>
      <c r="F131" t="str">
        <f t="shared" si="4"/>
        <v>XCD - Montserrat</v>
      </c>
      <c r="G131" t="s">
        <v>621</v>
      </c>
      <c r="J131" s="146" t="s">
        <v>2167</v>
      </c>
      <c r="K131" s="161" t="s">
        <v>1083</v>
      </c>
      <c r="L131" s="162" t="s">
        <v>951</v>
      </c>
      <c r="M131" s="4" t="str">
        <f t="shared" ref="M131:M151" si="5">L131&amp;" - "&amp;K131</f>
        <v>M11 - MD-11 Passenger (All series)</v>
      </c>
      <c r="Y131" s="145" t="s">
        <v>1086</v>
      </c>
      <c r="Z131" s="161" t="s">
        <v>1086</v>
      </c>
      <c r="AA131" s="162" t="s">
        <v>954</v>
      </c>
    </row>
    <row r="132" spans="1:27">
      <c r="A132" t="s">
        <v>1422</v>
      </c>
      <c r="B132" t="s">
        <v>1423</v>
      </c>
      <c r="D132" s="83" t="s">
        <v>2043</v>
      </c>
      <c r="E132" t="s">
        <v>1210</v>
      </c>
      <c r="F132" t="str">
        <f t="shared" si="4"/>
        <v>MAD - Morocco</v>
      </c>
      <c r="G132" t="s">
        <v>1759</v>
      </c>
      <c r="J132" s="146" t="s">
        <v>2168</v>
      </c>
      <c r="K132" s="161" t="s">
        <v>1084</v>
      </c>
      <c r="L132" s="162" t="s">
        <v>952</v>
      </c>
      <c r="M132" s="4" t="str">
        <f t="shared" si="5"/>
        <v>M1F - MD-11 Freighter</v>
      </c>
      <c r="Y132" s="145" t="s">
        <v>1087</v>
      </c>
      <c r="Z132" s="161" t="s">
        <v>1087</v>
      </c>
      <c r="AA132" s="162" t="s">
        <v>955</v>
      </c>
    </row>
    <row r="133" spans="1:27">
      <c r="A133" t="s">
        <v>48</v>
      </c>
      <c r="B133" t="s">
        <v>1424</v>
      </c>
      <c r="D133" s="83" t="s">
        <v>2044</v>
      </c>
      <c r="E133" t="s">
        <v>1211</v>
      </c>
      <c r="F133" t="str">
        <f t="shared" si="4"/>
        <v>MZN - Mozambique</v>
      </c>
      <c r="G133" t="s">
        <v>622</v>
      </c>
      <c r="J133" s="146" t="s">
        <v>2169</v>
      </c>
      <c r="K133" s="161" t="s">
        <v>1085</v>
      </c>
      <c r="L133" s="162" t="s">
        <v>953</v>
      </c>
      <c r="M133" s="4" t="str">
        <f t="shared" si="5"/>
        <v>M80 - MD-80 (All Series)</v>
      </c>
      <c r="Y133" s="145" t="s">
        <v>1088</v>
      </c>
      <c r="Z133" s="161" t="s">
        <v>1088</v>
      </c>
      <c r="AA133" s="162" t="s">
        <v>956</v>
      </c>
    </row>
    <row r="134" spans="1:27">
      <c r="A134" t="s">
        <v>49</v>
      </c>
      <c r="B134" t="s">
        <v>1425</v>
      </c>
      <c r="D134" s="83" t="s">
        <v>2045</v>
      </c>
      <c r="E134" t="s">
        <v>1212</v>
      </c>
      <c r="F134" t="str">
        <f t="shared" si="4"/>
        <v>MMK - Myanmar</v>
      </c>
      <c r="G134" t="s">
        <v>623</v>
      </c>
      <c r="J134" s="145" t="s">
        <v>1086</v>
      </c>
      <c r="K134" s="161" t="s">
        <v>1086</v>
      </c>
      <c r="L134" s="162" t="s">
        <v>954</v>
      </c>
      <c r="M134" s="4" t="str">
        <f t="shared" si="5"/>
        <v>M81 - MD 81</v>
      </c>
      <c r="Y134" s="145" t="s">
        <v>1089</v>
      </c>
      <c r="Z134" s="161" t="s">
        <v>1089</v>
      </c>
      <c r="AA134" s="162" t="s">
        <v>957</v>
      </c>
    </row>
    <row r="135" spans="1:27">
      <c r="A135" t="s">
        <v>50</v>
      </c>
      <c r="B135" t="s">
        <v>51</v>
      </c>
      <c r="D135" s="83" t="s">
        <v>2046</v>
      </c>
      <c r="E135" t="s">
        <v>1213</v>
      </c>
      <c r="F135" t="str">
        <f t="shared" si="4"/>
        <v>NAD - Namibia</v>
      </c>
      <c r="G135" t="s">
        <v>1760</v>
      </c>
      <c r="J135" s="145" t="s">
        <v>1087</v>
      </c>
      <c r="K135" s="161" t="s">
        <v>1087</v>
      </c>
      <c r="L135" s="162" t="s">
        <v>955</v>
      </c>
      <c r="M135" s="4" t="str">
        <f t="shared" si="5"/>
        <v>M82 - MD 82</v>
      </c>
      <c r="Y135" s="145" t="s">
        <v>1090</v>
      </c>
      <c r="Z135" s="161" t="s">
        <v>1090</v>
      </c>
      <c r="AA135" s="162" t="s">
        <v>958</v>
      </c>
    </row>
    <row r="136" spans="1:27">
      <c r="A136" t="s">
        <v>52</v>
      </c>
      <c r="B136" t="s">
        <v>53</v>
      </c>
      <c r="D136" s="83" t="s">
        <v>2047</v>
      </c>
      <c r="E136" t="s">
        <v>1122</v>
      </c>
      <c r="F136" t="str">
        <f t="shared" si="4"/>
        <v>AUD - Nauru</v>
      </c>
      <c r="G136" t="s">
        <v>624</v>
      </c>
      <c r="J136" s="145" t="s">
        <v>1088</v>
      </c>
      <c r="K136" s="161" t="s">
        <v>1088</v>
      </c>
      <c r="L136" s="162" t="s">
        <v>956</v>
      </c>
      <c r="M136" s="4" t="str">
        <f t="shared" si="5"/>
        <v>M83 - MD 83</v>
      </c>
      <c r="Y136" s="146" t="s">
        <v>2170</v>
      </c>
      <c r="Z136" s="161" t="s">
        <v>1091</v>
      </c>
      <c r="AA136" s="162" t="s">
        <v>959</v>
      </c>
    </row>
    <row r="137" spans="1:27">
      <c r="A137" t="s">
        <v>54</v>
      </c>
      <c r="B137" t="s">
        <v>55</v>
      </c>
      <c r="D137" s="83" t="s">
        <v>1502</v>
      </c>
      <c r="E137" t="s">
        <v>1214</v>
      </c>
      <c r="F137" t="str">
        <f t="shared" si="4"/>
        <v>NPR - Nepal</v>
      </c>
      <c r="G137" t="s">
        <v>1761</v>
      </c>
      <c r="J137" s="145" t="s">
        <v>1089</v>
      </c>
      <c r="K137" s="161" t="s">
        <v>1089</v>
      </c>
      <c r="L137" s="162" t="s">
        <v>957</v>
      </c>
      <c r="M137" s="4" t="str">
        <f t="shared" si="5"/>
        <v>M87 - MD-87</v>
      </c>
      <c r="Y137" s="145" t="s">
        <v>977</v>
      </c>
      <c r="Z137" s="161" t="s">
        <v>977</v>
      </c>
      <c r="AA137" s="162" t="s">
        <v>960</v>
      </c>
    </row>
    <row r="138" spans="1:27">
      <c r="A138" t="s">
        <v>56</v>
      </c>
      <c r="B138" t="s">
        <v>57</v>
      </c>
      <c r="D138" s="83" t="s">
        <v>1503</v>
      </c>
      <c r="E138" t="s">
        <v>1123</v>
      </c>
      <c r="F138" t="str">
        <f t="shared" si="4"/>
        <v>EUR - Netherlands</v>
      </c>
      <c r="G138" t="s">
        <v>625</v>
      </c>
      <c r="J138" s="145" t="s">
        <v>1090</v>
      </c>
      <c r="K138" s="161" t="s">
        <v>1090</v>
      </c>
      <c r="L138" s="162" t="s">
        <v>958</v>
      </c>
      <c r="M138" s="4" t="str">
        <f t="shared" si="5"/>
        <v>M88 - MD 88</v>
      </c>
      <c r="Y138" s="145" t="s">
        <v>978</v>
      </c>
      <c r="Z138" s="161" t="s">
        <v>978</v>
      </c>
      <c r="AA138" s="162" t="s">
        <v>961</v>
      </c>
    </row>
    <row r="139" spans="1:27">
      <c r="A139" t="s">
        <v>58</v>
      </c>
      <c r="B139" t="s">
        <v>1426</v>
      </c>
      <c r="D139" s="83" t="s">
        <v>1504</v>
      </c>
      <c r="E139" t="s">
        <v>1215</v>
      </c>
      <c r="F139" t="str">
        <f t="shared" si="4"/>
        <v>ANG - Netherlands Antilles</v>
      </c>
      <c r="G139" t="s">
        <v>626</v>
      </c>
      <c r="J139" s="146" t="s">
        <v>2170</v>
      </c>
      <c r="K139" s="161" t="s">
        <v>1091</v>
      </c>
      <c r="L139" s="162" t="s">
        <v>959</v>
      </c>
      <c r="M139" s="4" t="str">
        <f t="shared" si="5"/>
        <v>M90 - MD 90 Passenger (All Series)</v>
      </c>
      <c r="Y139" s="146" t="s">
        <v>2205</v>
      </c>
      <c r="Z139" s="66" t="s">
        <v>2206</v>
      </c>
      <c r="AA139" s="162" t="s">
        <v>962</v>
      </c>
    </row>
    <row r="140" spans="1:27">
      <c r="A140" t="s">
        <v>59</v>
      </c>
      <c r="B140" t="s">
        <v>1427</v>
      </c>
      <c r="D140" s="83" t="s">
        <v>1505</v>
      </c>
      <c r="E140" t="s">
        <v>1167</v>
      </c>
      <c r="F140" t="str">
        <f t="shared" si="4"/>
        <v>XPF - New Caledonia</v>
      </c>
      <c r="G140" t="s">
        <v>1762</v>
      </c>
      <c r="J140" s="145" t="s">
        <v>977</v>
      </c>
      <c r="K140" s="161" t="s">
        <v>977</v>
      </c>
      <c r="L140" s="162" t="s">
        <v>960</v>
      </c>
      <c r="M140" s="4" t="str">
        <f t="shared" si="5"/>
        <v>SF3 - Saab 340</v>
      </c>
      <c r="Y140" s="145" t="s">
        <v>1094</v>
      </c>
      <c r="Z140" s="161" t="s">
        <v>1094</v>
      </c>
      <c r="AA140" s="162" t="s">
        <v>963</v>
      </c>
    </row>
    <row r="141" spans="1:27">
      <c r="A141" t="s">
        <v>60</v>
      </c>
      <c r="B141" t="s">
        <v>1428</v>
      </c>
      <c r="D141" s="83" t="s">
        <v>2048</v>
      </c>
      <c r="E141" t="s">
        <v>1152</v>
      </c>
      <c r="F141" t="str">
        <f t="shared" si="4"/>
        <v>NZD - New Zealand</v>
      </c>
      <c r="G141" t="s">
        <v>627</v>
      </c>
      <c r="J141" s="145" t="s">
        <v>978</v>
      </c>
      <c r="K141" s="161" t="s">
        <v>978</v>
      </c>
      <c r="L141" s="162" t="s">
        <v>961</v>
      </c>
      <c r="M141" s="4" t="str">
        <f t="shared" si="5"/>
        <v>S20 - Saab 2000</v>
      </c>
      <c r="Y141" s="145" t="s">
        <v>1095</v>
      </c>
      <c r="Z141" s="161" t="s">
        <v>1095</v>
      </c>
      <c r="AA141" s="162" t="s">
        <v>964</v>
      </c>
    </row>
    <row r="142" spans="1:27">
      <c r="A142" t="s">
        <v>61</v>
      </c>
      <c r="B142" t="s">
        <v>1429</v>
      </c>
      <c r="D142" s="83" t="s">
        <v>2049</v>
      </c>
      <c r="E142" t="s">
        <v>1216</v>
      </c>
      <c r="F142" t="str">
        <f t="shared" si="4"/>
        <v>NIO - Nicaragua</v>
      </c>
      <c r="G142" t="s">
        <v>1763</v>
      </c>
      <c r="J142" s="146" t="s">
        <v>2205</v>
      </c>
      <c r="K142" s="66" t="s">
        <v>2206</v>
      </c>
      <c r="L142" s="162" t="s">
        <v>962</v>
      </c>
      <c r="M142" s="4" t="str">
        <f t="shared" si="5"/>
        <v>SH3 - Shorts 330/360</v>
      </c>
      <c r="Y142" s="145" t="s">
        <v>1096</v>
      </c>
      <c r="Z142" s="161" t="s">
        <v>1096</v>
      </c>
      <c r="AA142" s="162" t="s">
        <v>965</v>
      </c>
    </row>
    <row r="143" spans="1:27">
      <c r="A143" t="s">
        <v>62</v>
      </c>
      <c r="B143" t="s">
        <v>1430</v>
      </c>
      <c r="D143" s="83" t="s">
        <v>2050</v>
      </c>
      <c r="E143" t="s">
        <v>1130</v>
      </c>
      <c r="F143" t="str">
        <f t="shared" si="4"/>
        <v>XOF - Niger</v>
      </c>
      <c r="G143" t="s">
        <v>1764</v>
      </c>
      <c r="J143" s="145" t="s">
        <v>1094</v>
      </c>
      <c r="K143" s="161" t="s">
        <v>1094</v>
      </c>
      <c r="L143" s="162" t="s">
        <v>963</v>
      </c>
      <c r="M143" s="4" t="str">
        <f t="shared" si="5"/>
        <v>TU3 - Tu 134</v>
      </c>
      <c r="Y143" s="145" t="s">
        <v>1097</v>
      </c>
      <c r="Z143" s="161" t="s">
        <v>1097</v>
      </c>
      <c r="AA143" s="162" t="s">
        <v>966</v>
      </c>
    </row>
    <row r="144" spans="1:27">
      <c r="A144" t="s">
        <v>1286</v>
      </c>
      <c r="B144" t="s">
        <v>1431</v>
      </c>
      <c r="D144" s="83" t="s">
        <v>2051</v>
      </c>
      <c r="E144" t="s">
        <v>1217</v>
      </c>
      <c r="F144" t="str">
        <f t="shared" si="4"/>
        <v>NGN - Nigeria</v>
      </c>
      <c r="G144" t="s">
        <v>1765</v>
      </c>
      <c r="J144" s="145" t="s">
        <v>1095</v>
      </c>
      <c r="K144" s="161" t="s">
        <v>1095</v>
      </c>
      <c r="L144" s="162" t="s">
        <v>964</v>
      </c>
      <c r="M144" s="4" t="str">
        <f t="shared" si="5"/>
        <v>TU5 - Tu 154</v>
      </c>
      <c r="Y144" s="145" t="s">
        <v>980</v>
      </c>
      <c r="Z144" s="161" t="s">
        <v>980</v>
      </c>
      <c r="AA144" s="162" t="s">
        <v>968</v>
      </c>
    </row>
    <row r="145" spans="1:27">
      <c r="A145" t="s">
        <v>63</v>
      </c>
      <c r="B145" t="s">
        <v>1432</v>
      </c>
      <c r="D145" s="83" t="s">
        <v>1708</v>
      </c>
      <c r="E145" t="s">
        <v>1707</v>
      </c>
      <c r="F145" t="str">
        <f t="shared" si="4"/>
        <v>KPW - North Korea</v>
      </c>
      <c r="G145" t="s">
        <v>1766</v>
      </c>
      <c r="J145" s="145" t="s">
        <v>1096</v>
      </c>
      <c r="K145" s="161" t="s">
        <v>1096</v>
      </c>
      <c r="L145" s="162" t="s">
        <v>965</v>
      </c>
      <c r="M145" s="4" t="str">
        <f t="shared" si="5"/>
        <v>YK2 - Yak 42</v>
      </c>
      <c r="Y145" s="145" t="s">
        <v>981</v>
      </c>
      <c r="Z145" s="161" t="s">
        <v>981</v>
      </c>
      <c r="AA145" s="162" t="s">
        <v>969</v>
      </c>
    </row>
    <row r="146" spans="1:27">
      <c r="A146" t="s">
        <v>64</v>
      </c>
      <c r="B146" t="s">
        <v>1433</v>
      </c>
      <c r="D146" s="83" t="s">
        <v>1506</v>
      </c>
      <c r="E146" t="s">
        <v>1218</v>
      </c>
      <c r="F146" t="str">
        <f t="shared" si="4"/>
        <v>NOK - Norway</v>
      </c>
      <c r="G146" t="s">
        <v>628</v>
      </c>
      <c r="J146" s="145" t="s">
        <v>1097</v>
      </c>
      <c r="K146" s="161" t="s">
        <v>1097</v>
      </c>
      <c r="L146" s="162" t="s">
        <v>966</v>
      </c>
      <c r="M146" s="4" t="str">
        <f t="shared" si="5"/>
        <v>YK4 - Yak 40</v>
      </c>
      <c r="Y146" s="145" t="s">
        <v>982</v>
      </c>
      <c r="Z146" s="161" t="s">
        <v>982</v>
      </c>
      <c r="AA146" s="162" t="s">
        <v>970</v>
      </c>
    </row>
    <row r="147" spans="1:27">
      <c r="A147" t="s">
        <v>65</v>
      </c>
      <c r="B147" t="s">
        <v>1434</v>
      </c>
      <c r="D147" s="83" t="s">
        <v>2052</v>
      </c>
      <c r="E147" t="s">
        <v>1219</v>
      </c>
      <c r="F147" t="str">
        <f t="shared" si="4"/>
        <v>OMR - Oman</v>
      </c>
      <c r="G147" t="s">
        <v>629</v>
      </c>
      <c r="J147" s="241" t="s">
        <v>979</v>
      </c>
      <c r="K147" s="224" t="s">
        <v>979</v>
      </c>
      <c r="L147" s="162" t="s">
        <v>967</v>
      </c>
      <c r="M147" s="4" t="str">
        <f t="shared" si="5"/>
        <v>ZZZ - Joint Services/Blocked Space</v>
      </c>
      <c r="Y147" s="223" t="s">
        <v>2086</v>
      </c>
      <c r="Z147" s="220" t="s">
        <v>2086</v>
      </c>
      <c r="AA147" s="221" t="s">
        <v>2086</v>
      </c>
    </row>
    <row r="148" spans="1:27">
      <c r="A148" t="s">
        <v>66</v>
      </c>
      <c r="B148" t="s">
        <v>1435</v>
      </c>
      <c r="D148" s="83" t="s">
        <v>1507</v>
      </c>
      <c r="E148" t="s">
        <v>1220</v>
      </c>
      <c r="F148" t="str">
        <f t="shared" si="4"/>
        <v>PKR - Pakistan</v>
      </c>
      <c r="G148" t="s">
        <v>630</v>
      </c>
      <c r="J148" s="145" t="s">
        <v>980</v>
      </c>
      <c r="K148" s="161" t="s">
        <v>980</v>
      </c>
      <c r="L148" s="162" t="s">
        <v>968</v>
      </c>
      <c r="M148" s="4" t="str">
        <f t="shared" si="5"/>
        <v>XXX - Hired Or Rentals</v>
      </c>
    </row>
    <row r="149" spans="1:27">
      <c r="A149" t="s">
        <v>67</v>
      </c>
      <c r="B149" t="s">
        <v>1436</v>
      </c>
      <c r="D149" s="83" t="s">
        <v>2053</v>
      </c>
      <c r="E149" t="s">
        <v>1221</v>
      </c>
      <c r="F149" t="str">
        <f t="shared" si="4"/>
        <v>PAB - Panama</v>
      </c>
      <c r="G149" t="s">
        <v>1767</v>
      </c>
      <c r="J149" s="145" t="s">
        <v>981</v>
      </c>
      <c r="K149" s="161" t="s">
        <v>981</v>
      </c>
      <c r="L149" s="162" t="s">
        <v>969</v>
      </c>
      <c r="M149" s="4" t="str">
        <f t="shared" si="5"/>
        <v>XXY - Unknown</v>
      </c>
    </row>
    <row r="150" spans="1:27">
      <c r="A150" t="s">
        <v>68</v>
      </c>
      <c r="B150" t="s">
        <v>69</v>
      </c>
      <c r="D150" s="83" t="s">
        <v>2054</v>
      </c>
      <c r="E150" t="s">
        <v>1222</v>
      </c>
      <c r="F150" t="str">
        <f t="shared" si="4"/>
        <v>PGK - Papua New Guinea</v>
      </c>
      <c r="G150" t="s">
        <v>631</v>
      </c>
      <c r="J150" s="145" t="s">
        <v>982</v>
      </c>
      <c r="K150" s="161" t="s">
        <v>982</v>
      </c>
      <c r="L150" s="162" t="s">
        <v>970</v>
      </c>
      <c r="M150" s="4" t="str">
        <f t="shared" si="5"/>
        <v>XXZ - General Commuter</v>
      </c>
    </row>
    <row r="151" spans="1:27">
      <c r="A151" t="s">
        <v>70</v>
      </c>
      <c r="B151" t="s">
        <v>1437</v>
      </c>
      <c r="D151" s="83" t="s">
        <v>2055</v>
      </c>
      <c r="E151" t="s">
        <v>1223</v>
      </c>
      <c r="F151" t="str">
        <f t="shared" si="4"/>
        <v>PYG - Paraguay</v>
      </c>
      <c r="G151" t="s">
        <v>632</v>
      </c>
      <c r="J151" s="223" t="s">
        <v>2086</v>
      </c>
      <c r="K151" s="220" t="s">
        <v>2086</v>
      </c>
      <c r="L151" s="221" t="s">
        <v>2086</v>
      </c>
      <c r="M151" s="222" t="str">
        <f t="shared" si="5"/>
        <v>Airline - Airline</v>
      </c>
    </row>
    <row r="152" spans="1:27">
      <c r="A152" t="s">
        <v>71</v>
      </c>
      <c r="B152" t="s">
        <v>72</v>
      </c>
      <c r="D152" s="83" t="s">
        <v>1508</v>
      </c>
      <c r="E152" t="s">
        <v>1224</v>
      </c>
      <c r="F152" t="str">
        <f t="shared" si="4"/>
        <v>PEN - Peru</v>
      </c>
      <c r="G152" t="s">
        <v>633</v>
      </c>
      <c r="K152" s="164"/>
      <c r="L152" s="165"/>
      <c r="M152" s="130"/>
    </row>
    <row r="153" spans="1:27">
      <c r="A153" t="s">
        <v>73</v>
      </c>
      <c r="B153" t="s">
        <v>1438</v>
      </c>
      <c r="D153" s="83" t="s">
        <v>1509</v>
      </c>
      <c r="E153" t="s">
        <v>1225</v>
      </c>
      <c r="F153" t="str">
        <f t="shared" si="4"/>
        <v>PHP - Philippines</v>
      </c>
      <c r="G153" t="s">
        <v>1768</v>
      </c>
      <c r="K153" s="166"/>
      <c r="L153" s="167"/>
      <c r="M153" s="130"/>
    </row>
    <row r="154" spans="1:27">
      <c r="A154" t="s">
        <v>74</v>
      </c>
      <c r="B154" t="s">
        <v>1439</v>
      </c>
      <c r="D154" s="83" t="s">
        <v>2056</v>
      </c>
      <c r="E154" t="s">
        <v>1226</v>
      </c>
      <c r="F154" t="str">
        <f t="shared" si="4"/>
        <v>PLN - Poland</v>
      </c>
      <c r="G154" t="s">
        <v>1769</v>
      </c>
      <c r="K154" s="166"/>
      <c r="L154" s="167"/>
      <c r="M154" s="130"/>
    </row>
    <row r="155" spans="1:27">
      <c r="A155" t="s">
        <v>75</v>
      </c>
      <c r="B155" t="s">
        <v>1440</v>
      </c>
      <c r="D155" s="83" t="s">
        <v>1510</v>
      </c>
      <c r="E155" t="s">
        <v>1123</v>
      </c>
      <c r="F155" t="str">
        <f t="shared" si="4"/>
        <v>EUR - Portugal</v>
      </c>
      <c r="G155" t="s">
        <v>1770</v>
      </c>
      <c r="K155" s="166"/>
      <c r="L155" s="167"/>
      <c r="M155" s="130"/>
    </row>
    <row r="156" spans="1:27">
      <c r="A156" t="s">
        <v>76</v>
      </c>
      <c r="B156" t="s">
        <v>1441</v>
      </c>
      <c r="D156" s="83" t="s">
        <v>1511</v>
      </c>
      <c r="E156" t="s">
        <v>1227</v>
      </c>
      <c r="F156" t="str">
        <f t="shared" si="4"/>
        <v>QAR - Qatar</v>
      </c>
      <c r="G156" t="s">
        <v>1771</v>
      </c>
      <c r="K156" s="161"/>
      <c r="L156" s="162"/>
    </row>
    <row r="157" spans="1:27">
      <c r="A157" t="s">
        <v>77</v>
      </c>
      <c r="B157" t="s">
        <v>78</v>
      </c>
      <c r="D157" s="83" t="s">
        <v>1512</v>
      </c>
      <c r="E157" t="s">
        <v>1123</v>
      </c>
      <c r="F157" t="str">
        <f t="shared" si="4"/>
        <v>EUR - Réunion</v>
      </c>
      <c r="G157" t="s">
        <v>1772</v>
      </c>
      <c r="K157" s="161"/>
      <c r="L157" s="162"/>
    </row>
    <row r="158" spans="1:27">
      <c r="A158" t="s">
        <v>79</v>
      </c>
      <c r="B158" t="s">
        <v>1442</v>
      </c>
      <c r="D158" s="83" t="s">
        <v>1513</v>
      </c>
      <c r="E158" t="s">
        <v>1265</v>
      </c>
      <c r="F158" t="str">
        <f t="shared" si="4"/>
        <v>RON - Romania</v>
      </c>
      <c r="G158" t="s">
        <v>1773</v>
      </c>
      <c r="K158" s="161"/>
      <c r="L158" s="162"/>
    </row>
    <row r="159" spans="1:27">
      <c r="A159" t="s">
        <v>80</v>
      </c>
      <c r="B159" t="s">
        <v>81</v>
      </c>
      <c r="D159" s="83" t="s">
        <v>1514</v>
      </c>
      <c r="E159" t="s">
        <v>1228</v>
      </c>
      <c r="F159" t="str">
        <f t="shared" si="4"/>
        <v>RUB - Russia</v>
      </c>
    </row>
    <row r="160" spans="1:27">
      <c r="A160" t="s">
        <v>82</v>
      </c>
      <c r="B160" t="s">
        <v>83</v>
      </c>
      <c r="D160" s="83" t="s">
        <v>2057</v>
      </c>
      <c r="E160" t="s">
        <v>1229</v>
      </c>
      <c r="F160" t="str">
        <f t="shared" si="4"/>
        <v>RWF - Rwanda</v>
      </c>
    </row>
    <row r="161" spans="1:6">
      <c r="A161" t="s">
        <v>84</v>
      </c>
      <c r="B161" t="s">
        <v>1443</v>
      </c>
      <c r="D161" s="83" t="s">
        <v>1515</v>
      </c>
      <c r="E161" t="s">
        <v>1230</v>
      </c>
      <c r="F161" t="str">
        <f t="shared" si="4"/>
        <v>WST - Samoa</v>
      </c>
    </row>
    <row r="162" spans="1:6">
      <c r="A162" t="s">
        <v>85</v>
      </c>
      <c r="B162" t="s">
        <v>1444</v>
      </c>
      <c r="D162" s="83" t="s">
        <v>1516</v>
      </c>
      <c r="E162" t="s">
        <v>1123</v>
      </c>
      <c r="F162" t="str">
        <f t="shared" si="4"/>
        <v>EUR - San Marino</v>
      </c>
    </row>
    <row r="163" spans="1:6">
      <c r="A163" t="s">
        <v>86</v>
      </c>
      <c r="B163" t="s">
        <v>87</v>
      </c>
      <c r="D163" s="83" t="s">
        <v>1517</v>
      </c>
      <c r="E163" t="s">
        <v>1231</v>
      </c>
      <c r="F163" t="str">
        <f t="shared" si="4"/>
        <v>STD - São Tomé &amp; Príncipe</v>
      </c>
    </row>
    <row r="164" spans="1:6">
      <c r="A164" t="s">
        <v>88</v>
      </c>
      <c r="B164" t="s">
        <v>89</v>
      </c>
      <c r="D164" s="83" t="s">
        <v>1518</v>
      </c>
      <c r="E164" t="s">
        <v>1232</v>
      </c>
      <c r="F164" t="str">
        <f t="shared" si="4"/>
        <v>SAR - Saudi Arabia</v>
      </c>
    </row>
    <row r="165" spans="1:6">
      <c r="A165" t="s">
        <v>90</v>
      </c>
      <c r="B165" t="s">
        <v>91</v>
      </c>
      <c r="D165" s="83" t="s">
        <v>1519</v>
      </c>
      <c r="E165" t="s">
        <v>1130</v>
      </c>
      <c r="F165" t="str">
        <f t="shared" si="4"/>
        <v>XOF - Senegal</v>
      </c>
    </row>
    <row r="166" spans="1:6">
      <c r="A166" t="s">
        <v>92</v>
      </c>
      <c r="B166" t="s">
        <v>1445</v>
      </c>
      <c r="D166" s="83" t="s">
        <v>1520</v>
      </c>
      <c r="E166" t="s">
        <v>1233</v>
      </c>
      <c r="F166" t="str">
        <f t="shared" si="4"/>
        <v>RSD - Serbia, Republic of</v>
      </c>
    </row>
    <row r="167" spans="1:6">
      <c r="A167" t="s">
        <v>93</v>
      </c>
      <c r="B167" t="s">
        <v>1446</v>
      </c>
      <c r="D167" s="83" t="s">
        <v>1521</v>
      </c>
      <c r="E167" t="s">
        <v>1234</v>
      </c>
      <c r="F167" t="str">
        <f t="shared" si="4"/>
        <v>SCR - Seychelles</v>
      </c>
    </row>
    <row r="168" spans="1:6">
      <c r="A168" t="s">
        <v>94</v>
      </c>
      <c r="B168" t="s">
        <v>1447</v>
      </c>
      <c r="D168" s="83" t="s">
        <v>2058</v>
      </c>
      <c r="E168" t="s">
        <v>1235</v>
      </c>
      <c r="F168" t="str">
        <f t="shared" si="4"/>
        <v>SLL - Sierra Leone</v>
      </c>
    </row>
    <row r="169" spans="1:6">
      <c r="A169" t="s">
        <v>95</v>
      </c>
      <c r="B169" t="s">
        <v>96</v>
      </c>
      <c r="D169" s="83" t="s">
        <v>2059</v>
      </c>
      <c r="E169" t="s">
        <v>1236</v>
      </c>
      <c r="F169" t="str">
        <f t="shared" si="4"/>
        <v>SGD - Singapore</v>
      </c>
    </row>
    <row r="170" spans="1:6">
      <c r="A170" t="s">
        <v>97</v>
      </c>
      <c r="B170" t="s">
        <v>98</v>
      </c>
      <c r="D170" s="83" t="s">
        <v>2060</v>
      </c>
      <c r="E170" t="s">
        <v>1237</v>
      </c>
      <c r="F170" t="str">
        <f t="shared" si="4"/>
        <v>SKK - Slovak Republic</v>
      </c>
    </row>
    <row r="171" spans="1:6">
      <c r="A171" t="s">
        <v>1290</v>
      </c>
      <c r="B171" t="s">
        <v>99</v>
      </c>
      <c r="D171" s="83" t="s">
        <v>1522</v>
      </c>
      <c r="E171" t="s">
        <v>1123</v>
      </c>
      <c r="F171" t="str">
        <f t="shared" si="4"/>
        <v>EUR - Slovenia</v>
      </c>
    </row>
    <row r="172" spans="1:6">
      <c r="A172" t="s">
        <v>100</v>
      </c>
      <c r="B172" t="s">
        <v>1448</v>
      </c>
      <c r="D172" s="83" t="s">
        <v>2061</v>
      </c>
      <c r="E172" t="s">
        <v>1238</v>
      </c>
      <c r="F172" t="str">
        <f t="shared" si="4"/>
        <v>SBD - Solomon Islands</v>
      </c>
    </row>
    <row r="173" spans="1:6">
      <c r="A173" t="s">
        <v>101</v>
      </c>
      <c r="B173" t="s">
        <v>102</v>
      </c>
      <c r="D173" s="83" t="s">
        <v>2062</v>
      </c>
      <c r="E173" t="s">
        <v>1239</v>
      </c>
      <c r="F173" t="str">
        <f t="shared" si="4"/>
        <v>SOS - Somalia</v>
      </c>
    </row>
    <row r="174" spans="1:6">
      <c r="A174" t="s">
        <v>103</v>
      </c>
      <c r="B174" t="s">
        <v>1449</v>
      </c>
      <c r="D174" s="83" t="s">
        <v>2063</v>
      </c>
      <c r="E174" t="s">
        <v>1240</v>
      </c>
      <c r="F174" t="str">
        <f t="shared" si="4"/>
        <v>ZAR - South Africa</v>
      </c>
    </row>
    <row r="175" spans="1:6">
      <c r="A175" t="s">
        <v>104</v>
      </c>
      <c r="B175" t="s">
        <v>1450</v>
      </c>
      <c r="D175" s="83" t="s">
        <v>1709</v>
      </c>
      <c r="E175" t="s">
        <v>1189</v>
      </c>
      <c r="F175" t="str">
        <f t="shared" si="4"/>
        <v>KRW - South Korea</v>
      </c>
    </row>
    <row r="176" spans="1:6">
      <c r="A176" t="s">
        <v>105</v>
      </c>
      <c r="B176" t="s">
        <v>106</v>
      </c>
      <c r="D176" s="83" t="s">
        <v>1523</v>
      </c>
      <c r="E176" t="s">
        <v>1123</v>
      </c>
      <c r="F176" t="str">
        <f t="shared" si="4"/>
        <v>EUR - Spain</v>
      </c>
    </row>
    <row r="177" spans="1:6">
      <c r="A177" t="s">
        <v>107</v>
      </c>
      <c r="B177" t="s">
        <v>1451</v>
      </c>
      <c r="D177" s="83" t="s">
        <v>1524</v>
      </c>
      <c r="E177" t="s">
        <v>1241</v>
      </c>
      <c r="F177" t="str">
        <f t="shared" si="4"/>
        <v>LKR - Sri Lanka</v>
      </c>
    </row>
    <row r="178" spans="1:6">
      <c r="A178" t="s">
        <v>108</v>
      </c>
      <c r="B178" t="s">
        <v>109</v>
      </c>
      <c r="D178" s="83" t="s">
        <v>2064</v>
      </c>
      <c r="E178" t="s">
        <v>1266</v>
      </c>
      <c r="F178" t="str">
        <f t="shared" si="4"/>
        <v>SHP - St. Helena</v>
      </c>
    </row>
    <row r="179" spans="1:6">
      <c r="A179" t="s">
        <v>110</v>
      </c>
      <c r="B179" t="s">
        <v>111</v>
      </c>
      <c r="D179" s="83" t="s">
        <v>2065</v>
      </c>
      <c r="E179" t="s">
        <v>1118</v>
      </c>
      <c r="F179" t="str">
        <f t="shared" si="4"/>
        <v>XCD - St. Kitts and Nevis</v>
      </c>
    </row>
    <row r="180" spans="1:6">
      <c r="A180" t="s">
        <v>112</v>
      </c>
      <c r="B180" t="s">
        <v>113</v>
      </c>
      <c r="D180" s="83" t="s">
        <v>2066</v>
      </c>
      <c r="E180" t="s">
        <v>1118</v>
      </c>
      <c r="F180" t="str">
        <f t="shared" si="4"/>
        <v>XCD - St. Lucia</v>
      </c>
    </row>
    <row r="181" spans="1:6">
      <c r="A181" t="s">
        <v>114</v>
      </c>
      <c r="B181" t="s">
        <v>115</v>
      </c>
      <c r="D181" s="83" t="s">
        <v>1525</v>
      </c>
      <c r="E181" t="s">
        <v>1123</v>
      </c>
      <c r="F181" t="str">
        <f t="shared" si="4"/>
        <v>EUR - St. Pierre-Miquelon</v>
      </c>
    </row>
    <row r="182" spans="1:6">
      <c r="A182" t="s">
        <v>1291</v>
      </c>
      <c r="B182" t="s">
        <v>1452</v>
      </c>
      <c r="D182" s="83" t="s">
        <v>1526</v>
      </c>
      <c r="E182" t="s">
        <v>1118</v>
      </c>
      <c r="F182" t="str">
        <f t="shared" si="4"/>
        <v>XCD - St. Vincent &amp; Grens.</v>
      </c>
    </row>
    <row r="183" spans="1:6">
      <c r="A183" t="s">
        <v>116</v>
      </c>
      <c r="B183" t="s">
        <v>117</v>
      </c>
      <c r="D183" s="83" t="s">
        <v>1527</v>
      </c>
      <c r="E183" t="s">
        <v>1268</v>
      </c>
      <c r="F183" t="str">
        <f t="shared" si="4"/>
        <v>SDG - Sudan</v>
      </c>
    </row>
    <row r="184" spans="1:6">
      <c r="A184" t="s">
        <v>118</v>
      </c>
      <c r="B184" t="s">
        <v>1535</v>
      </c>
      <c r="D184" s="83" t="s">
        <v>1528</v>
      </c>
      <c r="E184" t="s">
        <v>1242</v>
      </c>
      <c r="F184" t="str">
        <f t="shared" si="4"/>
        <v>SRD - Suriname</v>
      </c>
    </row>
    <row r="185" spans="1:6">
      <c r="A185" t="s">
        <v>119</v>
      </c>
      <c r="B185" t="s">
        <v>120</v>
      </c>
      <c r="D185" s="83" t="s">
        <v>2067</v>
      </c>
      <c r="E185" t="s">
        <v>1243</v>
      </c>
      <c r="F185" t="str">
        <f t="shared" si="4"/>
        <v>SZL - Swaziland</v>
      </c>
    </row>
    <row r="186" spans="1:6">
      <c r="A186" t="s">
        <v>121</v>
      </c>
      <c r="B186" t="s">
        <v>122</v>
      </c>
      <c r="D186" s="83" t="s">
        <v>1529</v>
      </c>
      <c r="E186" t="s">
        <v>1244</v>
      </c>
      <c r="F186" t="str">
        <f t="shared" si="4"/>
        <v>SEK - Sweden</v>
      </c>
    </row>
    <row r="187" spans="1:6">
      <c r="A187" t="s">
        <v>123</v>
      </c>
      <c r="B187" t="s">
        <v>1536</v>
      </c>
      <c r="D187" s="83" t="s">
        <v>2068</v>
      </c>
      <c r="E187" t="s">
        <v>1245</v>
      </c>
      <c r="F187" t="str">
        <f t="shared" si="4"/>
        <v>CHF - Switzerland</v>
      </c>
    </row>
    <row r="188" spans="1:6">
      <c r="A188" t="s">
        <v>1537</v>
      </c>
      <c r="B188" t="s">
        <v>1538</v>
      </c>
      <c r="D188" s="83" t="s">
        <v>1530</v>
      </c>
      <c r="E188" t="s">
        <v>1246</v>
      </c>
      <c r="F188" t="str">
        <f t="shared" si="4"/>
        <v>SYP - Syrian Arab Republic</v>
      </c>
    </row>
    <row r="189" spans="1:6">
      <c r="A189" t="s">
        <v>124</v>
      </c>
      <c r="B189" t="s">
        <v>125</v>
      </c>
      <c r="D189" s="83" t="s">
        <v>1531</v>
      </c>
      <c r="E189" t="s">
        <v>1267</v>
      </c>
      <c r="F189" t="str">
        <f t="shared" si="4"/>
        <v>TWD - Taiwan Prov.of China</v>
      </c>
    </row>
    <row r="190" spans="1:6">
      <c r="A190" t="s">
        <v>126</v>
      </c>
      <c r="B190" t="s">
        <v>1539</v>
      </c>
      <c r="D190" s="83" t="s">
        <v>1532</v>
      </c>
      <c r="E190" t="s">
        <v>1247</v>
      </c>
      <c r="F190" t="str">
        <f t="shared" si="4"/>
        <v>TJS - Tajikistan</v>
      </c>
    </row>
    <row r="191" spans="1:6">
      <c r="A191" t="s">
        <v>127</v>
      </c>
      <c r="B191" t="s">
        <v>128</v>
      </c>
      <c r="D191" s="83" t="s">
        <v>2069</v>
      </c>
      <c r="E191" t="s">
        <v>1248</v>
      </c>
      <c r="F191" t="str">
        <f t="shared" si="4"/>
        <v>TZS - Tanzania</v>
      </c>
    </row>
    <row r="192" spans="1:6">
      <c r="A192" t="s">
        <v>129</v>
      </c>
      <c r="B192" t="s">
        <v>130</v>
      </c>
      <c r="D192" s="83" t="s">
        <v>1533</v>
      </c>
      <c r="E192" t="s">
        <v>1249</v>
      </c>
      <c r="F192" t="str">
        <f t="shared" si="4"/>
        <v>THB - Thailand</v>
      </c>
    </row>
    <row r="193" spans="1:6">
      <c r="A193" t="s">
        <v>131</v>
      </c>
      <c r="B193" t="s">
        <v>132</v>
      </c>
      <c r="D193" s="83" t="s">
        <v>2070</v>
      </c>
      <c r="E193" t="s">
        <v>1180</v>
      </c>
      <c r="F193" t="str">
        <f t="shared" si="4"/>
        <v>IDR - Timor</v>
      </c>
    </row>
    <row r="194" spans="1:6">
      <c r="A194" t="s">
        <v>133</v>
      </c>
      <c r="B194" t="s">
        <v>1540</v>
      </c>
      <c r="D194" s="83" t="s">
        <v>1534</v>
      </c>
      <c r="E194" t="s">
        <v>1161</v>
      </c>
      <c r="F194" t="str">
        <f t="shared" ref="F194:F214" si="6">E194&amp;" - "&amp;D194</f>
        <v>USD - Timor-Leste</v>
      </c>
    </row>
    <row r="195" spans="1:6">
      <c r="A195" t="s">
        <v>134</v>
      </c>
      <c r="B195" t="s">
        <v>135</v>
      </c>
      <c r="D195" s="83" t="s">
        <v>2071</v>
      </c>
      <c r="E195" t="s">
        <v>1130</v>
      </c>
      <c r="F195" t="str">
        <f t="shared" si="6"/>
        <v>XOF - Togo</v>
      </c>
    </row>
    <row r="196" spans="1:6">
      <c r="A196" t="s">
        <v>136</v>
      </c>
      <c r="B196" t="s">
        <v>1541</v>
      </c>
      <c r="D196" s="83" t="s">
        <v>2072</v>
      </c>
      <c r="E196" t="s">
        <v>1250</v>
      </c>
      <c r="F196" t="str">
        <f t="shared" si="6"/>
        <v>TOP - Tonga</v>
      </c>
    </row>
    <row r="197" spans="1:6">
      <c r="A197" t="s">
        <v>137</v>
      </c>
      <c r="B197" t="s">
        <v>138</v>
      </c>
      <c r="D197" s="83" t="s">
        <v>363</v>
      </c>
      <c r="E197" t="s">
        <v>1251</v>
      </c>
      <c r="F197" t="str">
        <f t="shared" si="6"/>
        <v>TTD - Trinidad and Tobago</v>
      </c>
    </row>
    <row r="198" spans="1:6">
      <c r="A198" t="s">
        <v>139</v>
      </c>
      <c r="B198" t="s">
        <v>140</v>
      </c>
      <c r="D198" s="83" t="s">
        <v>364</v>
      </c>
      <c r="E198" t="s">
        <v>1252</v>
      </c>
      <c r="F198" t="str">
        <f t="shared" si="6"/>
        <v>TND - Tunisia</v>
      </c>
    </row>
    <row r="199" spans="1:6">
      <c r="A199" t="s">
        <v>141</v>
      </c>
      <c r="B199" t="s">
        <v>142</v>
      </c>
      <c r="D199" s="83" t="s">
        <v>365</v>
      </c>
      <c r="E199" t="s">
        <v>1253</v>
      </c>
      <c r="F199" t="str">
        <f t="shared" si="6"/>
        <v>TRY - Turkey</v>
      </c>
    </row>
    <row r="200" spans="1:6">
      <c r="A200" t="s">
        <v>143</v>
      </c>
      <c r="B200" t="s">
        <v>144</v>
      </c>
      <c r="D200" s="83" t="s">
        <v>2073</v>
      </c>
      <c r="E200" t="s">
        <v>1711</v>
      </c>
      <c r="F200" t="str">
        <f t="shared" si="6"/>
        <v>TMT - Turkmenistan</v>
      </c>
    </row>
    <row r="201" spans="1:6">
      <c r="A201" t="s">
        <v>145</v>
      </c>
      <c r="B201" t="s">
        <v>146</v>
      </c>
      <c r="D201" s="83" t="s">
        <v>366</v>
      </c>
      <c r="E201" t="s">
        <v>1161</v>
      </c>
      <c r="F201" t="str">
        <f t="shared" si="6"/>
        <v>USD - U.S. Virgin Islands</v>
      </c>
    </row>
    <row r="202" spans="1:6">
      <c r="A202" t="s">
        <v>147</v>
      </c>
      <c r="B202" t="s">
        <v>148</v>
      </c>
      <c r="D202" s="83" t="s">
        <v>2074</v>
      </c>
      <c r="E202" t="s">
        <v>1254</v>
      </c>
      <c r="F202" t="str">
        <f t="shared" si="6"/>
        <v>UGX - Uganda</v>
      </c>
    </row>
    <row r="203" spans="1:6">
      <c r="A203" t="s">
        <v>149</v>
      </c>
      <c r="B203" t="s">
        <v>1542</v>
      </c>
      <c r="D203" s="83" t="s">
        <v>367</v>
      </c>
      <c r="E203" t="s">
        <v>1255</v>
      </c>
      <c r="F203" t="str">
        <f t="shared" si="6"/>
        <v>UAH - Ukraine</v>
      </c>
    </row>
    <row r="204" spans="1:6">
      <c r="A204" t="s">
        <v>154</v>
      </c>
      <c r="B204" t="s">
        <v>1543</v>
      </c>
      <c r="D204" s="83" t="s">
        <v>368</v>
      </c>
      <c r="E204" t="s">
        <v>1256</v>
      </c>
      <c r="F204" t="str">
        <f t="shared" si="6"/>
        <v>AED - United Arab Emirates</v>
      </c>
    </row>
    <row r="205" spans="1:6">
      <c r="A205" t="s">
        <v>155</v>
      </c>
      <c r="B205" t="s">
        <v>1544</v>
      </c>
      <c r="D205" s="83" t="s">
        <v>2075</v>
      </c>
      <c r="E205" t="s">
        <v>1257</v>
      </c>
      <c r="F205" t="str">
        <f t="shared" si="6"/>
        <v>GBP - United Kingdom</v>
      </c>
    </row>
    <row r="206" spans="1:6">
      <c r="A206" t="s">
        <v>1545</v>
      </c>
      <c r="B206" t="s">
        <v>1546</v>
      </c>
      <c r="D206" s="83" t="s">
        <v>369</v>
      </c>
      <c r="E206" t="s">
        <v>1161</v>
      </c>
      <c r="F206" t="str">
        <f t="shared" si="6"/>
        <v>USD - United States</v>
      </c>
    </row>
    <row r="207" spans="1:6">
      <c r="A207" t="s">
        <v>156</v>
      </c>
      <c r="B207" t="s">
        <v>157</v>
      </c>
      <c r="D207" s="83" t="s">
        <v>370</v>
      </c>
      <c r="E207" t="s">
        <v>1258</v>
      </c>
      <c r="F207" t="str">
        <f t="shared" si="6"/>
        <v>UYU - Uruguay</v>
      </c>
    </row>
    <row r="208" spans="1:6">
      <c r="A208" t="s">
        <v>158</v>
      </c>
      <c r="B208" t="s">
        <v>159</v>
      </c>
      <c r="D208" s="83" t="s">
        <v>2076</v>
      </c>
      <c r="E208" t="s">
        <v>1259</v>
      </c>
      <c r="F208" t="str">
        <f t="shared" si="6"/>
        <v>UZS - Uzbekistan</v>
      </c>
    </row>
    <row r="209" spans="1:6">
      <c r="A209" t="s">
        <v>160</v>
      </c>
      <c r="B209" t="s">
        <v>1547</v>
      </c>
      <c r="D209" s="83" t="s">
        <v>2077</v>
      </c>
      <c r="E209" t="s">
        <v>1260</v>
      </c>
      <c r="F209" t="str">
        <f t="shared" si="6"/>
        <v>VUV - Vanuatu</v>
      </c>
    </row>
    <row r="210" spans="1:6">
      <c r="A210" t="s">
        <v>161</v>
      </c>
      <c r="B210" t="s">
        <v>1548</v>
      </c>
      <c r="D210" s="83" t="s">
        <v>371</v>
      </c>
      <c r="E210" t="s">
        <v>1261</v>
      </c>
      <c r="F210" t="str">
        <f t="shared" si="6"/>
        <v>VEF - Venezuela, Rep. Bol.</v>
      </c>
    </row>
    <row r="211" spans="1:6">
      <c r="A211" t="s">
        <v>162</v>
      </c>
      <c r="B211" t="s">
        <v>163</v>
      </c>
      <c r="D211" s="83" t="s">
        <v>372</v>
      </c>
      <c r="E211" t="s">
        <v>1262</v>
      </c>
      <c r="F211" t="str">
        <f t="shared" si="6"/>
        <v>VND - Vietnam</v>
      </c>
    </row>
    <row r="212" spans="1:6">
      <c r="A212" t="s">
        <v>164</v>
      </c>
      <c r="B212" t="s">
        <v>165</v>
      </c>
      <c r="D212" s="83" t="s">
        <v>373</v>
      </c>
      <c r="E212" t="s">
        <v>1263</v>
      </c>
      <c r="F212" t="str">
        <f t="shared" si="6"/>
        <v>YER - Yemen, Republic of</v>
      </c>
    </row>
    <row r="213" spans="1:6">
      <c r="A213" t="s">
        <v>166</v>
      </c>
      <c r="B213" t="s">
        <v>167</v>
      </c>
      <c r="D213" s="83" t="s">
        <v>374</v>
      </c>
      <c r="E213" t="s">
        <v>1264</v>
      </c>
      <c r="F213" t="str">
        <f t="shared" si="6"/>
        <v>ZMK - Zambia</v>
      </c>
    </row>
    <row r="214" spans="1:6">
      <c r="A214" t="s">
        <v>168</v>
      </c>
      <c r="B214" t="s">
        <v>169</v>
      </c>
      <c r="D214" s="83" t="s">
        <v>2078</v>
      </c>
      <c r="E214" t="s">
        <v>1705</v>
      </c>
      <c r="F214" t="str">
        <f t="shared" si="6"/>
        <v>ZWD - Zimbabwe</v>
      </c>
    </row>
    <row r="215" spans="1:6">
      <c r="A215" t="s">
        <v>170</v>
      </c>
      <c r="B215" t="s">
        <v>1549</v>
      </c>
      <c r="D215" s="83"/>
    </row>
    <row r="216" spans="1:6">
      <c r="A216" t="s">
        <v>171</v>
      </c>
      <c r="B216" t="s">
        <v>1550</v>
      </c>
      <c r="D216" s="83"/>
    </row>
    <row r="217" spans="1:6">
      <c r="A217" t="s">
        <v>172</v>
      </c>
      <c r="B217" t="s">
        <v>1551</v>
      </c>
    </row>
    <row r="218" spans="1:6">
      <c r="A218" t="s">
        <v>173</v>
      </c>
      <c r="B218" t="s">
        <v>1552</v>
      </c>
    </row>
    <row r="219" spans="1:6">
      <c r="A219" t="s">
        <v>174</v>
      </c>
      <c r="B219" t="s">
        <v>1553</v>
      </c>
    </row>
    <row r="220" spans="1:6">
      <c r="A220" t="s">
        <v>175</v>
      </c>
      <c r="B220" t="s">
        <v>1554</v>
      </c>
    </row>
    <row r="221" spans="1:6">
      <c r="A221" t="s">
        <v>176</v>
      </c>
      <c r="B221" t="s">
        <v>1555</v>
      </c>
    </row>
    <row r="222" spans="1:6">
      <c r="A222" t="s">
        <v>177</v>
      </c>
      <c r="B222" t="s">
        <v>1556</v>
      </c>
    </row>
    <row r="223" spans="1:6">
      <c r="A223" t="s">
        <v>178</v>
      </c>
      <c r="B223" t="s">
        <v>1557</v>
      </c>
    </row>
    <row r="224" spans="1:6">
      <c r="A224" t="s">
        <v>179</v>
      </c>
      <c r="B224" t="s">
        <v>180</v>
      </c>
    </row>
    <row r="225" spans="1:2">
      <c r="A225" t="s">
        <v>181</v>
      </c>
      <c r="B225" t="s">
        <v>1558</v>
      </c>
    </row>
    <row r="226" spans="1:2">
      <c r="A226" t="s">
        <v>182</v>
      </c>
      <c r="B226" t="s">
        <v>1559</v>
      </c>
    </row>
    <row r="227" spans="1:2">
      <c r="A227" t="s">
        <v>183</v>
      </c>
      <c r="B227" t="s">
        <v>184</v>
      </c>
    </row>
    <row r="228" spans="1:2">
      <c r="A228" t="s">
        <v>185</v>
      </c>
      <c r="B228" t="s">
        <v>186</v>
      </c>
    </row>
    <row r="229" spans="1:2">
      <c r="A229" t="s">
        <v>187</v>
      </c>
      <c r="B229" t="s">
        <v>1560</v>
      </c>
    </row>
    <row r="230" spans="1:2">
      <c r="A230" t="s">
        <v>188</v>
      </c>
      <c r="B230" t="s">
        <v>1561</v>
      </c>
    </row>
    <row r="231" spans="1:2">
      <c r="A231" t="s">
        <v>189</v>
      </c>
      <c r="B231" t="s">
        <v>190</v>
      </c>
    </row>
    <row r="232" spans="1:2">
      <c r="A232" t="s">
        <v>191</v>
      </c>
      <c r="B232" t="s">
        <v>1562</v>
      </c>
    </row>
    <row r="233" spans="1:2">
      <c r="A233" t="s">
        <v>1889</v>
      </c>
      <c r="B233" t="s">
        <v>192</v>
      </c>
    </row>
    <row r="234" spans="1:2">
      <c r="A234" t="s">
        <v>1563</v>
      </c>
      <c r="B234" t="s">
        <v>1564</v>
      </c>
    </row>
    <row r="235" spans="1:2">
      <c r="A235" t="s">
        <v>193</v>
      </c>
      <c r="B235" t="s">
        <v>1565</v>
      </c>
    </row>
    <row r="236" spans="1:2">
      <c r="A236" t="s">
        <v>194</v>
      </c>
      <c r="B236" t="s">
        <v>1566</v>
      </c>
    </row>
    <row r="237" spans="1:2">
      <c r="A237" t="s">
        <v>195</v>
      </c>
      <c r="B237" t="s">
        <v>1567</v>
      </c>
    </row>
    <row r="238" spans="1:2">
      <c r="A238" t="s">
        <v>196</v>
      </c>
      <c r="B238" t="s">
        <v>1568</v>
      </c>
    </row>
    <row r="239" spans="1:2">
      <c r="A239" t="s">
        <v>197</v>
      </c>
      <c r="B239" t="s">
        <v>198</v>
      </c>
    </row>
    <row r="240" spans="1:2">
      <c r="A240" t="s">
        <v>199</v>
      </c>
      <c r="B240" t="s">
        <v>200</v>
      </c>
    </row>
    <row r="241" spans="1:2">
      <c r="A241" t="s">
        <v>201</v>
      </c>
      <c r="B241" t="s">
        <v>1569</v>
      </c>
    </row>
    <row r="242" spans="1:2">
      <c r="A242" t="s">
        <v>202</v>
      </c>
      <c r="B242" t="s">
        <v>203</v>
      </c>
    </row>
    <row r="243" spans="1:2">
      <c r="A243" t="s">
        <v>204</v>
      </c>
      <c r="B243" t="s">
        <v>1570</v>
      </c>
    </row>
    <row r="244" spans="1:2">
      <c r="A244" t="s">
        <v>205</v>
      </c>
      <c r="B244" t="s">
        <v>206</v>
      </c>
    </row>
    <row r="245" spans="1:2">
      <c r="A245" t="s">
        <v>207</v>
      </c>
      <c r="B245" t="s">
        <v>1571</v>
      </c>
    </row>
    <row r="246" spans="1:2">
      <c r="A246" t="s">
        <v>208</v>
      </c>
      <c r="B246" t="s">
        <v>1572</v>
      </c>
    </row>
    <row r="247" spans="1:2">
      <c r="A247" t="s">
        <v>209</v>
      </c>
      <c r="B247" t="s">
        <v>210</v>
      </c>
    </row>
    <row r="248" spans="1:2">
      <c r="A248" t="s">
        <v>211</v>
      </c>
      <c r="B248" t="s">
        <v>1573</v>
      </c>
    </row>
    <row r="249" spans="1:2">
      <c r="A249" t="s">
        <v>212</v>
      </c>
      <c r="B249" t="s">
        <v>213</v>
      </c>
    </row>
    <row r="250" spans="1:2">
      <c r="A250" t="s">
        <v>214</v>
      </c>
      <c r="B250" t="s">
        <v>215</v>
      </c>
    </row>
    <row r="251" spans="1:2">
      <c r="A251" t="s">
        <v>216</v>
      </c>
      <c r="B251" t="s">
        <v>217</v>
      </c>
    </row>
    <row r="252" spans="1:2">
      <c r="A252" t="s">
        <v>218</v>
      </c>
      <c r="B252" t="s">
        <v>219</v>
      </c>
    </row>
    <row r="253" spans="1:2">
      <c r="A253" t="s">
        <v>220</v>
      </c>
      <c r="B253" t="s">
        <v>1574</v>
      </c>
    </row>
    <row r="254" spans="1:2">
      <c r="A254" t="s">
        <v>221</v>
      </c>
      <c r="B254" t="s">
        <v>222</v>
      </c>
    </row>
    <row r="255" spans="1:2">
      <c r="A255" t="s">
        <v>223</v>
      </c>
      <c r="B255" t="s">
        <v>1575</v>
      </c>
    </row>
    <row r="256" spans="1:2">
      <c r="A256" t="s">
        <v>224</v>
      </c>
      <c r="B256" t="s">
        <v>225</v>
      </c>
    </row>
    <row r="257" spans="1:2">
      <c r="A257" t="s">
        <v>226</v>
      </c>
      <c r="B257" t="s">
        <v>1576</v>
      </c>
    </row>
    <row r="258" spans="1:2">
      <c r="A258" t="s">
        <v>227</v>
      </c>
      <c r="B258" t="s">
        <v>1577</v>
      </c>
    </row>
    <row r="259" spans="1:2">
      <c r="A259" t="s">
        <v>228</v>
      </c>
      <c r="B259" t="s">
        <v>229</v>
      </c>
    </row>
    <row r="260" spans="1:2">
      <c r="A260" t="s">
        <v>230</v>
      </c>
      <c r="B260" t="s">
        <v>231</v>
      </c>
    </row>
    <row r="261" spans="1:2">
      <c r="A261" t="s">
        <v>232</v>
      </c>
      <c r="B261" t="s">
        <v>1578</v>
      </c>
    </row>
    <row r="262" spans="1:2">
      <c r="A262" t="s">
        <v>233</v>
      </c>
      <c r="B262" t="s">
        <v>1579</v>
      </c>
    </row>
    <row r="263" spans="1:2">
      <c r="A263" t="s">
        <v>234</v>
      </c>
      <c r="B263" t="s">
        <v>235</v>
      </c>
    </row>
    <row r="264" spans="1:2">
      <c r="A264" t="s">
        <v>236</v>
      </c>
      <c r="B264" t="s">
        <v>1580</v>
      </c>
    </row>
    <row r="265" spans="1:2">
      <c r="A265" t="s">
        <v>237</v>
      </c>
      <c r="B265" t="s">
        <v>1581</v>
      </c>
    </row>
    <row r="266" spans="1:2">
      <c r="A266" t="s">
        <v>237</v>
      </c>
      <c r="B266" t="s">
        <v>238</v>
      </c>
    </row>
    <row r="267" spans="1:2">
      <c r="A267" t="s">
        <v>239</v>
      </c>
      <c r="B267" t="s">
        <v>1582</v>
      </c>
    </row>
    <row r="268" spans="1:2">
      <c r="A268" t="s">
        <v>1583</v>
      </c>
      <c r="B268" t="s">
        <v>1584</v>
      </c>
    </row>
    <row r="269" spans="1:2">
      <c r="A269" t="s">
        <v>240</v>
      </c>
      <c r="B269" t="s">
        <v>241</v>
      </c>
    </row>
    <row r="270" spans="1:2">
      <c r="A270" t="s">
        <v>242</v>
      </c>
      <c r="B270" t="s">
        <v>1585</v>
      </c>
    </row>
    <row r="271" spans="1:2">
      <c r="A271" t="s">
        <v>243</v>
      </c>
      <c r="B271" t="s">
        <v>244</v>
      </c>
    </row>
    <row r="272" spans="1:2">
      <c r="A272" t="s">
        <v>1586</v>
      </c>
      <c r="B272" t="s">
        <v>1587</v>
      </c>
    </row>
    <row r="273" spans="1:2">
      <c r="A273" t="s">
        <v>245</v>
      </c>
      <c r="B273" t="s">
        <v>1588</v>
      </c>
    </row>
    <row r="274" spans="1:2">
      <c r="A274" t="s">
        <v>1292</v>
      </c>
      <c r="B274" t="s">
        <v>1589</v>
      </c>
    </row>
    <row r="275" spans="1:2">
      <c r="A275" t="s">
        <v>246</v>
      </c>
      <c r="B275" t="s">
        <v>1590</v>
      </c>
    </row>
    <row r="276" spans="1:2">
      <c r="A276" t="s">
        <v>1293</v>
      </c>
      <c r="B276" t="s">
        <v>1591</v>
      </c>
    </row>
    <row r="277" spans="1:2">
      <c r="A277" t="s">
        <v>247</v>
      </c>
      <c r="B277" t="s">
        <v>253</v>
      </c>
    </row>
    <row r="278" spans="1:2">
      <c r="A278" t="s">
        <v>254</v>
      </c>
      <c r="B278" t="s">
        <v>255</v>
      </c>
    </row>
    <row r="279" spans="1:2">
      <c r="A279" t="s">
        <v>256</v>
      </c>
      <c r="B279" t="s">
        <v>1592</v>
      </c>
    </row>
    <row r="280" spans="1:2">
      <c r="A280" t="s">
        <v>257</v>
      </c>
      <c r="B280" t="s">
        <v>258</v>
      </c>
    </row>
    <row r="281" spans="1:2">
      <c r="A281" t="s">
        <v>259</v>
      </c>
      <c r="B281" t="s">
        <v>260</v>
      </c>
    </row>
    <row r="282" spans="1:2">
      <c r="A282" t="s">
        <v>1295</v>
      </c>
      <c r="B282" t="s">
        <v>261</v>
      </c>
    </row>
    <row r="283" spans="1:2">
      <c r="A283" t="s">
        <v>1296</v>
      </c>
      <c r="B283" t="s">
        <v>1593</v>
      </c>
    </row>
    <row r="284" spans="1:2">
      <c r="A284" t="s">
        <v>262</v>
      </c>
      <c r="B284" t="s">
        <v>1594</v>
      </c>
    </row>
    <row r="285" spans="1:2">
      <c r="A285" t="s">
        <v>1297</v>
      </c>
      <c r="B285" t="s">
        <v>1595</v>
      </c>
    </row>
    <row r="286" spans="1:2">
      <c r="A286" t="s">
        <v>263</v>
      </c>
      <c r="B286" t="s">
        <v>1596</v>
      </c>
    </row>
    <row r="287" spans="1:2">
      <c r="A287" t="s">
        <v>264</v>
      </c>
      <c r="B287" t="s">
        <v>1597</v>
      </c>
    </row>
    <row r="288" spans="1:2">
      <c r="A288" t="s">
        <v>1298</v>
      </c>
      <c r="B288" t="s">
        <v>1598</v>
      </c>
    </row>
    <row r="289" spans="1:2">
      <c r="A289" t="s">
        <v>265</v>
      </c>
      <c r="B289" t="s">
        <v>1599</v>
      </c>
    </row>
    <row r="290" spans="1:2">
      <c r="A290" t="s">
        <v>266</v>
      </c>
      <c r="B290" t="s">
        <v>267</v>
      </c>
    </row>
    <row r="291" spans="1:2">
      <c r="A291" t="s">
        <v>268</v>
      </c>
      <c r="B291" t="s">
        <v>1600</v>
      </c>
    </row>
    <row r="292" spans="1:2">
      <c r="A292" t="s">
        <v>269</v>
      </c>
      <c r="B292" t="s">
        <v>1601</v>
      </c>
    </row>
    <row r="293" spans="1:2">
      <c r="A293" t="s">
        <v>276</v>
      </c>
      <c r="B293" t="s">
        <v>1602</v>
      </c>
    </row>
    <row r="294" spans="1:2">
      <c r="A294" t="s">
        <v>277</v>
      </c>
      <c r="B294" t="s">
        <v>278</v>
      </c>
    </row>
    <row r="295" spans="1:2">
      <c r="A295" t="s">
        <v>279</v>
      </c>
      <c r="B295" t="s">
        <v>1603</v>
      </c>
    </row>
    <row r="296" spans="1:2">
      <c r="A296" t="s">
        <v>280</v>
      </c>
      <c r="B296" t="s">
        <v>1604</v>
      </c>
    </row>
    <row r="297" spans="1:2">
      <c r="A297" t="s">
        <v>281</v>
      </c>
      <c r="B297" t="s">
        <v>1605</v>
      </c>
    </row>
    <row r="298" spans="1:2">
      <c r="A298" t="s">
        <v>282</v>
      </c>
      <c r="B298" t="s">
        <v>1606</v>
      </c>
    </row>
    <row r="299" spans="1:2">
      <c r="A299" t="s">
        <v>1299</v>
      </c>
      <c r="B299" t="s">
        <v>1607</v>
      </c>
    </row>
    <row r="300" spans="1:2">
      <c r="A300" t="s">
        <v>283</v>
      </c>
      <c r="B300" t="s">
        <v>634</v>
      </c>
    </row>
    <row r="301" spans="1:2">
      <c r="A301" t="s">
        <v>635</v>
      </c>
      <c r="B301" t="s">
        <v>1608</v>
      </c>
    </row>
    <row r="302" spans="1:2">
      <c r="A302" t="s">
        <v>1300</v>
      </c>
      <c r="B302" t="s">
        <v>636</v>
      </c>
    </row>
    <row r="303" spans="1:2">
      <c r="A303" t="s">
        <v>637</v>
      </c>
      <c r="B303" t="s">
        <v>1609</v>
      </c>
    </row>
    <row r="304" spans="1:2">
      <c r="A304" t="s">
        <v>638</v>
      </c>
      <c r="B304" t="s">
        <v>1610</v>
      </c>
    </row>
    <row r="305" spans="1:2">
      <c r="A305" t="s">
        <v>639</v>
      </c>
      <c r="B305" t="s">
        <v>640</v>
      </c>
    </row>
    <row r="306" spans="1:2">
      <c r="A306" t="s">
        <v>641</v>
      </c>
      <c r="B306" t="s">
        <v>642</v>
      </c>
    </row>
    <row r="307" spans="1:2">
      <c r="A307" t="s">
        <v>643</v>
      </c>
      <c r="B307" t="s">
        <v>1611</v>
      </c>
    </row>
    <row r="308" spans="1:2">
      <c r="A308" t="s">
        <v>644</v>
      </c>
      <c r="B308" t="s">
        <v>645</v>
      </c>
    </row>
    <row r="309" spans="1:2">
      <c r="A309" t="s">
        <v>1301</v>
      </c>
      <c r="B309" t="s">
        <v>646</v>
      </c>
    </row>
    <row r="310" spans="1:2">
      <c r="A310" t="s">
        <v>647</v>
      </c>
      <c r="B310" t="s">
        <v>648</v>
      </c>
    </row>
    <row r="311" spans="1:2">
      <c r="A311" t="s">
        <v>649</v>
      </c>
      <c r="B311" t="s">
        <v>650</v>
      </c>
    </row>
    <row r="312" spans="1:2">
      <c r="A312" t="s">
        <v>651</v>
      </c>
      <c r="B312" t="s">
        <v>652</v>
      </c>
    </row>
    <row r="313" spans="1:2">
      <c r="A313" t="s">
        <v>653</v>
      </c>
      <c r="B313" t="s">
        <v>654</v>
      </c>
    </row>
    <row r="314" spans="1:2">
      <c r="A314" t="s">
        <v>655</v>
      </c>
      <c r="B314" t="s">
        <v>1612</v>
      </c>
    </row>
    <row r="315" spans="1:2">
      <c r="A315" t="s">
        <v>656</v>
      </c>
      <c r="B315" t="s">
        <v>657</v>
      </c>
    </row>
    <row r="316" spans="1:2">
      <c r="A316" t="s">
        <v>658</v>
      </c>
      <c r="B316" t="s">
        <v>659</v>
      </c>
    </row>
    <row r="317" spans="1:2">
      <c r="A317" t="s">
        <v>660</v>
      </c>
      <c r="B317" t="s">
        <v>661</v>
      </c>
    </row>
    <row r="318" spans="1:2">
      <c r="A318" t="s">
        <v>1303</v>
      </c>
      <c r="B318" t="s">
        <v>662</v>
      </c>
    </row>
    <row r="319" spans="1:2">
      <c r="A319" t="s">
        <v>663</v>
      </c>
      <c r="B319" t="s">
        <v>664</v>
      </c>
    </row>
    <row r="320" spans="1:2">
      <c r="A320" t="s">
        <v>665</v>
      </c>
      <c r="B320" t="s">
        <v>666</v>
      </c>
    </row>
    <row r="321" spans="1:2">
      <c r="A321" t="s">
        <v>667</v>
      </c>
      <c r="B321" t="s">
        <v>1613</v>
      </c>
    </row>
    <row r="322" spans="1:2">
      <c r="A322" t="s">
        <v>668</v>
      </c>
      <c r="B322" t="s">
        <v>669</v>
      </c>
    </row>
    <row r="323" spans="1:2">
      <c r="A323" t="s">
        <v>670</v>
      </c>
      <c r="B323" t="s">
        <v>671</v>
      </c>
    </row>
    <row r="324" spans="1:2">
      <c r="A324" t="s">
        <v>672</v>
      </c>
      <c r="B324" t="s">
        <v>673</v>
      </c>
    </row>
    <row r="325" spans="1:2">
      <c r="A325" t="s">
        <v>674</v>
      </c>
      <c r="B325" t="s">
        <v>1614</v>
      </c>
    </row>
    <row r="326" spans="1:2">
      <c r="A326" t="s">
        <v>675</v>
      </c>
      <c r="B326" t="s">
        <v>1615</v>
      </c>
    </row>
    <row r="327" spans="1:2">
      <c r="A327" t="s">
        <v>676</v>
      </c>
      <c r="B327" t="s">
        <v>1616</v>
      </c>
    </row>
    <row r="328" spans="1:2">
      <c r="A328" t="s">
        <v>677</v>
      </c>
      <c r="B328" t="s">
        <v>1617</v>
      </c>
    </row>
    <row r="329" spans="1:2">
      <c r="A329" t="s">
        <v>678</v>
      </c>
      <c r="B329" t="s">
        <v>1618</v>
      </c>
    </row>
    <row r="330" spans="1:2">
      <c r="A330" t="s">
        <v>679</v>
      </c>
      <c r="B330" t="s">
        <v>1619</v>
      </c>
    </row>
    <row r="331" spans="1:2">
      <c r="A331" t="s">
        <v>680</v>
      </c>
      <c r="B331" t="s">
        <v>681</v>
      </c>
    </row>
    <row r="332" spans="1:2">
      <c r="A332" t="s">
        <v>682</v>
      </c>
      <c r="B332" t="s">
        <v>1620</v>
      </c>
    </row>
    <row r="333" spans="1:2">
      <c r="A333" t="s">
        <v>683</v>
      </c>
      <c r="B333" t="s">
        <v>684</v>
      </c>
    </row>
    <row r="334" spans="1:2">
      <c r="A334" t="s">
        <v>685</v>
      </c>
      <c r="B334" t="s">
        <v>686</v>
      </c>
    </row>
    <row r="335" spans="1:2">
      <c r="A335" t="s">
        <v>687</v>
      </c>
      <c r="B335" t="s">
        <v>688</v>
      </c>
    </row>
    <row r="336" spans="1:2">
      <c r="A336" t="s">
        <v>689</v>
      </c>
      <c r="B336" t="s">
        <v>690</v>
      </c>
    </row>
    <row r="337" spans="1:2">
      <c r="A337" t="s">
        <v>691</v>
      </c>
      <c r="B337" t="s">
        <v>692</v>
      </c>
    </row>
    <row r="338" spans="1:2">
      <c r="A338" t="s">
        <v>693</v>
      </c>
      <c r="B338" t="s">
        <v>694</v>
      </c>
    </row>
    <row r="339" spans="1:2">
      <c r="A339" t="s">
        <v>695</v>
      </c>
      <c r="B339" t="s">
        <v>1621</v>
      </c>
    </row>
    <row r="340" spans="1:2">
      <c r="A340" t="s">
        <v>696</v>
      </c>
      <c r="B340" t="s">
        <v>697</v>
      </c>
    </row>
    <row r="341" spans="1:2">
      <c r="A341" t="s">
        <v>1622</v>
      </c>
      <c r="B341" t="s">
        <v>1623</v>
      </c>
    </row>
    <row r="342" spans="1:2">
      <c r="A342" t="s">
        <v>1306</v>
      </c>
      <c r="B342" t="s">
        <v>698</v>
      </c>
    </row>
    <row r="343" spans="1:2">
      <c r="A343" t="s">
        <v>699</v>
      </c>
      <c r="B343" t="s">
        <v>1624</v>
      </c>
    </row>
    <row r="344" spans="1:2">
      <c r="A344" t="s">
        <v>700</v>
      </c>
      <c r="B344" t="s">
        <v>1625</v>
      </c>
    </row>
    <row r="345" spans="1:2">
      <c r="A345" t="s">
        <v>701</v>
      </c>
      <c r="B345" t="s">
        <v>1626</v>
      </c>
    </row>
    <row r="346" spans="1:2">
      <c r="A346" t="s">
        <v>702</v>
      </c>
      <c r="B346" t="s">
        <v>1627</v>
      </c>
    </row>
    <row r="347" spans="1:2">
      <c r="A347" t="s">
        <v>703</v>
      </c>
      <c r="B347" t="s">
        <v>1628</v>
      </c>
    </row>
    <row r="348" spans="1:2">
      <c r="A348" t="s">
        <v>1309</v>
      </c>
      <c r="B348" t="s">
        <v>704</v>
      </c>
    </row>
    <row r="349" spans="1:2">
      <c r="A349" t="s">
        <v>705</v>
      </c>
      <c r="B349" t="s">
        <v>1629</v>
      </c>
    </row>
    <row r="350" spans="1:2">
      <c r="A350" t="s">
        <v>706</v>
      </c>
      <c r="B350" t="s">
        <v>1630</v>
      </c>
    </row>
    <row r="351" spans="1:2">
      <c r="A351" t="s">
        <v>707</v>
      </c>
      <c r="B351" t="s">
        <v>1631</v>
      </c>
    </row>
    <row r="352" spans="1:2">
      <c r="A352" t="s">
        <v>708</v>
      </c>
      <c r="B352" t="s">
        <v>709</v>
      </c>
    </row>
    <row r="353" spans="1:2">
      <c r="A353" t="s">
        <v>710</v>
      </c>
      <c r="B353" t="s">
        <v>1632</v>
      </c>
    </row>
    <row r="354" spans="1:2">
      <c r="A354" t="s">
        <v>711</v>
      </c>
      <c r="B354" t="s">
        <v>1633</v>
      </c>
    </row>
    <row r="355" spans="1:2">
      <c r="A355" t="s">
        <v>712</v>
      </c>
      <c r="B355" t="s">
        <v>1634</v>
      </c>
    </row>
    <row r="356" spans="1:2">
      <c r="A356" t="s">
        <v>713</v>
      </c>
      <c r="B356" t="s">
        <v>714</v>
      </c>
    </row>
    <row r="357" spans="1:2">
      <c r="A357" t="s">
        <v>715</v>
      </c>
      <c r="B357" t="s">
        <v>716</v>
      </c>
    </row>
    <row r="358" spans="1:2">
      <c r="A358" t="s">
        <v>717</v>
      </c>
      <c r="B358" t="s">
        <v>718</v>
      </c>
    </row>
    <row r="359" spans="1:2">
      <c r="A359" t="s">
        <v>719</v>
      </c>
      <c r="B359" t="s">
        <v>1635</v>
      </c>
    </row>
    <row r="360" spans="1:2">
      <c r="A360" t="s">
        <v>720</v>
      </c>
      <c r="B360" t="s">
        <v>721</v>
      </c>
    </row>
    <row r="361" spans="1:2">
      <c r="A361" t="s">
        <v>722</v>
      </c>
      <c r="B361" t="s">
        <v>1636</v>
      </c>
    </row>
    <row r="362" spans="1:2">
      <c r="A362" t="s">
        <v>723</v>
      </c>
      <c r="B362" t="s">
        <v>1637</v>
      </c>
    </row>
    <row r="363" spans="1:2">
      <c r="A363" t="s">
        <v>724</v>
      </c>
      <c r="B363" t="s">
        <v>725</v>
      </c>
    </row>
    <row r="364" spans="1:2">
      <c r="A364" t="s">
        <v>726</v>
      </c>
      <c r="B364" t="s">
        <v>727</v>
      </c>
    </row>
    <row r="365" spans="1:2">
      <c r="A365" t="s">
        <v>728</v>
      </c>
      <c r="B365" t="s">
        <v>1638</v>
      </c>
    </row>
    <row r="366" spans="1:2">
      <c r="A366" t="s">
        <v>729</v>
      </c>
      <c r="B366" t="s">
        <v>730</v>
      </c>
    </row>
    <row r="367" spans="1:2">
      <c r="A367" t="s">
        <v>731</v>
      </c>
      <c r="B367" t="s">
        <v>1639</v>
      </c>
    </row>
    <row r="368" spans="1:2">
      <c r="A368" t="s">
        <v>732</v>
      </c>
      <c r="B368" t="s">
        <v>1640</v>
      </c>
    </row>
    <row r="369" spans="1:2">
      <c r="A369" t="s">
        <v>733</v>
      </c>
      <c r="B369" t="s">
        <v>734</v>
      </c>
    </row>
    <row r="370" spans="1:2">
      <c r="A370" t="s">
        <v>735</v>
      </c>
      <c r="B370" t="s">
        <v>736</v>
      </c>
    </row>
    <row r="371" spans="1:2">
      <c r="A371" t="s">
        <v>737</v>
      </c>
      <c r="B371" t="s">
        <v>1641</v>
      </c>
    </row>
    <row r="372" spans="1:2">
      <c r="A372" t="s">
        <v>738</v>
      </c>
      <c r="B372" t="s">
        <v>739</v>
      </c>
    </row>
    <row r="373" spans="1:2">
      <c r="A373" t="s">
        <v>740</v>
      </c>
      <c r="B373" t="s">
        <v>741</v>
      </c>
    </row>
    <row r="374" spans="1:2">
      <c r="A374" t="s">
        <v>742</v>
      </c>
      <c r="B374" t="s">
        <v>743</v>
      </c>
    </row>
    <row r="375" spans="1:2">
      <c r="A375" t="s">
        <v>744</v>
      </c>
      <c r="B375" t="s">
        <v>1642</v>
      </c>
    </row>
    <row r="376" spans="1:2">
      <c r="A376" t="s">
        <v>745</v>
      </c>
      <c r="B376" t="s">
        <v>746</v>
      </c>
    </row>
    <row r="377" spans="1:2">
      <c r="A377" t="s">
        <v>747</v>
      </c>
      <c r="B377" t="s">
        <v>748</v>
      </c>
    </row>
    <row r="378" spans="1:2">
      <c r="A378" t="s">
        <v>749</v>
      </c>
      <c r="B378" t="s">
        <v>750</v>
      </c>
    </row>
    <row r="379" spans="1:2">
      <c r="A379" t="s">
        <v>752</v>
      </c>
      <c r="B379" t="s">
        <v>1643</v>
      </c>
    </row>
    <row r="380" spans="1:2">
      <c r="A380" t="s">
        <v>753</v>
      </c>
      <c r="B380" t="s">
        <v>754</v>
      </c>
    </row>
    <row r="381" spans="1:2">
      <c r="A381" t="s">
        <v>755</v>
      </c>
      <c r="B381" t="s">
        <v>756</v>
      </c>
    </row>
    <row r="382" spans="1:2">
      <c r="A382" t="s">
        <v>757</v>
      </c>
      <c r="B382" t="s">
        <v>1644</v>
      </c>
    </row>
    <row r="383" spans="1:2">
      <c r="A383" t="s">
        <v>758</v>
      </c>
      <c r="B383" t="s">
        <v>759</v>
      </c>
    </row>
    <row r="384" spans="1:2">
      <c r="A384" t="s">
        <v>760</v>
      </c>
      <c r="B384" t="s">
        <v>761</v>
      </c>
    </row>
    <row r="385" spans="1:2">
      <c r="A385" t="s">
        <v>762</v>
      </c>
      <c r="B385" t="s">
        <v>763</v>
      </c>
    </row>
    <row r="386" spans="1:2">
      <c r="A386" t="s">
        <v>764</v>
      </c>
      <c r="B386" t="s">
        <v>1645</v>
      </c>
    </row>
    <row r="387" spans="1:2">
      <c r="A387" t="s">
        <v>765</v>
      </c>
      <c r="B387" t="s">
        <v>1646</v>
      </c>
    </row>
    <row r="388" spans="1:2">
      <c r="A388" t="s">
        <v>766</v>
      </c>
      <c r="B388" t="s">
        <v>767</v>
      </c>
    </row>
    <row r="389" spans="1:2">
      <c r="A389" t="s">
        <v>1310</v>
      </c>
      <c r="B389" t="s">
        <v>1647</v>
      </c>
    </row>
    <row r="390" spans="1:2">
      <c r="A390" t="s">
        <v>768</v>
      </c>
      <c r="B390" t="s">
        <v>769</v>
      </c>
    </row>
    <row r="391" spans="1:2">
      <c r="A391" t="s">
        <v>770</v>
      </c>
      <c r="B391" t="s">
        <v>1648</v>
      </c>
    </row>
    <row r="392" spans="1:2">
      <c r="A392" t="s">
        <v>771</v>
      </c>
      <c r="B392" t="s">
        <v>1649</v>
      </c>
    </row>
    <row r="393" spans="1:2">
      <c r="A393" t="s">
        <v>773</v>
      </c>
      <c r="B393" t="s">
        <v>1650</v>
      </c>
    </row>
    <row r="394" spans="1:2">
      <c r="A394" t="s">
        <v>774</v>
      </c>
      <c r="B394" t="s">
        <v>775</v>
      </c>
    </row>
    <row r="395" spans="1:2">
      <c r="A395" t="s">
        <v>776</v>
      </c>
      <c r="B395" t="s">
        <v>1651</v>
      </c>
    </row>
    <row r="396" spans="1:2">
      <c r="A396" t="s">
        <v>777</v>
      </c>
      <c r="B396" t="s">
        <v>1652</v>
      </c>
    </row>
    <row r="397" spans="1:2">
      <c r="A397" t="s">
        <v>778</v>
      </c>
      <c r="B397" t="s">
        <v>1653</v>
      </c>
    </row>
    <row r="398" spans="1:2">
      <c r="A398" t="s">
        <v>779</v>
      </c>
      <c r="B398" t="s">
        <v>1654</v>
      </c>
    </row>
    <row r="399" spans="1:2">
      <c r="A399" t="s">
        <v>780</v>
      </c>
      <c r="B399" t="s">
        <v>1655</v>
      </c>
    </row>
    <row r="400" spans="1:2">
      <c r="A400" t="s">
        <v>1311</v>
      </c>
      <c r="B400" t="s">
        <v>781</v>
      </c>
    </row>
    <row r="401" spans="1:2">
      <c r="A401" t="s">
        <v>782</v>
      </c>
      <c r="B401" t="s">
        <v>783</v>
      </c>
    </row>
    <row r="402" spans="1:2">
      <c r="A402" t="s">
        <v>784</v>
      </c>
      <c r="B402" t="s">
        <v>785</v>
      </c>
    </row>
    <row r="403" spans="1:2">
      <c r="A403" t="s">
        <v>786</v>
      </c>
      <c r="B403" t="s">
        <v>787</v>
      </c>
    </row>
    <row r="404" spans="1:2">
      <c r="A404" t="s">
        <v>788</v>
      </c>
      <c r="B404" t="s">
        <v>1656</v>
      </c>
    </row>
    <row r="405" spans="1:2">
      <c r="A405" t="s">
        <v>789</v>
      </c>
      <c r="B405" t="s">
        <v>790</v>
      </c>
    </row>
    <row r="406" spans="1:2">
      <c r="A406" t="s">
        <v>791</v>
      </c>
      <c r="B406" t="s">
        <v>792</v>
      </c>
    </row>
    <row r="407" spans="1:2">
      <c r="A407" t="s">
        <v>793</v>
      </c>
      <c r="B407" t="s">
        <v>794</v>
      </c>
    </row>
    <row r="408" spans="1:2">
      <c r="A408" t="s">
        <v>795</v>
      </c>
      <c r="B408" t="s">
        <v>1657</v>
      </c>
    </row>
    <row r="409" spans="1:2">
      <c r="A409" t="s">
        <v>796</v>
      </c>
      <c r="B409" t="s">
        <v>1658</v>
      </c>
    </row>
    <row r="410" spans="1:2">
      <c r="A410" t="s">
        <v>797</v>
      </c>
      <c r="B410" t="s">
        <v>1659</v>
      </c>
    </row>
    <row r="411" spans="1:2">
      <c r="A411" t="s">
        <v>798</v>
      </c>
      <c r="B411" t="s">
        <v>1660</v>
      </c>
    </row>
    <row r="412" spans="1:2">
      <c r="A412" t="s">
        <v>799</v>
      </c>
      <c r="B412" t="s">
        <v>800</v>
      </c>
    </row>
    <row r="413" spans="1:2">
      <c r="A413" t="s">
        <v>801</v>
      </c>
      <c r="B413" t="s">
        <v>1661</v>
      </c>
    </row>
    <row r="414" spans="1:2">
      <c r="A414" t="s">
        <v>802</v>
      </c>
      <c r="B414" t="s">
        <v>1662</v>
      </c>
    </row>
    <row r="415" spans="1:2">
      <c r="A415" t="s">
        <v>803</v>
      </c>
      <c r="B415" t="s">
        <v>804</v>
      </c>
    </row>
    <row r="416" spans="1:2">
      <c r="A416" t="s">
        <v>805</v>
      </c>
      <c r="B416" t="s">
        <v>806</v>
      </c>
    </row>
    <row r="417" spans="1:2">
      <c r="A417" t="s">
        <v>807</v>
      </c>
      <c r="B417" t="s">
        <v>808</v>
      </c>
    </row>
    <row r="418" spans="1:2">
      <c r="A418" t="s">
        <v>809</v>
      </c>
      <c r="B418" t="s">
        <v>1663</v>
      </c>
    </row>
    <row r="419" spans="1:2">
      <c r="A419" t="s">
        <v>810</v>
      </c>
      <c r="B419" t="s">
        <v>811</v>
      </c>
    </row>
    <row r="420" spans="1:2">
      <c r="A420" t="s">
        <v>812</v>
      </c>
      <c r="B420" t="s">
        <v>813</v>
      </c>
    </row>
    <row r="421" spans="1:2">
      <c r="A421" t="s">
        <v>814</v>
      </c>
      <c r="B421" t="s">
        <v>815</v>
      </c>
    </row>
    <row r="422" spans="1:2">
      <c r="A422" t="s">
        <v>816</v>
      </c>
      <c r="B422" t="s">
        <v>817</v>
      </c>
    </row>
    <row r="423" spans="1:2">
      <c r="A423" t="s">
        <v>818</v>
      </c>
      <c r="B423" t="s">
        <v>1664</v>
      </c>
    </row>
    <row r="424" spans="1:2">
      <c r="A424" t="s">
        <v>819</v>
      </c>
      <c r="B424" t="s">
        <v>820</v>
      </c>
    </row>
    <row r="425" spans="1:2">
      <c r="A425" t="s">
        <v>821</v>
      </c>
      <c r="B425" t="s">
        <v>1665</v>
      </c>
    </row>
    <row r="426" spans="1:2">
      <c r="A426" t="s">
        <v>822</v>
      </c>
      <c r="B426" t="s">
        <v>823</v>
      </c>
    </row>
    <row r="427" spans="1:2">
      <c r="A427" t="s">
        <v>824</v>
      </c>
      <c r="B427" t="s">
        <v>825</v>
      </c>
    </row>
    <row r="428" spans="1:2">
      <c r="A428" t="s">
        <v>826</v>
      </c>
      <c r="B428" t="s">
        <v>827</v>
      </c>
    </row>
    <row r="429" spans="1:2">
      <c r="A429" t="s">
        <v>828</v>
      </c>
      <c r="B429" t="s">
        <v>1666</v>
      </c>
    </row>
    <row r="430" spans="1:2">
      <c r="A430" t="s">
        <v>829</v>
      </c>
      <c r="B430" t="s">
        <v>830</v>
      </c>
    </row>
    <row r="431" spans="1:2">
      <c r="A431" t="s">
        <v>831</v>
      </c>
      <c r="B431" t="s">
        <v>1667</v>
      </c>
    </row>
    <row r="432" spans="1:2">
      <c r="A432" t="s">
        <v>832</v>
      </c>
      <c r="B432" t="s">
        <v>833</v>
      </c>
    </row>
    <row r="433" spans="1:2">
      <c r="A433" t="s">
        <v>834</v>
      </c>
      <c r="B433" t="s">
        <v>835</v>
      </c>
    </row>
    <row r="434" spans="1:2">
      <c r="A434" t="s">
        <v>836</v>
      </c>
      <c r="B434" t="s">
        <v>1668</v>
      </c>
    </row>
    <row r="435" spans="1:2">
      <c r="A435" t="s">
        <v>837</v>
      </c>
      <c r="B435" t="s">
        <v>1669</v>
      </c>
    </row>
    <row r="436" spans="1:2">
      <c r="A436" t="s">
        <v>838</v>
      </c>
      <c r="B436" t="s">
        <v>839</v>
      </c>
    </row>
    <row r="437" spans="1:2">
      <c r="A437" t="s">
        <v>840</v>
      </c>
      <c r="B437" t="s">
        <v>841</v>
      </c>
    </row>
    <row r="438" spans="1:2">
      <c r="A438" t="s">
        <v>842</v>
      </c>
      <c r="B438" t="s">
        <v>843</v>
      </c>
    </row>
    <row r="439" spans="1:2">
      <c r="A439" t="s">
        <v>844</v>
      </c>
      <c r="B439" t="s">
        <v>1670</v>
      </c>
    </row>
    <row r="440" spans="1:2">
      <c r="A440" t="s">
        <v>845</v>
      </c>
      <c r="B440" t="s">
        <v>1671</v>
      </c>
    </row>
    <row r="441" spans="1:2">
      <c r="A441" t="s">
        <v>846</v>
      </c>
      <c r="B441" t="s">
        <v>847</v>
      </c>
    </row>
    <row r="442" spans="1:2">
      <c r="A442" t="s">
        <v>848</v>
      </c>
      <c r="B442" t="s">
        <v>1672</v>
      </c>
    </row>
    <row r="443" spans="1:2">
      <c r="A443" t="s">
        <v>849</v>
      </c>
      <c r="B443" t="s">
        <v>850</v>
      </c>
    </row>
    <row r="444" spans="1:2">
      <c r="A444" t="s">
        <v>851</v>
      </c>
      <c r="B444" t="s">
        <v>1673</v>
      </c>
    </row>
    <row r="445" spans="1:2">
      <c r="A445" t="s">
        <v>852</v>
      </c>
      <c r="B445" t="s">
        <v>853</v>
      </c>
    </row>
    <row r="446" spans="1:2">
      <c r="A446" t="s">
        <v>854</v>
      </c>
      <c r="B446" t="s">
        <v>1674</v>
      </c>
    </row>
    <row r="447" spans="1:2">
      <c r="A447" t="s">
        <v>855</v>
      </c>
      <c r="B447" t="s">
        <v>1675</v>
      </c>
    </row>
    <row r="448" spans="1:2">
      <c r="A448" t="s">
        <v>856</v>
      </c>
      <c r="B448" t="s">
        <v>1676</v>
      </c>
    </row>
    <row r="449" spans="1:2">
      <c r="A449" t="s">
        <v>857</v>
      </c>
      <c r="B449" t="s">
        <v>1677</v>
      </c>
    </row>
    <row r="450" spans="1:2">
      <c r="A450" t="s">
        <v>858</v>
      </c>
      <c r="B450" t="s">
        <v>1678</v>
      </c>
    </row>
    <row r="451" spans="1:2">
      <c r="A451" t="s">
        <v>859</v>
      </c>
      <c r="B451" t="s">
        <v>860</v>
      </c>
    </row>
    <row r="452" spans="1:2">
      <c r="A452" t="s">
        <v>861</v>
      </c>
      <c r="B452" t="s">
        <v>1679</v>
      </c>
    </row>
    <row r="453" spans="1:2">
      <c r="A453" t="s">
        <v>862</v>
      </c>
      <c r="B453" t="s">
        <v>1680</v>
      </c>
    </row>
    <row r="454" spans="1:2">
      <c r="A454" t="s">
        <v>863</v>
      </c>
      <c r="B454" t="s">
        <v>864</v>
      </c>
    </row>
    <row r="455" spans="1:2">
      <c r="A455" t="s">
        <v>865</v>
      </c>
      <c r="B455" t="s">
        <v>866</v>
      </c>
    </row>
    <row r="456" spans="1:2">
      <c r="A456" t="s">
        <v>867</v>
      </c>
      <c r="B456" t="s">
        <v>868</v>
      </c>
    </row>
    <row r="457" spans="1:2">
      <c r="A457" t="s">
        <v>1681</v>
      </c>
      <c r="B457" t="s">
        <v>1682</v>
      </c>
    </row>
    <row r="458" spans="1:2">
      <c r="A458" t="s">
        <v>869</v>
      </c>
      <c r="B458" t="s">
        <v>870</v>
      </c>
    </row>
    <row r="459" spans="1:2">
      <c r="A459" t="s">
        <v>871</v>
      </c>
      <c r="B459" t="s">
        <v>1683</v>
      </c>
    </row>
    <row r="460" spans="1:2">
      <c r="A460" t="s">
        <v>872</v>
      </c>
      <c r="B460" t="s">
        <v>873</v>
      </c>
    </row>
    <row r="461" spans="1:2">
      <c r="A461" t="s">
        <v>874</v>
      </c>
      <c r="B461" t="s">
        <v>1684</v>
      </c>
    </row>
    <row r="462" spans="1:2">
      <c r="A462" t="s">
        <v>875</v>
      </c>
      <c r="B462" t="s">
        <v>1685</v>
      </c>
    </row>
    <row r="463" spans="1:2">
      <c r="A463" t="s">
        <v>876</v>
      </c>
      <c r="B463" t="s">
        <v>1686</v>
      </c>
    </row>
    <row r="464" spans="1:2">
      <c r="A464" t="s">
        <v>877</v>
      </c>
      <c r="B464" t="s">
        <v>878</v>
      </c>
    </row>
    <row r="465" spans="1:2">
      <c r="A465" t="s">
        <v>879</v>
      </c>
      <c r="B465" t="s">
        <v>880</v>
      </c>
    </row>
    <row r="466" spans="1:2">
      <c r="A466" t="s">
        <v>881</v>
      </c>
      <c r="B466" t="s">
        <v>1687</v>
      </c>
    </row>
    <row r="467" spans="1:2">
      <c r="A467" t="s">
        <v>882</v>
      </c>
      <c r="B467" t="s">
        <v>1688</v>
      </c>
    </row>
    <row r="468" spans="1:2">
      <c r="A468" t="s">
        <v>883</v>
      </c>
      <c r="B468" t="s">
        <v>884</v>
      </c>
    </row>
    <row r="469" spans="1:2">
      <c r="A469" t="s">
        <v>885</v>
      </c>
      <c r="B469" t="s">
        <v>886</v>
      </c>
    </row>
    <row r="470" spans="1:2">
      <c r="A470" t="s">
        <v>887</v>
      </c>
      <c r="B470" t="s">
        <v>888</v>
      </c>
    </row>
    <row r="471" spans="1:2">
      <c r="A471" t="s">
        <v>889</v>
      </c>
      <c r="B471" t="s">
        <v>1689</v>
      </c>
    </row>
    <row r="472" spans="1:2">
      <c r="A472" t="s">
        <v>890</v>
      </c>
      <c r="B472" t="s">
        <v>1704</v>
      </c>
    </row>
    <row r="473" spans="1:2">
      <c r="A473" t="s">
        <v>891</v>
      </c>
      <c r="B473" t="s">
        <v>1690</v>
      </c>
    </row>
    <row r="474" spans="1:2">
      <c r="A474" t="s">
        <v>892</v>
      </c>
      <c r="B474" t="s">
        <v>1691</v>
      </c>
    </row>
    <row r="475" spans="1:2">
      <c r="A475" t="s">
        <v>893</v>
      </c>
      <c r="B475" t="s">
        <v>894</v>
      </c>
    </row>
    <row r="476" spans="1:2">
      <c r="A476" t="s">
        <v>895</v>
      </c>
      <c r="B476" t="s">
        <v>896</v>
      </c>
    </row>
    <row r="477" spans="1:2">
      <c r="A477" t="s">
        <v>897</v>
      </c>
      <c r="B477" t="s">
        <v>1692</v>
      </c>
    </row>
    <row r="478" spans="1:2">
      <c r="A478" t="s">
        <v>898</v>
      </c>
      <c r="B478" t="s">
        <v>1693</v>
      </c>
    </row>
    <row r="479" spans="1:2">
      <c r="A479" t="s">
        <v>899</v>
      </c>
      <c r="B479" t="s">
        <v>900</v>
      </c>
    </row>
    <row r="480" spans="1:2">
      <c r="A480" t="s">
        <v>901</v>
      </c>
      <c r="B480" t="s">
        <v>1694</v>
      </c>
    </row>
    <row r="481" spans="1:2">
      <c r="A481" t="s">
        <v>902</v>
      </c>
      <c r="B481" t="s">
        <v>1695</v>
      </c>
    </row>
    <row r="482" spans="1:2">
      <c r="A482" t="s">
        <v>903</v>
      </c>
      <c r="B482" t="s">
        <v>1696</v>
      </c>
    </row>
    <row r="483" spans="1:2">
      <c r="A483" t="s">
        <v>904</v>
      </c>
      <c r="B483" t="s">
        <v>905</v>
      </c>
    </row>
    <row r="484" spans="1:2">
      <c r="A484" t="s">
        <v>906</v>
      </c>
      <c r="B484" t="s">
        <v>1697</v>
      </c>
    </row>
    <row r="485" spans="1:2">
      <c r="A485" t="s">
        <v>907</v>
      </c>
      <c r="B485" t="s">
        <v>908</v>
      </c>
    </row>
    <row r="486" spans="1:2">
      <c r="A486" t="s">
        <v>909</v>
      </c>
      <c r="B486" t="s">
        <v>1698</v>
      </c>
    </row>
    <row r="487" spans="1:2">
      <c r="A487" t="s">
        <v>910</v>
      </c>
      <c r="B487" t="s">
        <v>911</v>
      </c>
    </row>
    <row r="488" spans="1:2">
      <c r="A488" t="s">
        <v>912</v>
      </c>
      <c r="B488" t="s">
        <v>913</v>
      </c>
    </row>
    <row r="489" spans="1:2">
      <c r="A489" t="s">
        <v>914</v>
      </c>
      <c r="B489" t="s">
        <v>915</v>
      </c>
    </row>
    <row r="490" spans="1:2">
      <c r="A490" t="s">
        <v>916</v>
      </c>
      <c r="B490" t="s">
        <v>917</v>
      </c>
    </row>
    <row r="491" spans="1:2">
      <c r="A491" t="s">
        <v>918</v>
      </c>
      <c r="B491" t="s">
        <v>919</v>
      </c>
    </row>
    <row r="492" spans="1:2">
      <c r="A492" t="s">
        <v>920</v>
      </c>
      <c r="B492" t="s">
        <v>1699</v>
      </c>
    </row>
    <row r="493" spans="1:2">
      <c r="A493" t="s">
        <v>921</v>
      </c>
      <c r="B493" t="s">
        <v>922</v>
      </c>
    </row>
    <row r="494" spans="1:2">
      <c r="A494" t="s">
        <v>923</v>
      </c>
      <c r="B494" t="s">
        <v>924</v>
      </c>
    </row>
    <row r="495" spans="1:2">
      <c r="A495" t="s">
        <v>925</v>
      </c>
      <c r="B495" t="s">
        <v>926</v>
      </c>
    </row>
    <row r="496" spans="1:2">
      <c r="A496" t="s">
        <v>927</v>
      </c>
      <c r="B496" t="s">
        <v>1700</v>
      </c>
    </row>
    <row r="497" spans="1:2">
      <c r="A497" t="s">
        <v>928</v>
      </c>
      <c r="B497" t="s">
        <v>929</v>
      </c>
    </row>
    <row r="498" spans="1:2">
      <c r="A498" t="s">
        <v>930</v>
      </c>
      <c r="B498" t="s">
        <v>931</v>
      </c>
    </row>
    <row r="499" spans="1:2">
      <c r="A499" t="s">
        <v>932</v>
      </c>
      <c r="B499" t="s">
        <v>933</v>
      </c>
    </row>
    <row r="500" spans="1:2">
      <c r="A500" t="s">
        <v>934</v>
      </c>
      <c r="B500" t="s">
        <v>935</v>
      </c>
    </row>
    <row r="501" spans="1:2">
      <c r="A501" t="s">
        <v>936</v>
      </c>
      <c r="B501" t="s">
        <v>1701</v>
      </c>
    </row>
    <row r="502" spans="1:2">
      <c r="A502" t="s">
        <v>937</v>
      </c>
      <c r="B502" t="s">
        <v>938</v>
      </c>
    </row>
    <row r="503" spans="1:2">
      <c r="A503" s="101">
        <v>10</v>
      </c>
      <c r="B503" t="s">
        <v>1369</v>
      </c>
    </row>
    <row r="504" spans="1:2">
      <c r="A504" s="101">
        <v>11</v>
      </c>
      <c r="B504" t="s">
        <v>1370</v>
      </c>
    </row>
    <row r="505" spans="1:2">
      <c r="A505" s="101">
        <v>12</v>
      </c>
      <c r="B505" t="s">
        <v>477</v>
      </c>
    </row>
    <row r="506" spans="1:2">
      <c r="A506" s="101">
        <v>14</v>
      </c>
      <c r="B506" t="s">
        <v>478</v>
      </c>
    </row>
    <row r="507" spans="1:2">
      <c r="A507" s="101">
        <v>15</v>
      </c>
      <c r="B507" t="s">
        <v>479</v>
      </c>
    </row>
    <row r="508" spans="1:2">
      <c r="A508" s="101">
        <v>16</v>
      </c>
      <c r="B508" t="s">
        <v>1371</v>
      </c>
    </row>
    <row r="509" spans="1:2">
      <c r="A509" s="101">
        <v>17</v>
      </c>
      <c r="B509" t="s">
        <v>480</v>
      </c>
    </row>
    <row r="510" spans="1:2">
      <c r="A510" s="101">
        <v>18</v>
      </c>
      <c r="B510" t="s">
        <v>481</v>
      </c>
    </row>
    <row r="511" spans="1:2">
      <c r="A511" s="101">
        <v>19</v>
      </c>
      <c r="B511" t="s">
        <v>1372</v>
      </c>
    </row>
    <row r="512" spans="1:2">
      <c r="A512" s="101">
        <v>20</v>
      </c>
      <c r="B512" t="s">
        <v>520</v>
      </c>
    </row>
    <row r="513" spans="1:2">
      <c r="A513" s="101">
        <v>21</v>
      </c>
      <c r="B513" t="s">
        <v>521</v>
      </c>
    </row>
    <row r="514" spans="1:2">
      <c r="A514" s="101">
        <v>22</v>
      </c>
      <c r="B514" t="s">
        <v>522</v>
      </c>
    </row>
    <row r="515" spans="1:2">
      <c r="A515" s="101">
        <v>22</v>
      </c>
      <c r="B515" t="s">
        <v>523</v>
      </c>
    </row>
    <row r="516" spans="1:2">
      <c r="A516" s="101">
        <v>33</v>
      </c>
      <c r="B516" t="s">
        <v>532</v>
      </c>
    </row>
    <row r="517" spans="1:2">
      <c r="A517" s="101">
        <v>44</v>
      </c>
      <c r="B517" t="s">
        <v>539</v>
      </c>
    </row>
  </sheetData>
  <sheetProtection formatCells="0" formatColumns="0" formatRows="0" insertColumns="0" insertRows="0" insertHyperlinks="0" deleteColumns="0" deleteRows="0" sort="0" autoFilter="0" pivotTables="0"/>
  <phoneticPr fontId="0" type="noConversion"/>
  <pageMargins left="0.75" right="0.75" top="0.5" bottom="0.5" header="0.5" footer="0.25"/>
  <pageSetup scale="11" orientation="portrait" verticalDpi="0" r:id="rId1"/>
  <headerFooter alignWithMargins="0">
    <oddFooter>&amp;L&amp;F&amp;C&amp;A&amp;R&amp;D</oddFooter>
  </headerFooter>
  <ignoredErrors>
    <ignoredError sqref="M151" unlocked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C5"/>
  <sheetViews>
    <sheetView workbookViewId="0">
      <selection activeCell="C13" sqref="C13"/>
    </sheetView>
  </sheetViews>
  <sheetFormatPr baseColWidth="10" defaultColWidth="8.83203125" defaultRowHeight="13"/>
  <cols>
    <col min="2" max="2" width="24.83203125" bestFit="1" customWidth="1"/>
    <col min="3" max="3" width="13.5" customWidth="1"/>
  </cols>
  <sheetData>
    <row r="1" spans="1:3">
      <c r="A1" s="169" t="s">
        <v>2199</v>
      </c>
    </row>
    <row r="2" spans="1:3">
      <c r="A2" s="169" t="s">
        <v>2200</v>
      </c>
    </row>
    <row r="5" spans="1:3">
      <c r="B5" s="169" t="s">
        <v>2201</v>
      </c>
      <c r="C5" s="232">
        <v>2014</v>
      </c>
    </row>
  </sheetData>
  <dataValidations count="1">
    <dataValidation type="list" allowBlank="1" showInputMessage="1" showErrorMessage="1" sqref="C5" xr:uid="{00000000-0002-0000-0C00-000000000000}">
      <formula1>ListDataCollectionYear</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
  <sheetViews>
    <sheetView workbookViewId="0">
      <selection activeCell="F13" sqref="F13"/>
    </sheetView>
  </sheetViews>
  <sheetFormatPr baseColWidth="10" defaultColWidth="8.83203125" defaultRowHeight="13"/>
  <sheetData>
    <row r="2" spans="1:1">
      <c r="A2" t="s">
        <v>2220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1C2730A1D9CE464B97C9AEA1B4AC075F" ma:contentTypeVersion="1" ma:contentTypeDescription="Create a new document." ma:contentTypeScope="" ma:versionID="f30b60c2e7b375c403d8413191e2b892">
  <xsd:schema xmlns:xsd="http://www.w3.org/2001/XMLSchema" xmlns:xs="http://www.w3.org/2001/XMLSchema" xmlns:p="http://schemas.microsoft.com/office/2006/metadata/properties" xmlns:ns1="http://schemas.microsoft.com/sharepoint/v3" targetNamespace="http://schemas.microsoft.com/office/2006/metadata/properties" ma:root="true" ma:fieldsID="3b578c4f5e3785e9e67898c3ce124139"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 ma:hidden="true" ma:internalName="PublishingStartDate">
      <xsd:simpleType>
        <xsd:restriction base="dms:Unknown"/>
      </xsd:simpleType>
    </xsd:element>
    <xsd:element name="PublishingExpirationDate" ma:index="9" nillable="true" ma:displayName="Scheduling End Date" ma:description=""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C7B4FD4-3F59-4722-9DC7-2D93B3B96CDE}">
  <ds:schemaRefs>
    <ds:schemaRef ds:uri="http://schemas.microsoft.com/sharepoint/v3/contenttype/forms"/>
  </ds:schemaRefs>
</ds:datastoreItem>
</file>

<file path=customXml/itemProps2.xml><?xml version="1.0" encoding="utf-8"?>
<ds:datastoreItem xmlns:ds="http://schemas.openxmlformats.org/officeDocument/2006/customXml" ds:itemID="{0EC5C037-4812-49FC-858D-481ABBE3DAAE}">
  <ds:schemaRefs>
    <ds:schemaRef ds:uri="http://schemas.microsoft.com/PowerBIAddIn"/>
  </ds:schemaRefs>
</ds:datastoreItem>
</file>

<file path=customXml/itemProps3.xml><?xml version="1.0" encoding="utf-8"?>
<ds:datastoreItem xmlns:ds="http://schemas.openxmlformats.org/officeDocument/2006/customXml" ds:itemID="{3BC1E5D8-C0C6-4632-B491-F875F145AD69}">
  <ds:schemaRefs>
    <ds:schemaRef ds:uri="http://schemas.microsoft.com/office/2006/metadata/longProperties"/>
  </ds:schemaRefs>
</ds:datastoreItem>
</file>

<file path=customXml/itemProps4.xml><?xml version="1.0" encoding="utf-8"?>
<ds:datastoreItem xmlns:ds="http://schemas.openxmlformats.org/officeDocument/2006/customXml" ds:itemID="{9BB51753-EE96-435E-A13F-1A7C8925B365}">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5.xml><?xml version="1.0" encoding="utf-8"?>
<ds:datastoreItem xmlns:ds="http://schemas.openxmlformats.org/officeDocument/2006/customXml" ds:itemID="{DCFFAD68-6084-4A24-B54F-4C38AFECFE43}"/>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14</vt:i4>
      </vt:variant>
      <vt:variant>
        <vt:lpstr>Rangos con nombre</vt:lpstr>
      </vt:variant>
      <vt:variant>
        <vt:i4>15</vt:i4>
      </vt:variant>
    </vt:vector>
  </HeadingPairs>
  <TitlesOfParts>
    <vt:vector size="29" baseType="lpstr">
      <vt:lpstr>ReadMe</vt:lpstr>
      <vt:lpstr>Front Sheet</vt:lpstr>
      <vt:lpstr>Form 1 - aoctf</vt:lpstr>
      <vt:lpstr>Form 1</vt:lpstr>
      <vt:lpstr>Form 2</vt:lpstr>
      <vt:lpstr>Form 3 - 2009</vt:lpstr>
      <vt:lpstr>Form 3 - 2010</vt:lpstr>
      <vt:lpstr>Form 3 - 2011</vt:lpstr>
      <vt:lpstr>DataCheck</vt:lpstr>
      <vt:lpstr>Strategic KPIs Comparison</vt:lpstr>
      <vt:lpstr>AC Unit Cost Comparison</vt:lpstr>
      <vt:lpstr>References</vt:lpstr>
      <vt:lpstr>Setup</vt:lpstr>
      <vt:lpstr>Comments</vt:lpstr>
      <vt:lpstr>AirlineBusinessModel</vt:lpstr>
      <vt:lpstr>AirlineCode</vt:lpstr>
      <vt:lpstr>ReadMe!Área_de_impresión</vt:lpstr>
      <vt:lpstr>ClassCodes</vt:lpstr>
      <vt:lpstr>CountryNameAlone</vt:lpstr>
      <vt:lpstr>CurrencyCode</vt:lpstr>
      <vt:lpstr>CurrencyCountryCode</vt:lpstr>
      <vt:lpstr>DataCollectionYear</vt:lpstr>
      <vt:lpstr>FinancialYearEnd</vt:lpstr>
      <vt:lpstr>FinancialYearValue</vt:lpstr>
      <vt:lpstr>IATACode</vt:lpstr>
      <vt:lpstr>MtceCost</vt:lpstr>
      <vt:lpstr>ReportingCurrency</vt:lpstr>
      <vt:lpstr>RouteCodeAndRoutes</vt:lpstr>
      <vt:lpstr>RouteList</vt:lpstr>
    </vt:vector>
  </TitlesOfParts>
  <Company>IATA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ACMG Data Collection Toolset 2016 FY2015</dc:title>
  <dc:creator>IATA</dc:creator>
  <cp:lastModifiedBy>Sergio Moreira</cp:lastModifiedBy>
  <cp:lastPrinted>2012-06-29T15:35:12Z</cp:lastPrinted>
  <dcterms:created xsi:type="dcterms:W3CDTF">2003-06-02T09:28:57Z</dcterms:created>
  <dcterms:modified xsi:type="dcterms:W3CDTF">2019-05-02T18:31:10Z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0x0101001C2730A1D9CE464B97C9AEA1B4AC075F</vt:lpwstr>
  </property>
</Properties>
</file>