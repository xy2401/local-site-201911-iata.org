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worksheets/sheet2.xml" ContentType="application/vnd.openxmlformats-officedocument.spreadsheetml.worksheet+xml"/>
  <Override PartName="/xl/charts/chart5.xml" ContentType="application/vnd.openxmlformats-officedocument.drawingml.chart+xml"/>
  <Override PartName="/xl/charts/chart7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A93C3448-2578-E12B-C58C-25EFAD1D314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odhiamboc\Desktop\IGOM ANALYSIS\"/>
    </mc:Choice>
  </mc:AlternateContent>
  <bookViews>
    <workbookView xWindow="0" yWindow="0" windowWidth="25710" windowHeight="12030"/>
  </bookViews>
  <sheets>
    <sheet name="Main" sheetId="3" r:id="rId1"/>
    <sheet name="Checklist" sheetId="1" r:id="rId2"/>
    <sheet name="Dashboard Data" sheetId="4" state="hidden" r:id="rId3"/>
    <sheet name="Dashboard" sheetId="5" r:id="rId4"/>
  </sheets>
  <definedNames>
    <definedName name="Adverse_Weather_Conditions">Checklist!$H$214</definedName>
    <definedName name="Adverse_Weather_Oversight_Procedures">Checklist!$H$490</definedName>
    <definedName name="Aircraft_Arrival">Checklist!$H$307</definedName>
    <definedName name="Aircraft_Cabin_Servicing">Checklist!$H$295</definedName>
    <definedName name="Aircraft_Chocking">Checklist!$H$314</definedName>
    <definedName name="Aircraft_Coning">Checklist!$H$319</definedName>
    <definedName name="Aircraft_Departure">Checklist!$H$375</definedName>
    <definedName name="Aircraft_Doors">Checklist!$H$326</definedName>
    <definedName name="Aircraft_Loading">Checklist!$H$340</definedName>
    <definedName name="Aircraft_Towing">Checklist!$H$420</definedName>
    <definedName name="Aircraft_Towning">Checklist!$H$420</definedName>
    <definedName name="Airside_Safety_investigation_Procedure">Checklist!$H$476</definedName>
    <definedName name="Airside_Safety_Operational">Checklist!$H$463</definedName>
    <definedName name="Baggage_Handling">Checklist!$H$163</definedName>
    <definedName name="Baggage_Security">Checklist!$H$174</definedName>
    <definedName name="Cabin_Baggage">Checklist!$H$128</definedName>
    <definedName name="Checked_Baggage">Checklist!$H$135</definedName>
    <definedName name="Emergency_Response_Procedures">Checklist!$H$487</definedName>
    <definedName name="Hand_Signals">Checklist!$H$221</definedName>
    <definedName name="Information_Exchange">Checklist!$H$445</definedName>
    <definedName name="Introduction">Checklist!$H$430</definedName>
    <definedName name="Introduction_5">Checklist!$H$430</definedName>
    <definedName name="Introduction_6">Checklist!$H$464</definedName>
    <definedName name="Introduction5">Checklist!$H$430</definedName>
    <definedName name="Load_Control">Checklist!$H$429</definedName>
    <definedName name="Load_Control_Principles">Checklist!$H$433</definedName>
    <definedName name="Load_Control_Process_Flow">Checklist!$H$441</definedName>
    <definedName name="Load_planning">Checklist!$H$448</definedName>
    <definedName name="Loadsheet">Checklist!$H$454</definedName>
    <definedName name="Mishandled_Baggage">Checklist!$H$186</definedName>
    <definedName name="Monitoring_Procedures">Checklist!$H$484</definedName>
    <definedName name="Open_Ramp_Departure">Checklist!$H$417</definedName>
    <definedName name="Passenger_Arrival">Checklist!$H$55</definedName>
    <definedName name="Passenger_Departure">Checklist!$H$16</definedName>
    <definedName name="Passenger_Irregularities">Checklist!$H$118</definedName>
    <definedName name="Passenger_Security">Checklist!$H$47</definedName>
    <definedName name="Portable_Water_Servicing">Checklist!$H$289</definedName>
    <definedName name="Post_Departure_Messaging">Checklist!$H$460</definedName>
    <definedName name="Power_Push_Unit">Checklist!$H$407</definedName>
    <definedName name="_xlnm.Print_Area" localSheetId="3">Dashboard!$A$1:$L$30</definedName>
    <definedName name="_xlnm.Print_Area" localSheetId="0">Main!$A$1:$O$50</definedName>
    <definedName name="Ramp_Safety_in_Aircraft_Handling">Checklist!$H$193</definedName>
    <definedName name="Regulatory_Requirements">Checklist!$H$436</definedName>
    <definedName name="Reporting_incidents">Checklist!$H$473</definedName>
    <definedName name="Safety_During_Fueling_Defueling">Checklist!$H$209</definedName>
    <definedName name="Special_Baggage">Checklist!$H$143</definedName>
    <definedName name="Special_Categories_of_Passengers">Checklist!$H$68</definedName>
    <definedName name="Supervision_Scope">Checklist!$H$467</definedName>
    <definedName name="Toilet_Servicing">Checklist!$H$281</definedName>
    <definedName name="Turnaround_Coordination">Checklist!$H$470</definedName>
    <definedName name="Turnaroung_Coordination">Checklist!$H$470</definedName>
  </definedNames>
  <calcPr calcId="179021"/>
</workbook>
</file>

<file path=xl/calcChain.xml><?xml version="1.0" encoding="utf-8"?>
<calcChain xmlns="http://schemas.openxmlformats.org/spreadsheetml/2006/main">
  <c r="AS3" i="4" l="1"/>
  <c r="AR3" i="4"/>
  <c r="AQ3" i="4"/>
  <c r="AP3" i="4"/>
  <c r="AM3" i="4"/>
  <c r="AL3" i="4"/>
  <c r="AK3" i="4"/>
  <c r="AJ3" i="4"/>
  <c r="AG3" i="4"/>
  <c r="AF3" i="4"/>
  <c r="AE3" i="4"/>
  <c r="AD3" i="4"/>
  <c r="AA3" i="4"/>
  <c r="Z3" i="4"/>
  <c r="Y3" i="4"/>
  <c r="X3" i="4"/>
  <c r="U3" i="4"/>
  <c r="T3" i="4"/>
  <c r="S3" i="4"/>
  <c r="R3" i="4"/>
  <c r="O3" i="4"/>
  <c r="N3" i="4"/>
  <c r="M3" i="4"/>
  <c r="L3" i="4"/>
  <c r="F3" i="4"/>
  <c r="E3" i="4"/>
  <c r="D3" i="4"/>
  <c r="C3" i="4"/>
  <c r="C4" i="4" s="1"/>
  <c r="Y9" i="4" l="1"/>
  <c r="Z9" i="4"/>
  <c r="AA9" i="4"/>
  <c r="X9" i="4"/>
  <c r="AK4" i="4"/>
  <c r="AL4" i="4"/>
  <c r="AM4" i="4"/>
  <c r="AK5" i="4"/>
  <c r="AL5" i="4"/>
  <c r="AM5" i="4"/>
  <c r="AK6" i="4"/>
  <c r="AL6" i="4"/>
  <c r="AM6" i="4"/>
  <c r="AK7" i="4"/>
  <c r="AL7" i="4"/>
  <c r="AM7" i="4"/>
  <c r="AK8" i="4"/>
  <c r="AL8" i="4"/>
  <c r="AM8" i="4"/>
  <c r="AK9" i="4"/>
  <c r="AL9" i="4"/>
  <c r="AM9" i="4"/>
  <c r="AK10" i="4"/>
  <c r="AL10" i="4"/>
  <c r="AM10" i="4"/>
  <c r="AK11" i="4"/>
  <c r="AL11" i="4"/>
  <c r="AM11" i="4"/>
  <c r="AJ11" i="4"/>
  <c r="AJ10" i="4"/>
  <c r="AJ9" i="4"/>
  <c r="AJ8" i="4"/>
  <c r="AJ7" i="4"/>
  <c r="AJ6" i="4"/>
  <c r="AJ5" i="4"/>
  <c r="AJ4" i="4"/>
  <c r="AE4" i="4"/>
  <c r="AF4" i="4"/>
  <c r="AG4" i="4"/>
  <c r="AE5" i="4"/>
  <c r="AF5" i="4"/>
  <c r="AG5" i="4"/>
  <c r="AE6" i="4"/>
  <c r="AF6" i="4"/>
  <c r="AG6" i="4"/>
  <c r="AE7" i="4"/>
  <c r="AF7" i="4"/>
  <c r="AG7" i="4"/>
  <c r="AE8" i="4"/>
  <c r="AF8" i="4"/>
  <c r="AG8" i="4"/>
  <c r="AE9" i="4"/>
  <c r="AF9" i="4"/>
  <c r="AG9" i="4"/>
  <c r="AE10" i="4"/>
  <c r="AF10" i="4"/>
  <c r="AG10" i="4"/>
  <c r="AE11" i="4"/>
  <c r="AF11" i="4"/>
  <c r="AG11" i="4"/>
  <c r="AD11" i="4"/>
  <c r="AD10" i="4"/>
  <c r="AD9" i="4"/>
  <c r="AD8" i="4"/>
  <c r="AD7" i="4"/>
  <c r="AD6" i="4"/>
  <c r="AD5" i="4"/>
  <c r="AD4" i="4"/>
  <c r="Y4" i="4"/>
  <c r="Z4" i="4"/>
  <c r="AA4" i="4"/>
  <c r="Y5" i="4"/>
  <c r="Z5" i="4"/>
  <c r="AA5" i="4"/>
  <c r="Y6" i="4"/>
  <c r="Z6" i="4"/>
  <c r="AA6" i="4"/>
  <c r="Y7" i="4"/>
  <c r="Z7" i="4"/>
  <c r="AA7" i="4"/>
  <c r="Y8" i="4"/>
  <c r="Z8" i="4"/>
  <c r="AA8" i="4"/>
  <c r="Y10" i="4"/>
  <c r="Z10" i="4"/>
  <c r="AA10" i="4"/>
  <c r="Y11" i="4"/>
  <c r="Z11" i="4"/>
  <c r="AA11" i="4"/>
  <c r="Y12" i="4"/>
  <c r="Z12" i="4"/>
  <c r="AA12" i="4"/>
  <c r="X12" i="4"/>
  <c r="X11" i="4"/>
  <c r="X10" i="4"/>
  <c r="X8" i="4"/>
  <c r="X7" i="4"/>
  <c r="X6" i="4"/>
  <c r="X5" i="4"/>
  <c r="X4" i="4"/>
  <c r="S4" i="4"/>
  <c r="T4" i="4"/>
  <c r="U4" i="4"/>
  <c r="S5" i="4"/>
  <c r="T5" i="4"/>
  <c r="U5" i="4"/>
  <c r="S6" i="4"/>
  <c r="T6" i="4"/>
  <c r="U6" i="4"/>
  <c r="S7" i="4"/>
  <c r="T7" i="4"/>
  <c r="U7" i="4"/>
  <c r="S8" i="4"/>
  <c r="T8" i="4"/>
  <c r="U8" i="4"/>
  <c r="S9" i="4"/>
  <c r="T9" i="4"/>
  <c r="U9" i="4"/>
  <c r="S10" i="4"/>
  <c r="T10" i="4"/>
  <c r="U10" i="4"/>
  <c r="R10" i="4"/>
  <c r="R9" i="4"/>
  <c r="R8" i="4"/>
  <c r="R7" i="4"/>
  <c r="R6" i="4"/>
  <c r="R5" i="4"/>
  <c r="R4" i="4"/>
  <c r="M4" i="4"/>
  <c r="N4" i="4"/>
  <c r="O4" i="4"/>
  <c r="M5" i="4"/>
  <c r="N5" i="4"/>
  <c r="O5" i="4"/>
  <c r="M6" i="4"/>
  <c r="N6" i="4"/>
  <c r="O6" i="4"/>
  <c r="M7" i="4"/>
  <c r="N7" i="4"/>
  <c r="O7" i="4"/>
  <c r="M8" i="4"/>
  <c r="N8" i="4"/>
  <c r="O8" i="4"/>
  <c r="M9" i="4"/>
  <c r="N9" i="4"/>
  <c r="O9" i="4"/>
  <c r="L9" i="4"/>
  <c r="L8" i="4"/>
  <c r="L7" i="4"/>
  <c r="L6" i="4"/>
  <c r="L5" i="4"/>
  <c r="L4" i="4"/>
  <c r="D5" i="4"/>
  <c r="E5" i="4"/>
  <c r="F5" i="4"/>
  <c r="D6" i="4"/>
  <c r="E6" i="4"/>
  <c r="F6" i="4"/>
  <c r="D7" i="4"/>
  <c r="E7" i="4"/>
  <c r="F7" i="4"/>
  <c r="D8" i="4"/>
  <c r="E8" i="4"/>
  <c r="F8" i="4"/>
  <c r="C7" i="4"/>
  <c r="C6" i="4"/>
  <c r="C5" i="4"/>
  <c r="C8" i="4"/>
  <c r="D4" i="4"/>
  <c r="E4" i="4"/>
  <c r="F4" i="4"/>
</calcChain>
</file>

<file path=xl/sharedStrings.xml><?xml version="1.0" encoding="utf-8"?>
<sst xmlns="http://schemas.openxmlformats.org/spreadsheetml/2006/main" count="575" uniqueCount="561">
  <si>
    <t>1.1.1 Pre-Departure Activities</t>
  </si>
  <si>
    <t>1.1.1.1 Ticket Sales Counter</t>
  </si>
  <si>
    <t>1.1.1.2 Passenger Pre-Flight Preparation</t>
  </si>
  <si>
    <t>1.1.2 Check-In Counter Requirements</t>
  </si>
  <si>
    <t>1.1.3 Passenger Check-In</t>
  </si>
  <si>
    <t>1.1.4 Baggage Drop-Off</t>
  </si>
  <si>
    <t>1.1.5 Travel Documents and Verification</t>
  </si>
  <si>
    <t>1.1.6 Passenger Acceptance</t>
  </si>
  <si>
    <t>1.1.6.1 Requirements for Passenger Acceptance</t>
  </si>
  <si>
    <t>1.1.6.2 Seating</t>
  </si>
  <si>
    <t>1.1.6.3 Exit Row Seating</t>
  </si>
  <si>
    <t>1.1.7 Passenger Boarding</t>
  </si>
  <si>
    <t>1.1.8 Flight Documents</t>
  </si>
  <si>
    <t>1.1.9 Post Flight Departure Activities</t>
  </si>
  <si>
    <t>1.1.9.1 Messages</t>
  </si>
  <si>
    <t>1.1.9.2 Flight Document Retention</t>
  </si>
  <si>
    <t>Conformity</t>
  </si>
  <si>
    <t>Less Restrictive</t>
  </si>
  <si>
    <t>More Restrictive</t>
  </si>
  <si>
    <t>1.5.1 General Passenger Irregularity Guidelines</t>
  </si>
  <si>
    <t>1.2.1 Security of Documents</t>
  </si>
  <si>
    <t>1.2.1.2 Disposal of Printed Documents</t>
  </si>
  <si>
    <t>1.2.1.3 Information Security</t>
  </si>
  <si>
    <t>1.2.1.4 Restricted Areas</t>
  </si>
  <si>
    <t>1.2.2 Passenger Suitability for Travel</t>
  </si>
  <si>
    <t>1.3.1 Pre-Arrival</t>
  </si>
  <si>
    <t>1.3.2 Arrival</t>
  </si>
  <si>
    <t>1.3.4 Transit</t>
  </si>
  <si>
    <t>1.4.2 Infants and Children</t>
  </si>
  <si>
    <t>1.4.2.1 Infants</t>
  </si>
  <si>
    <t>1.4.2.2 Children</t>
  </si>
  <si>
    <t>1.4.3 Groups</t>
  </si>
  <si>
    <t>1.4.3.1 General</t>
  </si>
  <si>
    <t>1.4.3.2 Check-In</t>
  </si>
  <si>
    <t>1.4.4 Passengers Requiring Assistance</t>
  </si>
  <si>
    <t>1.4.5 Passenger Requiring Medical Clearance</t>
  </si>
  <si>
    <t>1.4.7 Service Animals</t>
  </si>
  <si>
    <t>1.4.8 Stretcher Transport</t>
  </si>
  <si>
    <t>1.4.9 Oxygen for Medical Use</t>
  </si>
  <si>
    <t>1.4.10 Inadmissible Passengers and Deportees</t>
  </si>
  <si>
    <t>1.4.10.1 Inadmissible Passengers (INAD)</t>
  </si>
  <si>
    <t>1.4.10.2 Deportees</t>
  </si>
  <si>
    <t>1.4.11 Unruly Passengers</t>
  </si>
  <si>
    <t>1.4.11.1 General Conditions of Passenger Carriage</t>
  </si>
  <si>
    <t>1.4.11.2 Handling Unruly Passengers During Check-In or Boarding</t>
  </si>
  <si>
    <t>1.4.11.3 If Passenger is Denied Carriage</t>
  </si>
  <si>
    <t>1.4.11.4 If Passenger is Accepted for Travel</t>
  </si>
  <si>
    <t>1.5.1.1 Information and Communication to Passengers</t>
  </si>
  <si>
    <t>1.5.2 Delays</t>
  </si>
  <si>
    <t>1.5.2.1 Handling Procedures</t>
  </si>
  <si>
    <t>1.5.2.2 Delay Known Before Check-In</t>
  </si>
  <si>
    <t>1.5.2.3 Delay Known Before Boarding</t>
  </si>
  <si>
    <t>1.5.3 Misconnections/Cancellations/Diversions</t>
  </si>
  <si>
    <t>1.5.4 Involuntary Change of Class</t>
  </si>
  <si>
    <t>1.5.5 Denied Boarding due to Unavailability of Seats</t>
  </si>
  <si>
    <t>1.5.5.1 General</t>
  </si>
  <si>
    <t>Chapter 2: Baggage Handling Procedures</t>
  </si>
  <si>
    <t>Cabin Baggage</t>
  </si>
  <si>
    <t>Checked Baggage</t>
  </si>
  <si>
    <t>Special Baggage</t>
  </si>
  <si>
    <t>Baggage Handling</t>
  </si>
  <si>
    <t>Baggage Security</t>
  </si>
  <si>
    <t>Mishandled Baggage</t>
  </si>
  <si>
    <t>2.1.1 General</t>
  </si>
  <si>
    <t>2.1.1.1 Definition</t>
  </si>
  <si>
    <t>2.1.1.2 Types of Cabin Baggage</t>
  </si>
  <si>
    <t>2.1.2 Acceptance</t>
  </si>
  <si>
    <t>2.1.2.1 Acceptance Policies</t>
  </si>
  <si>
    <t>2.1.2.2 Procedure at Check-In</t>
  </si>
  <si>
    <t>2.1.2.3 Procedure at Boarding</t>
  </si>
  <si>
    <t>2.2.1 General</t>
  </si>
  <si>
    <t>2.2.1.1 Definition and General Terms</t>
  </si>
  <si>
    <t>2.2.1.2 Checked Baggage Allowance</t>
  </si>
  <si>
    <t>2.2.2 Excess Baggage</t>
  </si>
  <si>
    <t>2.2.3 Standard Baggage Check-In</t>
  </si>
  <si>
    <t>2.2.4 Baggage Tags</t>
  </si>
  <si>
    <t>2.2.5 Baggage Destination</t>
  </si>
  <si>
    <t>2.3.1 Bulky and Oversized Baggage</t>
  </si>
  <si>
    <t>2.3.1.1 General</t>
  </si>
  <si>
    <t>2.3.1.2 Maximum Single Item Weight</t>
  </si>
  <si>
    <t>2.3.2 Cabin Seat Baggage (CBBG)</t>
  </si>
  <si>
    <t>2.3.2.1 Definition</t>
  </si>
  <si>
    <t>2.3.2.2 Loading and Lashing Cabin Seat Baggage</t>
  </si>
  <si>
    <t>2.3.3 Crew Baggage</t>
  </si>
  <si>
    <t>2.3.4 Delivery at Aircraft (DAA)</t>
  </si>
  <si>
    <t>2.3.4.1 Applicability</t>
  </si>
  <si>
    <t>2.3.4.2 Procedure at Boarding Gate</t>
  </si>
  <si>
    <t>2.3.4.3 Procedure at Arrival</t>
  </si>
  <si>
    <t>2.3.4.4 Security Procedure for Ad-Hoc Disembarking Passengers</t>
  </si>
  <si>
    <t>2.3.5 Sporting Equipment</t>
  </si>
  <si>
    <t>2.3.6 Wheelchairs and Mobility Aids</t>
  </si>
  <si>
    <t>2.3.6.1 Handling Wheel Chairs/Mobility Aids</t>
  </si>
  <si>
    <t>2.3.6.2 Wheelchairs or other Battery Operated Mobility Aids</t>
  </si>
  <si>
    <t>2.3.6.3 Accepting Wheelchairs/Mobility Aids with Non-Spillable Batteries</t>
  </si>
  <si>
    <t>2.3.6.4 Accepting Wheel Chairs/Mobility Aids with Spillable Batteries</t>
  </si>
  <si>
    <t>2.3.7.1 General</t>
  </si>
  <si>
    <t>2.3.7.2 Animals in Hold (AVIH)</t>
  </si>
  <si>
    <t>2.3.7.3 AVIH Handling</t>
  </si>
  <si>
    <t>2.4.1 Baggage Room Preparation</t>
  </si>
  <si>
    <t>2.4.3 Baggage Cut-Off &amp; ULD Load Verification Process</t>
  </si>
  <si>
    <t>2.4.4 Removal of Checked Baggage</t>
  </si>
  <si>
    <t>2.4.6 Short Connection Baggage</t>
  </si>
  <si>
    <t>2.4.6.1 Definition</t>
  </si>
  <si>
    <t>2.4.6.2 Identification</t>
  </si>
  <si>
    <t>2.4.6.3 Handling Short Connection Baggage</t>
  </si>
  <si>
    <t>2.5.1 General</t>
  </si>
  <si>
    <t>2.5.2 Handling of Hold Baggage</t>
  </si>
  <si>
    <t>2.5.3 Carriage of Weapons in Hold Baggage</t>
  </si>
  <si>
    <t>2.5.4 Security Removed Items</t>
  </si>
  <si>
    <t>2.5.5 Transfer and Connecting Baggage</t>
  </si>
  <si>
    <t>2.5.6 Baggage Reconciliation</t>
  </si>
  <si>
    <t>2.5.7 Dangerous Goods in Baggage</t>
  </si>
  <si>
    <t>2.6.1 Storage and Handling Mishandled/Unidentified/Unclaimed Baggage</t>
  </si>
  <si>
    <t>2.6.3 AVIH</t>
  </si>
  <si>
    <t>2.6.4 Legal Time Limits for Reporting</t>
  </si>
  <si>
    <t>Irregularities</t>
  </si>
  <si>
    <t>Ramp Safety in Aircraft Handling</t>
  </si>
  <si>
    <t>Toilet Servicing</t>
  </si>
  <si>
    <t>Departures</t>
  </si>
  <si>
    <t>Security</t>
  </si>
  <si>
    <t>Movement</t>
  </si>
  <si>
    <t>Category</t>
  </si>
  <si>
    <t>Chapter 5: Load Control</t>
  </si>
  <si>
    <t>5.6 Load Planning</t>
  </si>
  <si>
    <t>2.6 Mishandled Baggage</t>
  </si>
  <si>
    <t>2.5 Baggage Security</t>
  </si>
  <si>
    <t>2.4 Baggage Handling</t>
  </si>
  <si>
    <t>2.3 Special Baggage</t>
  </si>
  <si>
    <t>2.2 Checked Baggage</t>
  </si>
  <si>
    <t>2.1 Cabin Baggage</t>
  </si>
  <si>
    <t>1.5 Passenger Irregularities</t>
  </si>
  <si>
    <t>1.4 Special Categories of Passengers</t>
  </si>
  <si>
    <t>1.3 Passenger Arrival, Transfer and Transit</t>
  </si>
  <si>
    <t>1.2 Passenger Security</t>
  </si>
  <si>
    <t>1.1 Passenger Departure</t>
  </si>
  <si>
    <t>Chapter 1: Passenger Handling Procedures</t>
  </si>
  <si>
    <t>Supervision Scope</t>
  </si>
  <si>
    <t>6. Airside Supervision and Safety</t>
  </si>
  <si>
    <t>1. Passenger Handling Procedures</t>
  </si>
  <si>
    <t>2. Baggage Handling Procedures</t>
  </si>
  <si>
    <t>4. Aircraft Handling Procedures</t>
  </si>
  <si>
    <t>5. Load Control</t>
  </si>
  <si>
    <t>Safety During Fueling/Defueling</t>
  </si>
  <si>
    <t>Adverse Weather Conditions</t>
  </si>
  <si>
    <t>Aircraft Chocking</t>
  </si>
  <si>
    <t>Hand Signals</t>
  </si>
  <si>
    <t>Aircraft Arrival</t>
  </si>
  <si>
    <t>Aircraft Doors</t>
  </si>
  <si>
    <t>Aircraft Loading</t>
  </si>
  <si>
    <t>Aircraft Departure</t>
  </si>
  <si>
    <t>Aircraft Towing</t>
  </si>
  <si>
    <t>Load Control Principles</t>
  </si>
  <si>
    <t>Regulatory Requirements</t>
  </si>
  <si>
    <t>Load Control Process Flow</t>
  </si>
  <si>
    <t>Load Information Exchange</t>
  </si>
  <si>
    <t>Load Planning</t>
  </si>
  <si>
    <t>Passenger Handling Procedures</t>
  </si>
  <si>
    <t>Baggage Handling Procedures</t>
  </si>
  <si>
    <t>Cargo/Mail Handling Procedures</t>
  </si>
  <si>
    <t>Airside Supervision and Safety</t>
  </si>
  <si>
    <t>Aircraft Handling Procedures</t>
  </si>
  <si>
    <t>Load Control</t>
  </si>
  <si>
    <t>Actions/Notes</t>
  </si>
  <si>
    <t>Gap Analysis Airline GOM Vs IGOM</t>
  </si>
  <si>
    <t>IGOM Gap Analysis spreadsheet</t>
  </si>
  <si>
    <t>Airline GOM Provision</t>
  </si>
  <si>
    <t>Not Applicable</t>
  </si>
  <si>
    <t>Drop Down List</t>
  </si>
  <si>
    <t>1.1.3.1 General</t>
  </si>
  <si>
    <t>1.1.3.2 Check-In Deadlines</t>
  </si>
  <si>
    <t>1.1.3.3 Operating Carrier, Marketing Carrier and Wet Lease</t>
  </si>
  <si>
    <t>1.1.3.4 Check-In Types</t>
  </si>
  <si>
    <t>1.1.3.4.1 General</t>
  </si>
  <si>
    <t>1.1.3.4.2 Manual Check-In</t>
  </si>
  <si>
    <t>1.1.3.4.3 Through Check-In</t>
  </si>
  <si>
    <t>1.1.3.4.4 Return Check-In</t>
  </si>
  <si>
    <t>1.1.3.4.5 Self-Service Check-In</t>
  </si>
  <si>
    <t>1.1.3.5 Check-In Opening</t>
  </si>
  <si>
    <t>1.1.5.1 General</t>
  </si>
  <si>
    <t>1.1.5.2 Advance Passenger Information</t>
  </si>
  <si>
    <t>1.1.7.1 General</t>
  </si>
  <si>
    <t>1.1.7.2 Passenger Boarding Discrepancies</t>
  </si>
  <si>
    <t>1.1.7.3 Boarding in Case of DCS Breakdown</t>
  </si>
  <si>
    <t>1.1.8.1 General</t>
  </si>
  <si>
    <t>1.1.8.2 Passenger Information List (PIL)</t>
  </si>
  <si>
    <t>1.1.8.3 Other Flight Documents</t>
  </si>
  <si>
    <t>1.2.1.1 Boarding Passes, Transit Passes and Baggage Tags</t>
  </si>
  <si>
    <t>1.2.3 Security of Passengers and their Baggage</t>
  </si>
  <si>
    <t>1.3.4.1 General</t>
  </si>
  <si>
    <t>1.3.4.2 Disembarkation of Transit Passengers</t>
  </si>
  <si>
    <t>1.3.4.2.1 Disembarkation Procedure</t>
  </si>
  <si>
    <t>1.3.4.2.2 Transit Passengers Remain on Board</t>
  </si>
  <si>
    <t>1.3.4.3 Boarding Transit Passengers</t>
  </si>
  <si>
    <t>1.3.4.3.2 Missing Transit Passengers</t>
  </si>
  <si>
    <t>1.3.4.4 Programmed Aircraft Change En Route</t>
  </si>
  <si>
    <t>1.4.1 Unaccompanied Minors (UMNR)</t>
  </si>
  <si>
    <t>1.4.1.1 Seating</t>
  </si>
  <si>
    <t>1.4.1.3 Procedures for Handling Unaccompanied Minors</t>
  </si>
  <si>
    <t>1.4.1.4 Transfer Station Procedure</t>
  </si>
  <si>
    <t>1.4.1.5 Arrival Station Procedure</t>
  </si>
  <si>
    <t>1.4.1.2 Acceptance Restrictions</t>
  </si>
  <si>
    <t>1.4.2.1.1 General</t>
  </si>
  <si>
    <t>1.4.2.1.2 Seating</t>
  </si>
  <si>
    <t>1.4.2.1.3 Aircraft Baby Bassinets</t>
  </si>
  <si>
    <t>1.4.2.1.4 Baby Strollers</t>
  </si>
  <si>
    <t>1.4.2.2.1 General</t>
  </si>
  <si>
    <t>1.4.4.1 General</t>
  </si>
  <si>
    <t>1.4.4.2 Passengers with Reduced Mobility</t>
  </si>
  <si>
    <t>1.4.4.3 Passengers with Visual or Hearing Impairments</t>
  </si>
  <si>
    <t>1.4.5.1 General</t>
  </si>
  <si>
    <t>1.4.5.2 IATA Medical Information Form (MEDIF)</t>
  </si>
  <si>
    <t>1.4.5.4 Advance Notification</t>
  </si>
  <si>
    <t>1.4.5.5 Seating</t>
  </si>
  <si>
    <t>1.4.5.6 Request for Assistance without Advanced Notice</t>
  </si>
  <si>
    <t>1.4.10.1.1 General</t>
  </si>
  <si>
    <t>1.4.10.1.2 Unaccompanied or Accompanied Travel</t>
  </si>
  <si>
    <t>1.4.10.1.3 Refusal</t>
  </si>
  <si>
    <t>1.4.10.2.1 General</t>
  </si>
  <si>
    <t>2.3.6.5 Accepting Wheel Chairs/Mobility Aids with Lithium Batteries</t>
  </si>
  <si>
    <t>2.4.1.1 General</t>
  </si>
  <si>
    <t>2.5.3.1 General</t>
  </si>
  <si>
    <t>3.3.1 General</t>
  </si>
  <si>
    <t>5.1 Introduction</t>
  </si>
  <si>
    <t>5.2 Load Control Principles</t>
  </si>
  <si>
    <t>5.3 Regulatory Requirements</t>
  </si>
  <si>
    <t>5.3.1 General Requirements</t>
  </si>
  <si>
    <t>5.4 Load Control Process Flow</t>
  </si>
  <si>
    <t>5.4.1 Load Control Process Flow Schema</t>
  </si>
  <si>
    <t>5.4.2 Load Control Process Flow Legend: (Actions in Triangles Above are Defined Below)</t>
  </si>
  <si>
    <t>5.5 Information Exchange</t>
  </si>
  <si>
    <t>5.6.1 General</t>
  </si>
  <si>
    <t>5.6.2 Loading Instructions/Report (LIR)</t>
  </si>
  <si>
    <t>5.6.3 Off-Loading Instruction Report</t>
  </si>
  <si>
    <t>5.6.4 Notification to the Captain (NOTOC)</t>
  </si>
  <si>
    <t>5.7 Loadsheet</t>
  </si>
  <si>
    <t>5.7.1 Production Of Loadsheet</t>
  </si>
  <si>
    <t>5.7.2 Delivery of the Loadsheet</t>
  </si>
  <si>
    <t>5.7.3 Last Minute Change</t>
  </si>
  <si>
    <t>5.7.4 Loadsheet Discrepancies</t>
  </si>
  <si>
    <t>5.8 Post Departure Messaging</t>
  </si>
  <si>
    <t>Chapter 6: Airside Safety Operational Oversight</t>
  </si>
  <si>
    <t>6.1 Introduction</t>
  </si>
  <si>
    <t>6.1.1 Operational Requirements</t>
  </si>
  <si>
    <t>6.2 Supervision Scope</t>
  </si>
  <si>
    <t>6.3 Turnaround Coordination/Supervision Requirements</t>
  </si>
  <si>
    <t>6.5 Airside Safety Investigation Procedure</t>
  </si>
  <si>
    <t>6.5.1 General</t>
  </si>
  <si>
    <t>6.5.2 Factual Information</t>
  </si>
  <si>
    <t>6.5.3 Investigation Procedure</t>
  </si>
  <si>
    <t>6.5.4 Analysis</t>
  </si>
  <si>
    <t>6.5.5 Conclusion and Causes</t>
  </si>
  <si>
    <t>6.5.6 Investigation Follow-up</t>
  </si>
  <si>
    <t>6.6 Monitoring Procedures</t>
  </si>
  <si>
    <t>6.7 Emergency Response Procedures</t>
  </si>
  <si>
    <t>Load Sheet</t>
  </si>
  <si>
    <t>Supervision Requirements</t>
  </si>
  <si>
    <t>Reporting</t>
  </si>
  <si>
    <t>Safety Investigation Procedure</t>
  </si>
  <si>
    <t>Montoring Procedure</t>
  </si>
  <si>
    <t>Introduction</t>
  </si>
  <si>
    <t>1.1.3.4.6 Off-site Check-In</t>
  </si>
  <si>
    <t>1.1.3.4.7 Emergency Back-Up Check-In</t>
  </si>
  <si>
    <t>1.3.3 Transfer (Passenger Handling at Connecting Airport)</t>
  </si>
  <si>
    <t>1.3.4.3.1 Boarding Procedure</t>
  </si>
  <si>
    <t>1.4.2.2.2 Seating</t>
  </si>
  <si>
    <t>1.4.2.2.3 Child Restraint Device</t>
  </si>
  <si>
    <t>1.4.3.3 Non-Standard Groups</t>
  </si>
  <si>
    <t>1.4.5.3 Frequent Traveler's Medical Card (FREMEC)</t>
  </si>
  <si>
    <t>1.4.10.3 Seating</t>
  </si>
  <si>
    <t>1.4.10.4 Travel Documents</t>
  </si>
  <si>
    <t>1.4.10.5 Handling</t>
  </si>
  <si>
    <t>2.4.1.2 ULD Preparation and Build-up</t>
  </si>
  <si>
    <t>2.4.5 Transfer Baggage-Special Cases</t>
  </si>
  <si>
    <t>2.5.3.2 Passengers Authorized to Carry Weapons on Board</t>
  </si>
  <si>
    <t>2.5.3.3 Weapons Locked in the Cockpit under the PIC's Surveillance</t>
  </si>
  <si>
    <t>2.5.3.4 Weapons in Hold Baggage</t>
  </si>
  <si>
    <t>2.6.2 Mishandled Mobility Aids</t>
  </si>
  <si>
    <t>5.3.2 Qualification Requirements</t>
  </si>
  <si>
    <t>5.3.3 Documentation Requirements</t>
  </si>
  <si>
    <t>6.4 Reporting-Incidents, Accidents and Near-Misses</t>
  </si>
  <si>
    <t>6.8 Adverse Weather Oversight Procedures</t>
  </si>
  <si>
    <t>6.8.1 General</t>
  </si>
  <si>
    <t>6.8.2 Winter or Slippery Apron Conditions</t>
  </si>
  <si>
    <t>6.8.3 Storms-Lightning</t>
  </si>
  <si>
    <t>6.8.3.1 Notification Levels</t>
  </si>
  <si>
    <t>6.8.3.2 Lightning Alert Callout</t>
  </si>
  <si>
    <t>6.8.3.3 Counting Method</t>
  </si>
  <si>
    <t>6.8.4 High Wind Conditions</t>
  </si>
  <si>
    <t>Post Departure Messaging</t>
  </si>
  <si>
    <t>Adverse Weather Oversight Procedures</t>
  </si>
  <si>
    <t>Emergency Response Procedure</t>
  </si>
  <si>
    <t>7. Aircraft Cleaning</t>
  </si>
  <si>
    <t>Aircraft Cleaning</t>
  </si>
  <si>
    <t>Aircraft Cabin Appearance</t>
  </si>
  <si>
    <t>1.4.6 PRMs not requiring Medical Clearance</t>
  </si>
  <si>
    <t>1.4.6.1 Handling</t>
  </si>
  <si>
    <t>1.4.6.2 Refusal of PRM's and/or MEDA Cases</t>
  </si>
  <si>
    <t>1.4.6.2.1 General</t>
  </si>
  <si>
    <t>1.4.6.2.3 Reasons for Refusal</t>
  </si>
  <si>
    <t>1.4.6.2.4 Handling</t>
  </si>
  <si>
    <t>2.4.2 Baggage Sorting</t>
  </si>
  <si>
    <t>Chapter 3: Aircraft General Safety/Servicing Operations</t>
  </si>
  <si>
    <t>3.1 Ramp Safety in Aircraft Handling</t>
  </si>
  <si>
    <t>3.1.1 Introduction</t>
  </si>
  <si>
    <t>3.1.2 General Ramp Safety</t>
  </si>
  <si>
    <t>3.1.2.1 Engine Danger Area</t>
  </si>
  <si>
    <t>3.1.2.2 Engine Danger Area Diagrams</t>
  </si>
  <si>
    <t>3.1.2.3 Equipment Restraint Area &amp; Equipment Restraint Line</t>
  </si>
  <si>
    <t>3.1.2.4 FOD-Foreign Object Debris</t>
  </si>
  <si>
    <t>3.1.3 Safety Instructions for Operating Ground Support Equipment (GSE) on the Ramp</t>
  </si>
  <si>
    <t>3.1.3.1 General Safety Instructions</t>
  </si>
  <si>
    <t>3.1.3.2 Basic Operating Requirements for GSE</t>
  </si>
  <si>
    <t>3.1.3.3 Non-Motorized GSE</t>
  </si>
  <si>
    <t>3.1.3.4 Ground Support Equipment Safety Driving and Parking Inside ERA</t>
  </si>
  <si>
    <t>3.1.3.5 Passenger Boarding Bridge (PBB)</t>
  </si>
  <si>
    <t>3.1.3.6 Passenger Stairs</t>
  </si>
  <si>
    <t>3.1.3.7 Belt Loader</t>
  </si>
  <si>
    <t>3.1.3.8 ULD Loader</t>
  </si>
  <si>
    <t>3.1.3.9 Elevating Equipment</t>
  </si>
  <si>
    <t>3.2 Safety During Fueling/Defueling</t>
  </si>
  <si>
    <t>3.3 Adverse Weather Conditions</t>
  </si>
  <si>
    <t>3.2.1 Fueling Safety Zone</t>
  </si>
  <si>
    <t>3.2.2 Fuel Spillage</t>
  </si>
  <si>
    <t>3.2.3 Fueling/Defueling with Passengers on Board</t>
  </si>
  <si>
    <t>3.3.2 Winter or Slippery Apron Conditions</t>
  </si>
  <si>
    <t>3.3.3 Storms-Lighning Work Instructions</t>
  </si>
  <si>
    <t>3.3.4 High Wind Conditions Work instructions</t>
  </si>
  <si>
    <t>3.4 Hand Signals</t>
  </si>
  <si>
    <t>3.4.1 Introduction</t>
  </si>
  <si>
    <t>3.4.2 Conditions for Using Hand Signals</t>
  </si>
  <si>
    <t>3.4.3 Guide Person Hand Signals (for GSE)</t>
  </si>
  <si>
    <t>3.4.3.1 To Attract Operator's Attention and Take Command</t>
  </si>
  <si>
    <t>3.4.3.2 Forward Movement (toward person)</t>
  </si>
  <si>
    <t>3.4.3.3 Backward Movement</t>
  </si>
  <si>
    <t>3.4.3.4 Turn Right</t>
  </si>
  <si>
    <t>3.4.3.5 Turn Left</t>
  </si>
  <si>
    <t>3.4.3.7 Lower</t>
  </si>
  <si>
    <t>3.4.3.8 Accompanied Movement</t>
  </si>
  <si>
    <t>3.4.3.9 Indicate Distance</t>
  </si>
  <si>
    <t>3.4.3.10 Stop</t>
  </si>
  <si>
    <t>3.4.3.11 OK. All is clear or continue on your own or Drive Away</t>
  </si>
  <si>
    <t>3.4.3.12 Chocks Inserted; Stabilizers On</t>
  </si>
  <si>
    <t>3.4.3.13 Chocks Removed; Stabilizers Off</t>
  </si>
  <si>
    <t>3.4.3.14 To Interrupt Power Source (electricity, fue, air)</t>
  </si>
  <si>
    <t>3.4.3.15 Stop Engine</t>
  </si>
  <si>
    <t>3.4.3.16 To Connect or Disconnect</t>
  </si>
  <si>
    <t>3.4.3.17 Brakes On/Off</t>
  </si>
  <si>
    <t>3.4.3.6 Lift</t>
  </si>
  <si>
    <t>3.4.4 Pushback Hand Signals-Headset Operator to Tug Driver</t>
  </si>
  <si>
    <t>3.4.4.1 Vehicles Brakes On/Stop</t>
  </si>
  <si>
    <t>3.4.4.2 Clear to Push</t>
  </si>
  <si>
    <t>3.4.4.3 Negative/hold</t>
  </si>
  <si>
    <t>3.4.4.4 Vehicle Brakes on/Stop</t>
  </si>
  <si>
    <t>3.4.4.5 Slow Down</t>
  </si>
  <si>
    <t>3.4.4.6 Change of Pushback Direction</t>
  </si>
  <si>
    <t>3.4.5 Pushback Hand Signals-Wingwalker to Headset Operator/Tug Driver</t>
  </si>
  <si>
    <t>3.4.5.1 Clear to Move Aircraft</t>
  </si>
  <si>
    <t>3.4.5.2 Stop Movement of Aircraft</t>
  </si>
  <si>
    <t>3.4.5.3 Hold Movement of Aircraft</t>
  </si>
  <si>
    <t>3.4.6 Marshalling Hand Signals (for aircraft)</t>
  </si>
  <si>
    <t>3.4.6.2 Continue to Taxi Straight Ahead</t>
  </si>
  <si>
    <t>3.4.6.1 Identify Gate</t>
  </si>
  <si>
    <t>3.4.6.3 Slow Down</t>
  </si>
  <si>
    <t>3.4.6.4 Turn Right (from the pilots point of view)</t>
  </si>
  <si>
    <t>3.4.6.5 Turn Left (from the pilots point of view)</t>
  </si>
  <si>
    <t>3.4.6.6 Stop/Emergency Stop</t>
  </si>
  <si>
    <t>3.4.6.7 Hold Position/Stand-by</t>
  </si>
  <si>
    <t>3.4.6.8 Proceed to Next Marshaller or as Directed by Tower/Ground Control</t>
  </si>
  <si>
    <t>3.4.6.9 Dispatch Aircraft</t>
  </si>
  <si>
    <t>3.4.6.10 Fire</t>
  </si>
  <si>
    <t>3.4.6.11 Set Brakes</t>
  </si>
  <si>
    <t>3.4.6.12 Release Brakes</t>
  </si>
  <si>
    <t>3.4.6.13 Chocks Inserted</t>
  </si>
  <si>
    <t>3.4.6.14 Chocks Removed</t>
  </si>
  <si>
    <t>3.4.6.15 Start Engines</t>
  </si>
  <si>
    <t>3.4.6.16 Emergency Engine Shut Down</t>
  </si>
  <si>
    <t>3.4.7 Technical/Servicing Hand Signals-Ground Staff to Flight Crew</t>
  </si>
  <si>
    <t>3.4.7.1 Connect Towbar:</t>
  </si>
  <si>
    <t>3.4.7.2 Air Up (supply pressurised air for engine start):</t>
  </si>
  <si>
    <t>3.4.7.3 Connect/Disconnect Ground Power</t>
  </si>
  <si>
    <t>3.4.7.4 Affirmative/All Clear</t>
  </si>
  <si>
    <t>3.4.7.5 Negative</t>
  </si>
  <si>
    <t>3.4.7.6 Interphone</t>
  </si>
  <si>
    <t>3.4.7.7 Do not Touch Controls</t>
  </si>
  <si>
    <t>3.4.7.8 Open/Close Stairs Forward/Aft</t>
  </si>
  <si>
    <t>3.4.8 Technical/Servicing Hand Signals-Flight Crew to Ground Staff</t>
  </si>
  <si>
    <t>3.4.8.3 Insert Wheel Chocks</t>
  </si>
  <si>
    <t>3.4.8.1 Brakes Engaged</t>
  </si>
  <si>
    <t>3.4.8.2 Brakes Released</t>
  </si>
  <si>
    <t>3.4.8.4 Remove Wheel Chocks</t>
  </si>
  <si>
    <t>3.4.8.5 Ready to Start Engine(s)</t>
  </si>
  <si>
    <t>3.4.8.6 All Clear</t>
  </si>
  <si>
    <t>3.5 Toilet Servicing</t>
  </si>
  <si>
    <t>3.5.1 Introduction</t>
  </si>
  <si>
    <t>3.5.2 Hygiene Precautions</t>
  </si>
  <si>
    <t>3.5.3 Toilet Servicing Procedure</t>
  </si>
  <si>
    <t>3.5.3.1 General</t>
  </si>
  <si>
    <t>3.5.3.2 Draining</t>
  </si>
  <si>
    <t>3.5.3.3 Servicing During Freezing Conditions</t>
  </si>
  <si>
    <t>3.5.3.4 Inoperative Toilet Systems</t>
  </si>
  <si>
    <t>3.6 Portable Water Servicing</t>
  </si>
  <si>
    <t>3.6.1 General</t>
  </si>
  <si>
    <t>3.6.2 General Hygiene Precautions</t>
  </si>
  <si>
    <t>3.6.3 Potable Water Units Servicing Procedure</t>
  </si>
  <si>
    <t>3.6.3.1 Filling Aircraft Water Tanks</t>
  </si>
  <si>
    <t>3.6.3.2 Water Servicing During Freezing Conditions</t>
  </si>
  <si>
    <t>3.7 Aircraft Cabin Servicing</t>
  </si>
  <si>
    <t>Chapter 4: Aircraft Turn-around</t>
  </si>
  <si>
    <t>4.1.1 Actions Prior to Arrival</t>
  </si>
  <si>
    <t>4.1.2 Standard Arrival Procedure</t>
  </si>
  <si>
    <t>4.1.2.1 Aircraft Arrival at a Gate or Open Ramp</t>
  </si>
  <si>
    <t>4.1.2.2 Actions After Arrival</t>
  </si>
  <si>
    <t>4.1.3 Ground Support Equipment on Arriving Aircraft</t>
  </si>
  <si>
    <t>4.1.3.1 Ground Power Unit (GPU)</t>
  </si>
  <si>
    <t>4.1.3.2 Cooling/Heating Units/Pre-Conditioned Air (PCA)</t>
  </si>
  <si>
    <t>4.1 Aircraft Arrival</t>
  </si>
  <si>
    <t>3.7.1 Aircraft Dressing and Cleaning</t>
  </si>
  <si>
    <t>3.7.1.1 Seats</t>
  </si>
  <si>
    <t>3.7.1.2 Cabin</t>
  </si>
  <si>
    <t>3.7.1.3 Toilets</t>
  </si>
  <si>
    <t>3.7.1.4 Galleys</t>
  </si>
  <si>
    <t>3.7.1.5 Flight Deck</t>
  </si>
  <si>
    <t>3.7.2 Cleaning Equipment</t>
  </si>
  <si>
    <t>3.7.3 Health and Safety General Instructions</t>
  </si>
  <si>
    <t>3.7.4 Lost or Found/Damage/Any Suspicious Items</t>
  </si>
  <si>
    <t>3.7.5 Garbage Disposal</t>
  </si>
  <si>
    <t>4.2 Aircraft Chocking</t>
  </si>
  <si>
    <t>4.2.1 Wheel Chock Placement</t>
  </si>
  <si>
    <t>4.2.2 Chock Placement Diagrams</t>
  </si>
  <si>
    <t>4.2.3 Regional Aircraft Chocking</t>
  </si>
  <si>
    <t>4.3.1 Safety Cone Placement and Removal</t>
  </si>
  <si>
    <t>4.3.2 Cone Placement for Wing-Mounted Twin Engine Jet Aircraft</t>
  </si>
  <si>
    <t>4.3.3 Cone Placement for Fuselage-Mounted Twin Engine Commuter Aircraft</t>
  </si>
  <si>
    <t>4.3.4 Cone Placement for Wing-Mounted Twin Propeller Aircraft</t>
  </si>
  <si>
    <t>4.3.5 Cone Placement for Wing-Mounted Four Engine Jet Aircraft</t>
  </si>
  <si>
    <t>4.3 Aircraft Coning</t>
  </si>
  <si>
    <t>4.4 Aircraft Doors</t>
  </si>
  <si>
    <t>4.4.1 General Safety Requirements</t>
  </si>
  <si>
    <t>4.4.2 Cabin Access Doors</t>
  </si>
  <si>
    <t>4.4.2.1 General</t>
  </si>
  <si>
    <t>4.4.2.2 Opening Cabin Access Doors from Inside by Trained Crew</t>
  </si>
  <si>
    <t>4.4.2.3 Opening of Cabin Access Doors from Inside by Authorized and Trained Ground Staff</t>
  </si>
  <si>
    <t>4.4.2.4 Opening Cabin Access Doors from Outside with Crew/Ground Staff on Board</t>
  </si>
  <si>
    <t>4.4.2.5 Opening Cabin Access Doors from Outside with no Crew/Ground Staff on Board</t>
  </si>
  <si>
    <t>4.4.2.6 Embarkation or Disembarkation Through Cabin Access Doors</t>
  </si>
  <si>
    <t>4.4.2.7 Closing Cabin Access Doors</t>
  </si>
  <si>
    <t>4.4.2.8 Re-Opening Cabin Access Doors</t>
  </si>
  <si>
    <t>4.4.3 Cargo Hold Doors</t>
  </si>
  <si>
    <t>4.4.3.1 Opening Cargo Hold Doors</t>
  </si>
  <si>
    <t>4.4.3.2 Closing Cargo Hold Doors</t>
  </si>
  <si>
    <t>4.4.3.3 Re-Opening of Cargo Hold Doors</t>
  </si>
  <si>
    <t>4.5 Aircraft Loading</t>
  </si>
  <si>
    <t>4.5.1 Supervision of Aircraft Loading</t>
  </si>
  <si>
    <t>4.5.1.1 General</t>
  </si>
  <si>
    <t>4.5.1.2 Loading of General Baggage/Cargo</t>
  </si>
  <si>
    <t>4.5.1.3 Loading of Dangerous Goods (where Carried)</t>
  </si>
  <si>
    <t>4.5.2 Safety Requirements Specific to Aircraft Loading Operations</t>
  </si>
  <si>
    <t>4.5.2.1 General</t>
  </si>
  <si>
    <t>4.5.2.6 Low-Wing Aircraft</t>
  </si>
  <si>
    <t>4.5.2.7 Bulk Loading of Smaller Aircraft</t>
  </si>
  <si>
    <t>4.5.3 General Loading Precautions</t>
  </si>
  <si>
    <t>4.5.4 Spills in Cargo Holds</t>
  </si>
  <si>
    <t>4.5.5 Cargo Hold Inspection</t>
  </si>
  <si>
    <t>4.5.5.1 General</t>
  </si>
  <si>
    <t>4.5.5.2 Cargo Hold Damage</t>
  </si>
  <si>
    <t>4.5.5.3 Compartment Separator Nets</t>
  </si>
  <si>
    <t>4.5.5.4 Cargo Door Barrier Nets</t>
  </si>
  <si>
    <t>4.5.5.5 Container/Pallet Restraint System</t>
  </si>
  <si>
    <t>4.5.6 Advance Loading Preparation</t>
  </si>
  <si>
    <t>4.5.7 Aircraft Ground Stability</t>
  </si>
  <si>
    <t>4.5.8 Offloading Procedure</t>
  </si>
  <si>
    <t>4.5.8.1 Scaling Process</t>
  </si>
  <si>
    <t>4.5.8.2 Identifying Shipments Requiring Specific Handling</t>
  </si>
  <si>
    <t>4.5.8.3 Safety Precautions for Offload</t>
  </si>
  <si>
    <t>4.5.9 Loading Procedure</t>
  </si>
  <si>
    <t>4.5.10 Live Animals</t>
  </si>
  <si>
    <t>4.5.11 Wet Cargo</t>
  </si>
  <si>
    <t>4.5.12 Tie-Down</t>
  </si>
  <si>
    <t>4.5.12.1 General Rules</t>
  </si>
  <si>
    <t>4.5.12.2 Tie-Down Fittings</t>
  </si>
  <si>
    <t>4.5.12.3 Tie-Down Equipment</t>
  </si>
  <si>
    <t>4.5.12.4 Example of Tie-Down Provisions in Bulk Compartment</t>
  </si>
  <si>
    <t>4.5.13 Load Spreading</t>
  </si>
  <si>
    <t>4.5.14 Unit Load Devices (ULDs)</t>
  </si>
  <si>
    <t>4.5.14.1 General</t>
  </si>
  <si>
    <t>4.5.14.2 Identification/Labelling of ULDs</t>
  </si>
  <si>
    <t>4.5.14.3 Unit Load Device (ULD) Inspections</t>
  </si>
  <si>
    <t>4.6 Aircraft Departure</t>
  </si>
  <si>
    <t>4.6.1 Introduction</t>
  </si>
  <si>
    <t>4.6.2 Action Prior to Departure</t>
  </si>
  <si>
    <t>4.6.11.1 General</t>
  </si>
  <si>
    <t>4.6.11.2 Icy Conditions</t>
  </si>
  <si>
    <t>4.6.12 Nose Gear Steering</t>
  </si>
  <si>
    <t>4.6.12.1 General</t>
  </si>
  <si>
    <t>4.6.12.2 Nose Gear Protection and Steering Angles</t>
  </si>
  <si>
    <t>4.6.13 Anti-Collision Lights</t>
  </si>
  <si>
    <t>4.6.14 Engine Cross Bleed Start</t>
  </si>
  <si>
    <t>4.6.3 Pre-Departure Check</t>
  </si>
  <si>
    <t>4.6.3.1 Pre-Departure Walk Around Check</t>
  </si>
  <si>
    <t>4.6.4 Wheel Chock Removal</t>
  </si>
  <si>
    <t>4.6.5 Pre-Departure Table</t>
  </si>
  <si>
    <t>4.6.6 Engine Start using Air Start Unit (ASU)</t>
  </si>
  <si>
    <t>4.6.7 Communication Requirements</t>
  </si>
  <si>
    <t>4.6.7.1 Communication during Engine Start</t>
  </si>
  <si>
    <t>4.6.7.2 Communication during Engine Fire</t>
  </si>
  <si>
    <t>4.6.8 Departure Communication</t>
  </si>
  <si>
    <t>4.6.8.3 items to be Communicated between Ground Staff and Flight Crew</t>
  </si>
  <si>
    <t>4.6.8.4 Departure Communication without Interphone</t>
  </si>
  <si>
    <t>4.6.8.5 Re-Establishing Communication after Departure</t>
  </si>
  <si>
    <t>4.6.8.5.1 Initiated from the Cockpit</t>
  </si>
  <si>
    <t>4.6.8.5.2 Initiated from the Ground</t>
  </si>
  <si>
    <t>4.6.8.6 Interphone Communication Failure</t>
  </si>
  <si>
    <t>4.6.8.1 General</t>
  </si>
  <si>
    <t>4.6.8.2 Departure Communication Dialogue</t>
  </si>
  <si>
    <t>4.6.9 Preparation for Pushback</t>
  </si>
  <si>
    <t>4.6.9.1 Pre Departure Communication</t>
  </si>
  <si>
    <t>4.6.9.2 Connecting the Pushback Vehicle</t>
  </si>
  <si>
    <t>4.6.10 Aircraft Pushback</t>
  </si>
  <si>
    <t>4.6.10.1 Pushback Requirements</t>
  </si>
  <si>
    <t>4.6.10.2 Pushback &amp; Pull Forward</t>
  </si>
  <si>
    <t>4.6.10.3 Ground Crew in Charge of Pushback</t>
  </si>
  <si>
    <t>4.6.10.4 Wingwalker</t>
  </si>
  <si>
    <t>4.6.10.5 Tractor Driver</t>
  </si>
  <si>
    <t>4.6.11 Maneuvering During Adverse Waether Conditions</t>
  </si>
  <si>
    <t>4.7 Power Push Unit (PPU)-(Main Gear Towbarless tractor)</t>
  </si>
  <si>
    <t>4.7.1 PPU Specifies and Safety Measures</t>
  </si>
  <si>
    <t>4.7.2 Action before Pushback with PPU</t>
  </si>
  <si>
    <t>4.7.2.1 PPU Connection</t>
  </si>
  <si>
    <t>4.7.2.2 Engine Start when PPU is Used</t>
  </si>
  <si>
    <t>4.7.3 Pushback with a PPU</t>
  </si>
  <si>
    <t>4.7.4 Departure Dialogue when Using PPU</t>
  </si>
  <si>
    <t>4.7.5 Action after PPU Pushback</t>
  </si>
  <si>
    <t>4.7.6 Incidents During Pushback with PPU</t>
  </si>
  <si>
    <t>4.7.6.1 Instruction in Case of PPU Fire During Pushback</t>
  </si>
  <si>
    <t>4.7.6.2 PPU Incidents Checklist</t>
  </si>
  <si>
    <t>4.8 Open Ramp Departure</t>
  </si>
  <si>
    <t>4.9 Aircraft Towing</t>
  </si>
  <si>
    <t>4.9.1 Aircraft Towing Requirements</t>
  </si>
  <si>
    <t>4.9.2 Towing Maneuvering</t>
  </si>
  <si>
    <t>4.9.2.1 General</t>
  </si>
  <si>
    <t>4.9.2.2 Towing Preparation</t>
  </si>
  <si>
    <t>4.9.2.3 Towing Completion</t>
  </si>
  <si>
    <t>4.9.3 Incidents During Towing</t>
  </si>
  <si>
    <t>4.9.4 Towing Limits</t>
  </si>
  <si>
    <t>2.3.7 Handling of Pets (AVIH and PETC)</t>
  </si>
  <si>
    <t>Portable Water Servicing</t>
  </si>
  <si>
    <t>Aircraft Cabin Servicing</t>
  </si>
  <si>
    <t>Aircraft Coning</t>
  </si>
  <si>
    <t>Power Push Unit(PPU)</t>
  </si>
  <si>
    <t>Open Ramp Departure</t>
  </si>
  <si>
    <t>3. Aircraft General Safety/ Servicing Operations</t>
  </si>
  <si>
    <t>6.8.5 Sandstorms/Low Visibility</t>
  </si>
  <si>
    <t>6.8.6 Intense Heat</t>
  </si>
  <si>
    <t>4.7.5.1 Power Push Unit Disconnection</t>
  </si>
  <si>
    <t>4.5.2.2 Use of Carts and Dollies</t>
  </si>
  <si>
    <t>4.5.2.3 Use of Tractors</t>
  </si>
  <si>
    <t>4.5.2.4 Use of Belt Loaders</t>
  </si>
  <si>
    <t>4.5.2.5 Use of ULD Loaders</t>
  </si>
  <si>
    <t>3.3.5 High Winds Activity Table</t>
  </si>
  <si>
    <t>1.4.6.2.2 Right of Refusal</t>
  </si>
  <si>
    <t>Conform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</si>
</sst>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375BD"/>
        <bgColor indexed="64"/>
      </patternFill>
    </fill>
    <fill>
      <patternFill patternType="solid">
        <fgColor rgb="FF0A42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rgb="FF0A4279"/>
      </left>
      <right style="thin">
        <color indexed="64"/>
      </right>
      <top style="thin">
        <color rgb="FF0A4279"/>
      </top>
      <bottom/>
      <diagonal/>
    </border>
    <border>
      <left/>
      <right style="thin">
        <color indexed="64"/>
      </right>
      <top style="thin">
        <color rgb="FF0A42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1" xfId="0" applyFont="1" applyFill="1" applyBorder="1"/>
    <xf numFmtId="0" fontId="1" fillId="2" borderId="4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4" xfId="0" applyFont="1" applyFill="1" applyBorder="1" applyAlignment="1">
      <alignment horizontal="left"/>
    </xf>
    <xf numFmtId="0" fontId="7" fillId="3" borderId="15" xfId="0" applyFont="1" applyFill="1" applyBorder="1" applyAlignment="1">
      <alignment vertical="center"/>
    </xf>
    <xf numFmtId="0" fontId="7" fillId="3" borderId="14" xfId="0" applyFont="1" applyFill="1" applyBorder="1" applyAlignment="1">
      <alignment vertical="center"/>
    </xf>
    <xf numFmtId="0" fontId="7" fillId="3" borderId="16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11" fillId="4" borderId="12" xfId="0" applyFont="1" applyFill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1" fillId="0" borderId="9" xfId="0" applyFont="1" applyBorder="1" applyProtection="1"/>
    <xf numFmtId="0" fontId="1" fillId="2" borderId="10" xfId="0" applyFont="1" applyFill="1" applyBorder="1"/>
    <xf numFmtId="0" fontId="1" fillId="2" borderId="7" xfId="0" applyFont="1" applyFill="1" applyBorder="1"/>
    <xf numFmtId="0" fontId="7" fillId="3" borderId="9" xfId="0" applyFont="1" applyFill="1" applyBorder="1" applyAlignment="1">
      <alignment vertical="center"/>
    </xf>
    <xf numFmtId="0" fontId="1" fillId="0" borderId="23" xfId="0" applyFont="1" applyBorder="1" applyAlignment="1" applyProtection="1">
      <alignment horizontal="center"/>
      <protection locked="0"/>
    </xf>
    <xf numFmtId="0" fontId="1" fillId="0" borderId="32" xfId="0" applyFont="1" applyBorder="1" applyAlignment="1" applyProtection="1">
      <alignment horizontal="center"/>
      <protection locked="0"/>
    </xf>
    <xf numFmtId="0" fontId="7" fillId="3" borderId="8" xfId="0" applyFont="1" applyFill="1" applyBorder="1" applyAlignment="1">
      <alignment vertical="center"/>
    </xf>
    <xf numFmtId="0" fontId="1" fillId="2" borderId="34" xfId="0" applyFont="1" applyFill="1" applyBorder="1"/>
    <xf numFmtId="0" fontId="1" fillId="2" borderId="19" xfId="0" applyFont="1" applyFill="1" applyBorder="1"/>
    <xf numFmtId="0" fontId="1" fillId="2" borderId="35" xfId="0" applyFont="1" applyFill="1" applyBorder="1"/>
    <xf numFmtId="0" fontId="0" fillId="0" borderId="23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3" xfId="0" applyBorder="1" applyProtection="1">
      <protection locked="0"/>
    </xf>
    <xf numFmtId="0" fontId="6" fillId="4" borderId="17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24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/>
    </xf>
    <xf numFmtId="0" fontId="6" fillId="4" borderId="26" xfId="0" applyFont="1" applyFill="1" applyBorder="1" applyAlignment="1" applyProtection="1">
      <alignment horizontal="centerContinuous"/>
    </xf>
    <xf numFmtId="0" fontId="6" fillId="3" borderId="27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vertical="center" wrapText="1"/>
    </xf>
    <xf numFmtId="0" fontId="6" fillId="3" borderId="0" xfId="0" applyFont="1" applyFill="1" applyBorder="1" applyAlignment="1" applyProtection="1">
      <alignment vertical="center"/>
    </xf>
    <xf numFmtId="0" fontId="6" fillId="3" borderId="28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wrapText="1"/>
    </xf>
    <xf numFmtId="0" fontId="0" fillId="0" borderId="23" xfId="0" applyBorder="1" applyAlignment="1" applyProtection="1">
      <alignment horizontal="left" wrapText="1" indent="3"/>
    </xf>
    <xf numFmtId="0" fontId="0" fillId="0" borderId="29" xfId="0" applyBorder="1" applyAlignment="1" applyProtection="1">
      <alignment wrapText="1"/>
    </xf>
    <xf numFmtId="0" fontId="1" fillId="0" borderId="0" xfId="0" applyFont="1" applyProtection="1"/>
    <xf numFmtId="0" fontId="1" fillId="4" borderId="15" xfId="0" applyFont="1" applyFill="1" applyBorder="1" applyProtection="1"/>
    <xf numFmtId="0" fontId="10" fillId="4" borderId="11" xfId="0" applyFont="1" applyFill="1" applyBorder="1" applyAlignment="1" applyProtection="1"/>
    <xf numFmtId="0" fontId="9" fillId="4" borderId="12" xfId="0" applyFont="1" applyFill="1" applyBorder="1" applyAlignment="1" applyProtection="1">
      <alignment horizontal="left"/>
    </xf>
    <xf numFmtId="0" fontId="1" fillId="4" borderId="12" xfId="0" applyFont="1" applyFill="1" applyBorder="1" applyProtection="1"/>
    <xf numFmtId="0" fontId="1" fillId="4" borderId="13" xfId="0" applyFont="1" applyFill="1" applyBorder="1" applyProtection="1"/>
    <xf numFmtId="0" fontId="1" fillId="0" borderId="15" xfId="0" applyFont="1" applyBorder="1" applyProtection="1"/>
    <xf numFmtId="0" fontId="1" fillId="0" borderId="0" xfId="0" applyFont="1" applyBorder="1" applyAlignment="1" applyProtection="1">
      <alignment horizontal="center"/>
    </xf>
    <xf numFmtId="0" fontId="1" fillId="0" borderId="9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2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wrapText="1"/>
    </xf>
    <xf numFmtId="0" fontId="0" fillId="0" borderId="0" xfId="0" applyBorder="1" applyProtection="1"/>
    <xf numFmtId="0" fontId="0" fillId="0" borderId="28" xfId="0" applyBorder="1" applyProtection="1"/>
    <xf numFmtId="0" fontId="0" fillId="0" borderId="27" xfId="0" applyBorder="1" applyAlignment="1" applyProtection="1">
      <alignment wrapText="1"/>
    </xf>
    <xf numFmtId="0" fontId="0" fillId="0" borderId="23" xfId="0" applyBorder="1" applyAlignment="1" applyProtection="1">
      <alignment horizontal="left" wrapText="1" indent="2"/>
    </xf>
    <xf numFmtId="0" fontId="0" fillId="0" borderId="31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0" fillId="0" borderId="23" xfId="0" applyBorder="1" applyAlignment="1" applyProtection="1">
      <alignment horizontal="left" wrapText="1"/>
    </xf>
    <xf numFmtId="0" fontId="0" fillId="0" borderId="0" xfId="0" applyProtection="1"/>
    <xf numFmtId="0" fontId="5" fillId="0" borderId="0" xfId="0" applyFont="1" applyProtection="1"/>
    <xf numFmtId="0" fontId="9" fillId="0" borderId="0" xfId="0" applyFont="1" applyAlignment="1" applyProtection="1">
      <alignment horizontal="left"/>
    </xf>
    <xf numFmtId="0" fontId="0" fillId="0" borderId="37" xfId="0" applyBorder="1" applyAlignment="1" applyProtection="1">
      <alignment wrapText="1"/>
    </xf>
    <xf numFmtId="0" fontId="0" fillId="0" borderId="37" xfId="0" applyBorder="1" applyProtection="1">
      <protection locked="0"/>
    </xf>
    <xf numFmtId="0" fontId="1" fillId="0" borderId="37" xfId="0" applyFont="1" applyBorder="1" applyAlignment="1" applyProtection="1">
      <alignment horizontal="center"/>
      <protection locked="0"/>
    </xf>
    <xf numFmtId="0" fontId="0" fillId="0" borderId="38" xfId="0" applyBorder="1" applyProtection="1">
      <protection locked="0"/>
    </xf>
    <xf numFmtId="0" fontId="0" fillId="0" borderId="37" xfId="0" applyBorder="1" applyAlignment="1" applyProtection="1"/>
    <xf numFmtId="0" fontId="0" fillId="0" borderId="36" xfId="0" applyBorder="1" applyAlignment="1" applyProtection="1">
      <alignment wrapText="1"/>
    </xf>
    <xf numFmtId="0" fontId="0" fillId="0" borderId="24" xfId="0" applyBorder="1" applyAlignment="1" applyProtection="1">
      <alignment horizontal="left" vertical="center" wrapText="1"/>
    </xf>
    <xf numFmtId="0" fontId="0" fillId="0" borderId="25" xfId="0" applyBorder="1" applyAlignment="1" applyProtection="1">
      <alignment wrapText="1"/>
    </xf>
    <xf numFmtId="0" fontId="0" fillId="0" borderId="25" xfId="0" applyBorder="1" applyProtection="1"/>
    <xf numFmtId="0" fontId="0" fillId="0" borderId="26" xfId="0" applyBorder="1" applyProtection="1"/>
    <xf numFmtId="0" fontId="0" fillId="0" borderId="24" xfId="0" applyBorder="1" applyAlignment="1" applyProtection="1">
      <alignment wrapText="1"/>
    </xf>
    <xf numFmtId="0" fontId="1" fillId="0" borderId="24" xfId="0" applyFont="1" applyBorder="1" applyProtection="1"/>
    <xf numFmtId="0" fontId="1" fillId="0" borderId="25" xfId="0" applyFont="1" applyBorder="1" applyProtection="1"/>
    <xf numFmtId="0" fontId="1" fillId="0" borderId="27" xfId="0" applyFont="1" applyBorder="1" applyProtection="1"/>
    <xf numFmtId="0" fontId="1" fillId="0" borderId="39" xfId="0" applyFont="1" applyBorder="1" applyProtection="1"/>
    <xf numFmtId="0" fontId="1" fillId="0" borderId="40" xfId="0" applyFont="1" applyBorder="1" applyProtection="1"/>
    <xf numFmtId="0" fontId="0" fillId="0" borderId="27" xfId="0" applyBorder="1" applyProtection="1"/>
    <xf numFmtId="0" fontId="6" fillId="3" borderId="27" xfId="0" applyFont="1" applyFill="1" applyBorder="1" applyAlignment="1" applyProtection="1"/>
    <xf numFmtId="0" fontId="0" fillId="0" borderId="29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vertical="center" wrapText="1"/>
    </xf>
    <xf numFmtId="0" fontId="3" fillId="0" borderId="0" xfId="0" applyFont="1"/>
    <xf numFmtId="0" fontId="0" fillId="0" borderId="29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6" xfId="0" applyBorder="1" applyAlignment="1" applyProtection="1">
      <alignment horizontal="left" vertical="center" wrapText="1"/>
    </xf>
    <xf numFmtId="0" fontId="6" fillId="4" borderId="20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1">
    <cellStyle name="Normal" xfId="0" builtinId="0"/>
  </cellStyles>
  <dxfs count="791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4EA9E3"/>
      <color rgb="FF0A4279"/>
      <color rgb="FFFFDB00"/>
      <color rgb="FF62B31A"/>
      <color rgb="FFEB3014"/>
      <color rgb="FFBDCF1B"/>
      <color rgb="FFF29300"/>
      <color rgb="FF00305B"/>
      <color rgb="FF037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75-48B3-8A34-89E4A3EF15A3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75-48B3-8A34-89E4A3EF15A3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775-48B3-8A34-89E4A3EF15A3}"/>
            </c:ext>
          </c:extLst>
        </c:ser>
        <c:ser>
          <c:idx val="3"/>
          <c:order val="3"/>
          <c:tx>
            <c:strRef>
              <c:f>'Dashboard Data'!$F$3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Data'!$F$4:$F$8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775-48B3-8A34-89E4A3EF1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74131656"/>
        <c:axId val="74132440"/>
        <c:axId val="0"/>
      </c:bar3DChart>
      <c:catAx>
        <c:axId val="74131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74132440"/>
        <c:crosses val="autoZero"/>
        <c:auto val="1"/>
        <c:lblAlgn val="ctr"/>
        <c:lblOffset val="100"/>
        <c:noMultiLvlLbl val="0"/>
      </c:catAx>
      <c:valAx>
        <c:axId val="741324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74131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Baggage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Data'!$L$3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Data'!$L$4:$L$9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5-4A5A-A14A-CF488113965E}"/>
            </c:ext>
          </c:extLst>
        </c:ser>
        <c:ser>
          <c:idx val="1"/>
          <c:order val="1"/>
          <c:tx>
            <c:strRef>
              <c:f>'Dashboard Data'!$M$3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Data'!$M$4:$M$9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5-4A5A-A14A-CF488113965E}"/>
            </c:ext>
          </c:extLst>
        </c:ser>
        <c:ser>
          <c:idx val="2"/>
          <c:order val="2"/>
          <c:tx>
            <c:strRef>
              <c:f>'Dashboard Data'!$N$3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A15-4A5A-A14A-CF488113965E}"/>
            </c:ext>
          </c:extLst>
        </c:ser>
        <c:ser>
          <c:idx val="3"/>
          <c:order val="3"/>
          <c:tx>
            <c:strRef>
              <c:f>'Dashboard Data'!$O$3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A15-4A5A-A14A-CF488113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46155744"/>
        <c:axId val="346156136"/>
        <c:axId val="0"/>
      </c:bar3DChart>
      <c:catAx>
        <c:axId val="346155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156136"/>
        <c:crosses val="autoZero"/>
        <c:auto val="1"/>
        <c:lblAlgn val="ctr"/>
        <c:lblOffset val="100"/>
        <c:noMultiLvlLbl val="0"/>
      </c:catAx>
      <c:valAx>
        <c:axId val="346156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 #</a:t>
                </a:r>
              </a:p>
            </c:rich>
          </c:tx>
          <c:layout>
            <c:manualLayout>
              <c:xMode val="edge"/>
              <c:yMode val="edge"/>
              <c:x val="2.2734777777777781E-2"/>
              <c:y val="0.2612827777777777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346155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252044444444443"/>
          <c:y val="0.35508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General Safety/ Servicing Operations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Data'!$R$3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Data'!$Q$4:$Q$10</c:f>
              <c:strCache>
                <c:ptCount val="7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</c:strCache>
            </c:strRef>
          </c:cat>
          <c:val>
            <c:numRef>
              <c:f>'Dashboard Data'!$R$4:$R$10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09-4444-BE85-5B3CFDDC62D4}"/>
            </c:ext>
          </c:extLst>
        </c:ser>
        <c:ser>
          <c:idx val="1"/>
          <c:order val="1"/>
          <c:tx>
            <c:strRef>
              <c:f>'Dashboard Data'!$S$3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Data'!$Q$4:$Q$10</c:f>
              <c:strCache>
                <c:ptCount val="7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</c:strCache>
            </c:strRef>
          </c:cat>
          <c:val>
            <c:numRef>
              <c:f>'Dashboard Data'!$S$4:$S$10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09-4444-BE85-5B3CFDDC62D4}"/>
            </c:ext>
          </c:extLst>
        </c:ser>
        <c:ser>
          <c:idx val="2"/>
          <c:order val="2"/>
          <c:tx>
            <c:strRef>
              <c:f>'Dashboard Data'!$T$3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Data'!$Q$4:$Q$10</c:f>
              <c:strCache>
                <c:ptCount val="7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</c:strCache>
            </c:strRef>
          </c:cat>
          <c:val>
            <c:numRef>
              <c:f>'Dashboard Data'!$T$4:$T$10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509-4444-BE85-5B3CFDDC62D4}"/>
            </c:ext>
          </c:extLst>
        </c:ser>
        <c:ser>
          <c:idx val="3"/>
          <c:order val="3"/>
          <c:tx>
            <c:strRef>
              <c:f>'Dashboard Data'!$U$3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Data'!$Q$4:$Q$10</c:f>
              <c:strCache>
                <c:ptCount val="7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</c:strCache>
            </c:strRef>
          </c:cat>
          <c:val>
            <c:numRef>
              <c:f>'Dashboard Data'!$U$4:$U$10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509-4444-BE85-5B3CFDDC6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46156920"/>
        <c:axId val="346157312"/>
        <c:axId val="0"/>
      </c:bar3DChart>
      <c:catAx>
        <c:axId val="346156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157312"/>
        <c:crosses val="autoZero"/>
        <c:auto val="1"/>
        <c:lblAlgn val="ctr"/>
        <c:lblOffset val="100"/>
        <c:noMultiLvlLbl val="0"/>
      </c:catAx>
      <c:valAx>
        <c:axId val="346157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346156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 b="0">
                <a:effectLst/>
              </a:rPr>
              <a:t>Aircraft Turn Around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</c:spPr>
    </c:backWall>
    <c:plotArea>
      <c:layout>
        <c:manualLayout>
          <c:layoutTarget val="inner"/>
          <c:xMode val="edge"/>
          <c:yMode val="edge"/>
          <c:x val="6.6492777777777776E-2"/>
          <c:y val="0.11709583333333333"/>
          <c:w val="0.79756100000000008"/>
          <c:h val="0.6490511111111111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'Dashboard Data'!$X$3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Data'!$W$4:$W$12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Data'!$X$4:$X$12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94-47A0-BC8C-EDCFE04D2381}"/>
            </c:ext>
          </c:extLst>
        </c:ser>
        <c:ser>
          <c:idx val="1"/>
          <c:order val="1"/>
          <c:tx>
            <c:strRef>
              <c:f>'Dashboard Data'!$Y$3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h="6350"/>
              </a:sp3d>
            </c:spPr>
            <c:txPr>
              <a:bodyPr rot="0" vert="horz" anchor="t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Data'!$W$4:$W$12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Data'!$Y$4:$Y$12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94-47A0-BC8C-EDCFE04D2381}"/>
            </c:ext>
          </c:extLst>
        </c:ser>
        <c:ser>
          <c:idx val="2"/>
          <c:order val="2"/>
          <c:tx>
            <c:strRef>
              <c:f>'Dashboard Data'!$Z$3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Data'!$W$4:$W$12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Data'!$Z$4:$Z$12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594-47A0-BC8C-EDCFE04D2381}"/>
            </c:ext>
          </c:extLst>
        </c:ser>
        <c:ser>
          <c:idx val="3"/>
          <c:order val="3"/>
          <c:tx>
            <c:strRef>
              <c:f>'Dashboard Data'!$AA$3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Data'!$W$4:$W$12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Data'!$AA$4:$AA$12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594-47A0-BC8C-EDCFE04D2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46158096"/>
        <c:axId val="346158488"/>
        <c:axId val="0"/>
      </c:bar3DChart>
      <c:catAx>
        <c:axId val="34615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 sz="900"/>
            </a:pPr>
            <a:endParaRPr lang="en-US"/>
          </a:p>
        </c:txPr>
        <c:crossAx val="346158488"/>
        <c:crosses val="autoZero"/>
        <c:auto val="0"/>
        <c:lblAlgn val="ctr"/>
        <c:lblOffset val="100"/>
        <c:noMultiLvlLbl val="0"/>
      </c:catAx>
      <c:valAx>
        <c:axId val="346158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36211111111111E-2"/>
              <c:y val="0.2197072222222222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346158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264266666666667"/>
          <c:y val="0.23866444444444448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Load</a:t>
            </a:r>
            <a:r>
              <a:rPr lang="en-US" sz="1400" b="0" baseline="0"/>
              <a:t> Control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Data'!$AD$3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Data'!$AC$4:$AC$11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Process Flow</c:v>
                </c:pt>
                <c:pt idx="4">
                  <c:v>Load Information Exchange</c:v>
                </c:pt>
                <c:pt idx="5">
                  <c:v>Load Planning</c:v>
                </c:pt>
                <c:pt idx="6">
                  <c:v>Load Sheet</c:v>
                </c:pt>
                <c:pt idx="7">
                  <c:v>Post Departure Messaging</c:v>
                </c:pt>
              </c:strCache>
            </c:strRef>
          </c:cat>
          <c:val>
            <c:numRef>
              <c:f>'Dashboard Data'!$AD$4:$AD$11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18-45FF-B1C0-8E3DF64E7C8A}"/>
            </c:ext>
          </c:extLst>
        </c:ser>
        <c:ser>
          <c:idx val="1"/>
          <c:order val="1"/>
          <c:tx>
            <c:strRef>
              <c:f>'Dashboard Data'!$AE$3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Data'!$AC$4:$AC$11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Process Flow</c:v>
                </c:pt>
                <c:pt idx="4">
                  <c:v>Load Information Exchange</c:v>
                </c:pt>
                <c:pt idx="5">
                  <c:v>Load Planning</c:v>
                </c:pt>
                <c:pt idx="6">
                  <c:v>Load Sheet</c:v>
                </c:pt>
                <c:pt idx="7">
                  <c:v>Post Departure Messaging</c:v>
                </c:pt>
              </c:strCache>
            </c:strRef>
          </c:cat>
          <c:val>
            <c:numRef>
              <c:f>'Dashboard Data'!$AE$4:$AE$11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18-45FF-B1C0-8E3DF64E7C8A}"/>
            </c:ext>
          </c:extLst>
        </c:ser>
        <c:ser>
          <c:idx val="2"/>
          <c:order val="2"/>
          <c:tx>
            <c:strRef>
              <c:f>'Dashboard Data'!$AF$3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Data'!$AC$4:$AC$11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Process Flow</c:v>
                </c:pt>
                <c:pt idx="4">
                  <c:v>Load Information Exchange</c:v>
                </c:pt>
                <c:pt idx="5">
                  <c:v>Load Planning</c:v>
                </c:pt>
                <c:pt idx="6">
                  <c:v>Load Sheet</c:v>
                </c:pt>
                <c:pt idx="7">
                  <c:v>Post Departure Messaging</c:v>
                </c:pt>
              </c:strCache>
            </c:strRef>
          </c:cat>
          <c:val>
            <c:numRef>
              <c:f>'Dashboard Data'!$AF$4:$AF$11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18-45FF-B1C0-8E3DF64E7C8A}"/>
            </c:ext>
          </c:extLst>
        </c:ser>
        <c:ser>
          <c:idx val="3"/>
          <c:order val="3"/>
          <c:tx>
            <c:strRef>
              <c:f>'Dashboard Data'!$AG$3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Data'!$AC$4:$AC$11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Process Flow</c:v>
                </c:pt>
                <c:pt idx="4">
                  <c:v>Load Information Exchange</c:v>
                </c:pt>
                <c:pt idx="5">
                  <c:v>Load Planning</c:v>
                </c:pt>
                <c:pt idx="6">
                  <c:v>Load Sheet</c:v>
                </c:pt>
                <c:pt idx="7">
                  <c:v>Post Departure Messaging</c:v>
                </c:pt>
              </c:strCache>
            </c:strRef>
          </c:cat>
          <c:val>
            <c:numRef>
              <c:f>'Dashboard Data'!$AG$4:$AG$11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918-45FF-B1C0-8E3DF64E7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46159272"/>
        <c:axId val="346816520"/>
        <c:axId val="0"/>
      </c:bar3DChart>
      <c:catAx>
        <c:axId val="346159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816520"/>
        <c:crosses val="autoZero"/>
        <c:auto val="1"/>
        <c:lblAlgn val="ctr"/>
        <c:lblOffset val="100"/>
        <c:noMultiLvlLbl val="0"/>
      </c:catAx>
      <c:valAx>
        <c:axId val="346816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346159272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86828711111111112"/>
          <c:y val="0.21749777777777782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>
                <a:effectLst/>
              </a:rPr>
              <a:t>Airside Safety Operational Oversight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Data'!$AJ$3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Data'!$AI$4:$AI$11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A9-4B58-B872-945E84D6953D}"/>
            </c:ext>
          </c:extLst>
        </c:ser>
        <c:ser>
          <c:idx val="1"/>
          <c:order val="1"/>
          <c:tx>
            <c:strRef>
              <c:f>'Dashboard Data'!$AK$3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Data'!$AI$4:$AI$11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A9-4B58-B872-945E84D6953D}"/>
            </c:ext>
          </c:extLst>
        </c:ser>
        <c:ser>
          <c:idx val="2"/>
          <c:order val="2"/>
          <c:tx>
            <c:strRef>
              <c:f>'Dashboard Data'!$AL$3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Data'!$AI$4:$AI$11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6A9-4B58-B872-945E84D6953D}"/>
            </c:ext>
          </c:extLst>
        </c:ser>
        <c:ser>
          <c:idx val="3"/>
          <c:order val="3"/>
          <c:tx>
            <c:strRef>
              <c:f>'Dashboard Data'!$AM$3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Data'!$AI$4:$AI$11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Data'!$AM$4:$AM$11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6A9-4B58-B872-945E84D6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346816912"/>
        <c:axId val="346817696"/>
        <c:axId val="0"/>
      </c:bar3DChart>
      <c:catAx>
        <c:axId val="34681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817696"/>
        <c:crosses val="autoZero"/>
        <c:auto val="1"/>
        <c:lblAlgn val="ctr"/>
        <c:lblOffset val="100"/>
        <c:noMultiLvlLbl val="0"/>
      </c:catAx>
      <c:valAx>
        <c:axId val="346817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346816912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'Dashboard Data'!$AO$3</c:f>
          <c:strCache>
            <c:ptCount val="1"/>
            <c:pt idx="0">
              <c:v>Aircraft Cleaning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Data'!$AP$3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Data'!$AO$4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Data'!$AP$4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5F-466F-A843-A36086E177D7}"/>
            </c:ext>
          </c:extLst>
        </c:ser>
        <c:ser>
          <c:idx val="1"/>
          <c:order val="1"/>
          <c:tx>
            <c:strRef>
              <c:f>'Dashboard Data'!$AQ$3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Data'!$AO$4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Data'!$AQ$4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5F-466F-A843-A36086E177D7}"/>
            </c:ext>
          </c:extLst>
        </c:ser>
        <c:ser>
          <c:idx val="2"/>
          <c:order val="2"/>
          <c:tx>
            <c:strRef>
              <c:f>'Dashboard Data'!$AR$3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Data'!$AO$4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Data'!$AR$4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5F-466F-A843-A36086E177D7}"/>
            </c:ext>
          </c:extLst>
        </c:ser>
        <c:ser>
          <c:idx val="3"/>
          <c:order val="3"/>
          <c:tx>
            <c:strRef>
              <c:f>'Dashboard Data'!$AS$3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Data'!$AO$4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Data'!$AS$4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5F-466F-A843-A36086E1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346818480"/>
        <c:axId val="346818872"/>
        <c:axId val="0"/>
      </c:bar3DChart>
      <c:catAx>
        <c:axId val="34681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818872"/>
        <c:crosses val="autoZero"/>
        <c:auto val="1"/>
        <c:lblAlgn val="ctr"/>
        <c:lblOffset val="100"/>
        <c:noMultiLvlLbl val="0"/>
      </c:catAx>
      <c:valAx>
        <c:axId val="3468188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34681848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92-4FE7-94DF-F2063891F01D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92-4FE7-94DF-F2063891F01D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92-4FE7-94DF-F2063891F01D}"/>
            </c:ext>
          </c:extLst>
        </c:ser>
        <c:ser>
          <c:idx val="3"/>
          <c:order val="3"/>
          <c:tx>
            <c:strRef>
              <c:f>'Dashboard Data'!$F$3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Data'!$F$4:$F$8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92-4FE7-94DF-F2063891F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46819656"/>
        <c:axId val="346820048"/>
        <c:axId val="0"/>
      </c:bar3DChart>
      <c:catAx>
        <c:axId val="346819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346820048"/>
        <c:crosses val="autoZero"/>
        <c:auto val="1"/>
        <c:lblAlgn val="ctr"/>
        <c:lblOffset val="100"/>
        <c:noMultiLvlLbl val="0"/>
      </c:catAx>
      <c:valAx>
        <c:axId val="346820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346819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hecklis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hecklist!A1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</xdr:colOff>
      <xdr:row>13</xdr:row>
      <xdr:rowOff>95250</xdr:rowOff>
    </xdr:from>
    <xdr:to>
      <xdr:col>6</xdr:col>
      <xdr:colOff>602775</xdr:colOff>
      <xdr:row>15</xdr:row>
      <xdr:rowOff>74250</xdr:rowOff>
    </xdr:to>
    <xdr:sp macro="" textlink="">
      <xdr:nvSpPr>
        <xdr:cNvPr id="32" name="Rounded Rectangle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4429125" y="2571750"/>
          <a:ext cx="1260000" cy="360000"/>
        </a:xfrm>
        <a:prstGeom prst="roundRect">
          <a:avLst/>
        </a:prstGeom>
        <a:solidFill>
          <a:srgbClr val="0A4279"/>
        </a:solidFill>
        <a:ln w="3175">
          <a:noFill/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400" b="0">
              <a:latin typeface="+mn-lt"/>
              <a:cs typeface="Latha" panose="020B0604020202020204" pitchFamily="34" charset="0"/>
            </a:rPr>
            <a:t>Gap</a:t>
          </a:r>
          <a:r>
            <a:rPr lang="en-US" sz="1400" b="0" baseline="0">
              <a:latin typeface="+mn-lt"/>
              <a:cs typeface="Latha" panose="020B0604020202020204" pitchFamily="34" charset="0"/>
            </a:rPr>
            <a:t> Analysis</a:t>
          </a:r>
          <a:endParaRPr lang="en-US" sz="14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pSpPr/>
      </xdr:nvGrpSpPr>
      <xdr:grpSpPr>
        <a:xfrm>
          <a:off x="0" y="0"/>
          <a:ext cx="12849225" cy="800100"/>
          <a:chOff x="0" y="0"/>
          <a:chExt cx="12849225" cy="800100"/>
        </a:xfrm>
      </xdr:grpSpPr>
      <xdr:grpSp>
        <xdr:nvGrpSpPr>
          <xdr:cNvPr id="6" name="IATA Logo Background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GrpSpPr/>
        </xdr:nvGrpSpPr>
        <xdr:grpSpPr>
          <a:xfrm>
            <a:off x="0" y="0"/>
            <a:ext cx="12849225" cy="800100"/>
            <a:chOff x="19051" y="0"/>
            <a:chExt cx="12763500" cy="800100"/>
          </a:xfrm>
        </xdr:grpSpPr>
        <xdr:sp macro="" textlink="">
          <xdr:nvSpPr>
            <xdr:cNvPr id="8" name="AutoShape 2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9" name="Rectangle 4">
              <a:extLst>
                <a:ext uri="{FF2B5EF4-FFF2-40B4-BE49-F238E27FC236}">
                  <a16:creationId xmlns:a16="http://schemas.microsoft.com/office/drawing/2014/main" xmlns="" id="{00000000-0008-0000-00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Rectangle 5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6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7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8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9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10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11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2">
              <a:extLst>
                <a:ext uri="{FF2B5EF4-FFF2-40B4-BE49-F238E27FC236}">
                  <a16:creationId xmlns:a16="http://schemas.microsoft.com/office/drawing/2014/main" xmlns="" id="{00000000-0008-0000-00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3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4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5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6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7">
              <a:extLst>
                <a:ext uri="{FF2B5EF4-FFF2-40B4-BE49-F238E27FC236}">
                  <a16:creationId xmlns:a16="http://schemas.microsoft.com/office/drawing/2014/main" xmlns="" id="{00000000-0008-0000-00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8">
              <a:extLst>
                <a:ext uri="{FF2B5EF4-FFF2-40B4-BE49-F238E27FC236}">
                  <a16:creationId xmlns:a16="http://schemas.microsoft.com/office/drawing/2014/main" xmlns="" id="{00000000-0008-0000-00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9">
              <a:extLst>
                <a:ext uri="{FF2B5EF4-FFF2-40B4-BE49-F238E27FC236}">
                  <a16:creationId xmlns:a16="http://schemas.microsoft.com/office/drawing/2014/main" xmlns="" id="{00000000-0008-0000-00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20">
              <a:extLst>
                <a:ext uri="{FF2B5EF4-FFF2-40B4-BE49-F238E27FC236}">
                  <a16:creationId xmlns:a16="http://schemas.microsoft.com/office/drawing/2014/main" xmlns="" id="{00000000-0008-0000-00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21">
              <a:extLst>
                <a:ext uri="{FF2B5EF4-FFF2-40B4-BE49-F238E27FC236}">
                  <a16:creationId xmlns:a16="http://schemas.microsoft.com/office/drawing/2014/main" xmlns="" id="{00000000-0008-0000-00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2">
              <a:extLst>
                <a:ext uri="{FF2B5EF4-FFF2-40B4-BE49-F238E27FC236}">
                  <a16:creationId xmlns:a16="http://schemas.microsoft.com/office/drawing/2014/main" xmlns="" id="{00000000-0008-0000-00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3">
              <a:extLst>
                <a:ext uri="{FF2B5EF4-FFF2-40B4-BE49-F238E27FC236}">
                  <a16:creationId xmlns:a16="http://schemas.microsoft.com/office/drawing/2014/main" xmlns="" id="{00000000-0008-0000-00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4" name="Freeform 24">
            <a:extLst>
              <a:ext uri="{FF2B5EF4-FFF2-40B4-BE49-F238E27FC236}">
                <a16:creationId xmlns:a16="http://schemas.microsoft.com/office/drawing/2014/main" xmlns="" id="{00000000-0008-0000-0000-000022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8</xdr:col>
      <xdr:colOff>114301</xdr:colOff>
      <xdr:row>13</xdr:row>
      <xdr:rowOff>95250</xdr:rowOff>
    </xdr:from>
    <xdr:to>
      <xdr:col>9</xdr:col>
      <xdr:colOff>526576</xdr:colOff>
      <xdr:row>15</xdr:row>
      <xdr:rowOff>74250</xdr:rowOff>
    </xdr:to>
    <xdr:sp macro="[0]!OpenDefaultChart" textlink="">
      <xdr:nvSpPr>
        <xdr:cNvPr id="35" name="Rounded Rectangle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6896101" y="2571750"/>
          <a:ext cx="1260000" cy="360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Dashboard</a:t>
          </a:r>
          <a:endParaRPr lang="en-US" sz="1600"/>
        </a:p>
      </xdr:txBody>
    </xdr:sp>
    <xdr:clientData/>
  </xdr:twoCellAnchor>
  <xdr:twoCellAnchor>
    <xdr:from>
      <xdr:col>3</xdr:col>
      <xdr:colOff>257175</xdr:colOff>
      <xdr:row>8</xdr:row>
      <xdr:rowOff>19050</xdr:rowOff>
    </xdr:from>
    <xdr:to>
      <xdr:col>11</xdr:col>
      <xdr:colOff>534866</xdr:colOff>
      <xdr:row>10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 txBox="1"/>
      </xdr:nvSpPr>
      <xdr:spPr>
        <a:xfrm>
          <a:off x="2800350" y="1543050"/>
          <a:ext cx="7059491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10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IGOM - Checklist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772583</xdr:colOff>
      <xdr:row>9</xdr:row>
      <xdr:rowOff>198143</xdr:rowOff>
    </xdr:from>
    <xdr:to>
      <xdr:col>9</xdr:col>
      <xdr:colOff>772583</xdr:colOff>
      <xdr:row>10</xdr:row>
      <xdr:rowOff>147970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xmlns="" id="{00000000-0008-0000-0100-000067000000}"/>
            </a:ext>
          </a:extLst>
        </xdr:cNvPr>
        <xdr:cNvCxnSpPr/>
      </xdr:nvCxnSpPr>
      <xdr:spPr>
        <a:xfrm>
          <a:off x="8525933" y="2226968"/>
          <a:ext cx="0" cy="149852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11388</xdr:colOff>
      <xdr:row>3</xdr:row>
      <xdr:rowOff>52735</xdr:rowOff>
    </xdr:from>
    <xdr:to>
      <xdr:col>9</xdr:col>
      <xdr:colOff>11388</xdr:colOff>
      <xdr:row>6</xdr:row>
      <xdr:rowOff>242338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xmlns="" id="{00000000-0008-0000-0100-000057000000}"/>
            </a:ext>
          </a:extLst>
        </xdr:cNvPr>
        <xdr:cNvCxnSpPr/>
      </xdr:nvCxnSpPr>
      <xdr:spPr>
        <a:xfrm>
          <a:off x="5603123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1377692</xdr:colOff>
      <xdr:row>0</xdr:row>
      <xdr:rowOff>424143</xdr:rowOff>
    </xdr:from>
    <xdr:to>
      <xdr:col>8</xdr:col>
      <xdr:colOff>3553863</xdr:colOff>
      <xdr:row>3</xdr:row>
      <xdr:rowOff>33820</xdr:rowOff>
    </xdr:to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xmlns="" id="{00000000-0008-0000-0100-000069000000}"/>
            </a:ext>
          </a:extLst>
        </xdr:cNvPr>
        <xdr:cNvSpPr txBox="1"/>
      </xdr:nvSpPr>
      <xdr:spPr>
        <a:xfrm>
          <a:off x="3405957" y="424143"/>
          <a:ext cx="2176171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Aircraft General Safety / Servicing Operations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118909</xdr:colOff>
      <xdr:row>0</xdr:row>
      <xdr:rowOff>424143</xdr:rowOff>
    </xdr:from>
    <xdr:to>
      <xdr:col>8</xdr:col>
      <xdr:colOff>1346533</xdr:colOff>
      <xdr:row>3</xdr:row>
      <xdr:rowOff>33820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xmlns="" id="{00000000-0008-0000-0100-00006A000000}"/>
            </a:ext>
          </a:extLst>
        </xdr:cNvPr>
        <xdr:cNvSpPr txBox="1"/>
      </xdr:nvSpPr>
      <xdr:spPr>
        <a:xfrm>
          <a:off x="2147174" y="424143"/>
          <a:ext cx="122762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Baggage Handling Procedures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424143</xdr:rowOff>
    </xdr:from>
    <xdr:to>
      <xdr:col>8</xdr:col>
      <xdr:colOff>87750</xdr:colOff>
      <xdr:row>3</xdr:row>
      <xdr:rowOff>33820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xmlns="" id="{00000000-0008-0000-0100-00006B000000}"/>
            </a:ext>
          </a:extLst>
        </xdr:cNvPr>
        <xdr:cNvSpPr txBox="1"/>
      </xdr:nvSpPr>
      <xdr:spPr>
        <a:xfrm>
          <a:off x="0" y="424143"/>
          <a:ext cx="2116015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Passenger Handling Procedures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21552</xdr:colOff>
      <xdr:row>0</xdr:row>
      <xdr:rowOff>424143</xdr:rowOff>
    </xdr:from>
    <xdr:to>
      <xdr:col>11</xdr:col>
      <xdr:colOff>71518</xdr:colOff>
      <xdr:row>3</xdr:row>
      <xdr:rowOff>33820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xmlns="" id="{00000000-0008-0000-0100-000068000000}"/>
            </a:ext>
          </a:extLst>
        </xdr:cNvPr>
        <xdr:cNvSpPr txBox="1"/>
      </xdr:nvSpPr>
      <xdr:spPr>
        <a:xfrm>
          <a:off x="5613287" y="424143"/>
          <a:ext cx="2391996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0</xdr:colOff>
      <xdr:row>3</xdr:row>
      <xdr:rowOff>98611</xdr:rowOff>
    </xdr:from>
    <xdr:to>
      <xdr:col>8</xdr:col>
      <xdr:colOff>59175</xdr:colOff>
      <xdr:row>3</xdr:row>
      <xdr:rowOff>246452</xdr:rowOff>
    </xdr:to>
    <xdr:sp macro="[0]!PassengerDeparture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>
          <a:spLocks noChangeAspect="1"/>
        </xdr:cNvSpPr>
      </xdr:nvSpPr>
      <xdr:spPr>
        <a:xfrm>
          <a:off x="0" y="927846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Departure</a:t>
          </a:r>
        </a:p>
      </xdr:txBody>
    </xdr:sp>
    <xdr:clientData/>
  </xdr:twoCellAnchor>
  <xdr:twoCellAnchor editAs="absolute">
    <xdr:from>
      <xdr:col>0</xdr:col>
      <xdr:colOff>0</xdr:colOff>
      <xdr:row>3</xdr:row>
      <xdr:rowOff>293176</xdr:rowOff>
    </xdr:from>
    <xdr:to>
      <xdr:col>8</xdr:col>
      <xdr:colOff>59175</xdr:colOff>
      <xdr:row>4</xdr:row>
      <xdr:rowOff>138458</xdr:rowOff>
    </xdr:to>
    <xdr:sp macro="[0]!PassengerSecurity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0" y="112241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Security</a:t>
          </a:r>
        </a:p>
      </xdr:txBody>
    </xdr:sp>
    <xdr:clientData/>
  </xdr:twoCellAnchor>
  <xdr:twoCellAnchor editAs="absolute">
    <xdr:from>
      <xdr:col>0</xdr:col>
      <xdr:colOff>0</xdr:colOff>
      <xdr:row>4</xdr:row>
      <xdr:rowOff>185182</xdr:rowOff>
    </xdr:from>
    <xdr:to>
      <xdr:col>8</xdr:col>
      <xdr:colOff>120575</xdr:colOff>
      <xdr:row>5</xdr:row>
      <xdr:rowOff>34813</xdr:rowOff>
    </xdr:to>
    <xdr:sp macro="[0]!PassengerArrivaTransferAndTravel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>
          <a:spLocks noChangeAspect="1"/>
        </xdr:cNvSpPr>
      </xdr:nvSpPr>
      <xdr:spPr>
        <a:xfrm>
          <a:off x="0" y="1316976"/>
          <a:ext cx="2148840" cy="152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Arrival, Transfer and Transit</a:t>
          </a:r>
        </a:p>
      </xdr:txBody>
    </xdr:sp>
    <xdr:clientData/>
  </xdr:twoCellAnchor>
  <xdr:twoCellAnchor editAs="absolute">
    <xdr:from>
      <xdr:col>0</xdr:col>
      <xdr:colOff>0</xdr:colOff>
      <xdr:row>5</xdr:row>
      <xdr:rowOff>77188</xdr:rowOff>
    </xdr:from>
    <xdr:to>
      <xdr:col>8</xdr:col>
      <xdr:colOff>59175</xdr:colOff>
      <xdr:row>5</xdr:row>
      <xdr:rowOff>225029</xdr:rowOff>
    </xdr:to>
    <xdr:sp macro="[0]!SpecialCategoriesOfPassengers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>
          <a:spLocks noChangeAspect="1"/>
        </xdr:cNvSpPr>
      </xdr:nvSpPr>
      <xdr:spPr>
        <a:xfrm>
          <a:off x="0" y="151154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Special  Categories of Passengers</a:t>
          </a:r>
        </a:p>
      </xdr:txBody>
    </xdr:sp>
    <xdr:clientData/>
  </xdr:twoCellAnchor>
  <xdr:twoCellAnchor editAs="absolute">
    <xdr:from>
      <xdr:col>8</xdr:col>
      <xdr:colOff>107202</xdr:colOff>
      <xdr:row>5</xdr:row>
      <xdr:rowOff>244674</xdr:rowOff>
    </xdr:from>
    <xdr:to>
      <xdr:col>8</xdr:col>
      <xdr:colOff>1204482</xdr:colOff>
      <xdr:row>6</xdr:row>
      <xdr:rowOff>86115</xdr:rowOff>
    </xdr:to>
    <xdr:sp macro="[0]!BaggageSecurity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 txBox="1"/>
      </xdr:nvSpPr>
      <xdr:spPr>
        <a:xfrm>
          <a:off x="2135467" y="1679027"/>
          <a:ext cx="109728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Security</a:t>
          </a:r>
        </a:p>
      </xdr:txBody>
    </xdr:sp>
    <xdr:clientData/>
  </xdr:twoCellAnchor>
  <xdr:twoCellAnchor editAs="absolute">
    <xdr:from>
      <xdr:col>8</xdr:col>
      <xdr:colOff>107202</xdr:colOff>
      <xdr:row>6</xdr:row>
      <xdr:rowOff>139651</xdr:rowOff>
    </xdr:from>
    <xdr:to>
      <xdr:col>8</xdr:col>
      <xdr:colOff>1387362</xdr:colOff>
      <xdr:row>6</xdr:row>
      <xdr:rowOff>291354</xdr:rowOff>
    </xdr:to>
    <xdr:sp macro="[0]!MishandledBaggage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 txBox="1"/>
      </xdr:nvSpPr>
      <xdr:spPr>
        <a:xfrm>
          <a:off x="2135467" y="1876563"/>
          <a:ext cx="1280160" cy="1517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Mishandled Baggage</a:t>
          </a:r>
        </a:p>
      </xdr:txBody>
    </xdr:sp>
    <xdr:clientData/>
  </xdr:twoCellAnchor>
  <xdr:twoCellAnchor editAs="absolute">
    <xdr:from>
      <xdr:col>8</xdr:col>
      <xdr:colOff>107202</xdr:colOff>
      <xdr:row>5</xdr:row>
      <xdr:rowOff>47136</xdr:rowOff>
    </xdr:from>
    <xdr:to>
      <xdr:col>8</xdr:col>
      <xdr:colOff>1204482</xdr:colOff>
      <xdr:row>5</xdr:row>
      <xdr:rowOff>192817</xdr:rowOff>
    </xdr:to>
    <xdr:sp macro="[0]!BaggageHandling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 txBox="1"/>
      </xdr:nvSpPr>
      <xdr:spPr>
        <a:xfrm>
          <a:off x="2135467" y="1481489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Handling</a:t>
          </a:r>
        </a:p>
      </xdr:txBody>
    </xdr:sp>
    <xdr:clientData/>
  </xdr:twoCellAnchor>
  <xdr:twoCellAnchor editAs="absolute">
    <xdr:from>
      <xdr:col>8</xdr:col>
      <xdr:colOff>107202</xdr:colOff>
      <xdr:row>4</xdr:row>
      <xdr:rowOff>164893</xdr:rowOff>
    </xdr:from>
    <xdr:to>
      <xdr:col>8</xdr:col>
      <xdr:colOff>1204482</xdr:colOff>
      <xdr:row>5</xdr:row>
      <xdr:rowOff>8015</xdr:rowOff>
    </xdr:to>
    <xdr:sp macro="[0]!SpecialBaggage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 txBox="1"/>
      </xdr:nvSpPr>
      <xdr:spPr>
        <a:xfrm>
          <a:off x="2135467" y="1296687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Special Baggage</a:t>
          </a:r>
        </a:p>
      </xdr:txBody>
    </xdr:sp>
    <xdr:clientData/>
  </xdr:twoCellAnchor>
  <xdr:twoCellAnchor editAs="absolute">
    <xdr:from>
      <xdr:col>8</xdr:col>
      <xdr:colOff>107202</xdr:colOff>
      <xdr:row>3</xdr:row>
      <xdr:rowOff>286626</xdr:rowOff>
    </xdr:from>
    <xdr:to>
      <xdr:col>8</xdr:col>
      <xdr:colOff>1204482</xdr:colOff>
      <xdr:row>4</xdr:row>
      <xdr:rowOff>129748</xdr:rowOff>
    </xdr:to>
    <xdr:sp macro="[0]!CheckedBaggage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 txBox="1"/>
      </xdr:nvSpPr>
      <xdr:spPr>
        <a:xfrm>
          <a:off x="2135467" y="1115861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Checked Baggage</a:t>
          </a:r>
        </a:p>
      </xdr:txBody>
    </xdr:sp>
    <xdr:clientData/>
  </xdr:twoCellAnchor>
  <xdr:twoCellAnchor editAs="absolute">
    <xdr:from>
      <xdr:col>8</xdr:col>
      <xdr:colOff>107202</xdr:colOff>
      <xdr:row>3</xdr:row>
      <xdr:rowOff>89088</xdr:rowOff>
    </xdr:from>
    <xdr:to>
      <xdr:col>8</xdr:col>
      <xdr:colOff>1204482</xdr:colOff>
      <xdr:row>3</xdr:row>
      <xdr:rowOff>234769</xdr:rowOff>
    </xdr:to>
    <xdr:sp macro="[0]!CabbinBaggage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 txBox="1"/>
      </xdr:nvSpPr>
      <xdr:spPr>
        <a:xfrm>
          <a:off x="2135467" y="918323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Cabin Baggage</a:t>
          </a:r>
        </a:p>
      </xdr:txBody>
    </xdr:sp>
    <xdr:clientData/>
  </xdr:twoCellAnchor>
  <xdr:twoCellAnchor editAs="absolute">
    <xdr:from>
      <xdr:col>0</xdr:col>
      <xdr:colOff>0</xdr:colOff>
      <xdr:row>5</xdr:row>
      <xdr:rowOff>271755</xdr:rowOff>
    </xdr:from>
    <xdr:to>
      <xdr:col>8</xdr:col>
      <xdr:colOff>59175</xdr:colOff>
      <xdr:row>6</xdr:row>
      <xdr:rowOff>115356</xdr:rowOff>
    </xdr:to>
    <xdr:sp macro="[0]!PassengerIrregularities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>
          <a:spLocks noChangeAspect="1"/>
        </xdr:cNvSpPr>
      </xdr:nvSpPr>
      <xdr:spPr>
        <a:xfrm>
          <a:off x="0" y="1706108"/>
          <a:ext cx="2087440" cy="146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Irregularities</a:t>
          </a:r>
        </a:p>
      </xdr:txBody>
    </xdr:sp>
    <xdr:clientData/>
  </xdr:twoCellAnchor>
  <xdr:twoCellAnchor editAs="absolute">
    <xdr:from>
      <xdr:col>8</xdr:col>
      <xdr:colOff>1415855</xdr:colOff>
      <xdr:row>6</xdr:row>
      <xdr:rowOff>128864</xdr:rowOff>
    </xdr:from>
    <xdr:to>
      <xdr:col>8</xdr:col>
      <xdr:colOff>3016055</xdr:colOff>
      <xdr:row>6</xdr:row>
      <xdr:rowOff>257737</xdr:rowOff>
    </xdr:to>
    <xdr:sp macro="[0]!PortableWaterServicing" textlink="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SpPr txBox="1"/>
      </xdr:nvSpPr>
      <xdr:spPr>
        <a:xfrm>
          <a:off x="3444120" y="1865776"/>
          <a:ext cx="1600200" cy="128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72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Portable Water Servicing</a:t>
          </a:r>
        </a:p>
      </xdr:txBody>
    </xdr:sp>
    <xdr:clientData/>
  </xdr:twoCellAnchor>
  <xdr:twoCellAnchor editAs="absolute">
    <xdr:from>
      <xdr:col>8</xdr:col>
      <xdr:colOff>1415855</xdr:colOff>
      <xdr:row>3</xdr:row>
      <xdr:rowOff>285449</xdr:rowOff>
    </xdr:from>
    <xdr:to>
      <xdr:col>8</xdr:col>
      <xdr:colOff>3244655</xdr:colOff>
      <xdr:row>4</xdr:row>
      <xdr:rowOff>120050</xdr:rowOff>
    </xdr:to>
    <xdr:sp macro="[0]!SafetyDuringFueling" textlink="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SpPr txBox="1"/>
      </xdr:nvSpPr>
      <xdr:spPr>
        <a:xfrm>
          <a:off x="3444120" y="1114684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Safety During Fueling/Defueling</a:t>
          </a:r>
        </a:p>
      </xdr:txBody>
    </xdr:sp>
    <xdr:clientData/>
  </xdr:twoCellAnchor>
  <xdr:twoCellAnchor editAs="absolute">
    <xdr:from>
      <xdr:col>8</xdr:col>
      <xdr:colOff>1415855</xdr:colOff>
      <xdr:row>3</xdr:row>
      <xdr:rowOff>97676</xdr:rowOff>
    </xdr:from>
    <xdr:to>
      <xdr:col>8</xdr:col>
      <xdr:colOff>3244655</xdr:colOff>
      <xdr:row>3</xdr:row>
      <xdr:rowOff>234836</xdr:rowOff>
    </xdr:to>
    <xdr:sp macro="[0]!RampSafety" textlink="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100-00002D000000}"/>
            </a:ext>
          </a:extLst>
        </xdr:cNvPr>
        <xdr:cNvSpPr txBox="1"/>
      </xdr:nvSpPr>
      <xdr:spPr>
        <a:xfrm>
          <a:off x="3444120" y="926911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Ramp Safety in Aircraft Handling</a:t>
          </a:r>
        </a:p>
      </xdr:txBody>
    </xdr:sp>
    <xdr:clientData/>
  </xdr:twoCellAnchor>
  <xdr:twoCellAnchor editAs="absolute">
    <xdr:from>
      <xdr:col>8</xdr:col>
      <xdr:colOff>1415855</xdr:colOff>
      <xdr:row>5</xdr:row>
      <xdr:rowOff>243650</xdr:rowOff>
    </xdr:from>
    <xdr:to>
      <xdr:col>8</xdr:col>
      <xdr:colOff>2330255</xdr:colOff>
      <xdr:row>6</xdr:row>
      <xdr:rowOff>78251</xdr:rowOff>
    </xdr:to>
    <xdr:sp macro="[0]!ToiletServicing" textlink="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SpPr txBox="1"/>
      </xdr:nvSpPr>
      <xdr:spPr>
        <a:xfrm>
          <a:off x="3444120" y="1678003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Toilet Servicing</a:t>
          </a:r>
        </a:p>
      </xdr:txBody>
    </xdr:sp>
    <xdr:clientData/>
  </xdr:twoCellAnchor>
  <xdr:twoCellAnchor editAs="absolute">
    <xdr:from>
      <xdr:col>8</xdr:col>
      <xdr:colOff>2779056</xdr:colOff>
      <xdr:row>4</xdr:row>
      <xdr:rowOff>280150</xdr:rowOff>
    </xdr:from>
    <xdr:to>
      <xdr:col>9</xdr:col>
      <xdr:colOff>11199</xdr:colOff>
      <xdr:row>6</xdr:row>
      <xdr:rowOff>123267</xdr:rowOff>
    </xdr:to>
    <xdr:sp macro="[0]!AircraftCabinServicing" textlink="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SpPr txBox="1"/>
      </xdr:nvSpPr>
      <xdr:spPr>
        <a:xfrm>
          <a:off x="4807321" y="1411944"/>
          <a:ext cx="795613" cy="448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Cabin Servicing</a:t>
          </a:r>
        </a:p>
      </xdr:txBody>
    </xdr:sp>
    <xdr:clientData/>
  </xdr:twoCellAnchor>
  <xdr:twoCellAnchor editAs="absolute">
    <xdr:from>
      <xdr:col>8</xdr:col>
      <xdr:colOff>1415855</xdr:colOff>
      <xdr:row>4</xdr:row>
      <xdr:rowOff>170663</xdr:rowOff>
    </xdr:from>
    <xdr:to>
      <xdr:col>8</xdr:col>
      <xdr:colOff>3244655</xdr:colOff>
      <xdr:row>5</xdr:row>
      <xdr:rowOff>5264</xdr:rowOff>
    </xdr:to>
    <xdr:sp macro="[0]!AdverseWeatherConditions" textlink="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SpPr txBox="1"/>
      </xdr:nvSpPr>
      <xdr:spPr>
        <a:xfrm>
          <a:off x="3444120" y="1302457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Adverse Weather Conditions</a:t>
          </a:r>
        </a:p>
      </xdr:txBody>
    </xdr:sp>
    <xdr:clientData/>
  </xdr:twoCellAnchor>
  <xdr:twoCellAnchor editAs="absolute">
    <xdr:from>
      <xdr:col>8</xdr:col>
      <xdr:colOff>1415855</xdr:colOff>
      <xdr:row>5</xdr:row>
      <xdr:rowOff>55877</xdr:rowOff>
    </xdr:from>
    <xdr:to>
      <xdr:col>8</xdr:col>
      <xdr:colOff>2330255</xdr:colOff>
      <xdr:row>5</xdr:row>
      <xdr:rowOff>193037</xdr:rowOff>
    </xdr:to>
    <xdr:sp macro="[0]!HandSignals" textlink="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SpPr txBox="1"/>
      </xdr:nvSpPr>
      <xdr:spPr>
        <a:xfrm>
          <a:off x="3444120" y="1490230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Hand Signals</a:t>
          </a:r>
        </a:p>
      </xdr:txBody>
    </xdr:sp>
    <xdr:clientData/>
  </xdr:twoCellAnchor>
  <xdr:twoCellAnchor editAs="absolute">
    <xdr:from>
      <xdr:col>7</xdr:col>
      <xdr:colOff>302419</xdr:colOff>
      <xdr:row>0</xdr:row>
      <xdr:rowOff>71430</xdr:rowOff>
    </xdr:from>
    <xdr:to>
      <xdr:col>7</xdr:col>
      <xdr:colOff>616743</xdr:colOff>
      <xdr:row>0</xdr:row>
      <xdr:rowOff>361575</xdr:rowOff>
    </xdr:to>
    <xdr:pic>
      <xdr:nvPicPr>
        <xdr:cNvPr id="57" name="Picture 5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419" y="7143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3799914</xdr:colOff>
      <xdr:row>0</xdr:row>
      <xdr:rowOff>28575</xdr:rowOff>
    </xdr:from>
    <xdr:to>
      <xdr:col>11</xdr:col>
      <xdr:colOff>4310084</xdr:colOff>
      <xdr:row>0</xdr:row>
      <xdr:rowOff>390535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4800" y="28575"/>
          <a:ext cx="510170" cy="36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</xdr:row>
      <xdr:rowOff>9525</xdr:rowOff>
    </xdr:from>
    <xdr:to>
      <xdr:col>12</xdr:col>
      <xdr:colOff>1575</xdr:colOff>
      <xdr:row>7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CxnSpPr/>
      </xdr:nvCxnSpPr>
      <xdr:spPr>
        <a:xfrm>
          <a:off x="0" y="1638300"/>
          <a:ext cx="12546000" cy="0"/>
        </a:xfrm>
        <a:prstGeom prst="line">
          <a:avLst/>
        </a:prstGeom>
        <a:ln w="12700">
          <a:solidFill>
            <a:srgbClr val="0A427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1361692</xdr:colOff>
      <xdr:row>3</xdr:row>
      <xdr:rowOff>52735</xdr:rowOff>
    </xdr:from>
    <xdr:to>
      <xdr:col>8</xdr:col>
      <xdr:colOff>1361692</xdr:colOff>
      <xdr:row>6</xdr:row>
      <xdr:rowOff>242338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xmlns="" id="{00000000-0008-0000-0100-000050000000}"/>
            </a:ext>
          </a:extLst>
        </xdr:cNvPr>
        <xdr:cNvCxnSpPr/>
      </xdr:nvCxnSpPr>
      <xdr:spPr>
        <a:xfrm>
          <a:off x="3389957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114485</xdr:colOff>
      <xdr:row>3</xdr:row>
      <xdr:rowOff>52735</xdr:rowOff>
    </xdr:from>
    <xdr:to>
      <xdr:col>8</xdr:col>
      <xdr:colOff>114485</xdr:colOff>
      <xdr:row>6</xdr:row>
      <xdr:rowOff>242338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xmlns="" id="{00000000-0008-0000-0100-000055000000}"/>
            </a:ext>
          </a:extLst>
        </xdr:cNvPr>
        <xdr:cNvCxnSpPr/>
      </xdr:nvCxnSpPr>
      <xdr:spPr>
        <a:xfrm>
          <a:off x="2142750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1086811</xdr:colOff>
      <xdr:row>0</xdr:row>
      <xdr:rowOff>104776</xdr:rowOff>
    </xdr:from>
    <xdr:to>
      <xdr:col>7</xdr:col>
      <xdr:colOff>1400011</xdr:colOff>
      <xdr:row>0</xdr:row>
      <xdr:rowOff>342169</xdr:rowOff>
    </xdr:to>
    <xdr:pic macro="[0]!OpenDefaultChart">
      <xdr:nvPicPr>
        <xdr:cNvPr id="95" name="Picture 94">
          <a:extLst>
            <a:ext uri="{FF2B5EF4-FFF2-40B4-BE49-F238E27FC236}">
              <a16:creationId xmlns:a16="http://schemas.microsoft.com/office/drawing/2014/main" xmlns="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11" y="104776"/>
          <a:ext cx="313200" cy="237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2</xdr:row>
      <xdr:rowOff>75145</xdr:rowOff>
    </xdr:from>
    <xdr:to>
      <xdr:col>0</xdr:col>
      <xdr:colOff>0</xdr:colOff>
      <xdr:row>5</xdr:row>
      <xdr:rowOff>201706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CxnSpPr/>
      </xdr:nvCxnSpPr>
      <xdr:spPr>
        <a:xfrm>
          <a:off x="9525" y="703795"/>
          <a:ext cx="0" cy="9249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94310</xdr:colOff>
      <xdr:row>3</xdr:row>
      <xdr:rowOff>52735</xdr:rowOff>
    </xdr:from>
    <xdr:to>
      <xdr:col>11</xdr:col>
      <xdr:colOff>94310</xdr:colOff>
      <xdr:row>6</xdr:row>
      <xdr:rowOff>235323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xmlns="" id="{00000000-0008-0000-0100-000061000000}"/>
            </a:ext>
          </a:extLst>
        </xdr:cNvPr>
        <xdr:cNvCxnSpPr/>
      </xdr:nvCxnSpPr>
      <xdr:spPr>
        <a:xfrm>
          <a:off x="8028075" y="881970"/>
          <a:ext cx="0" cy="1090265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2830285</xdr:colOff>
      <xdr:row>0</xdr:row>
      <xdr:rowOff>138793</xdr:rowOff>
    </xdr:from>
    <xdr:to>
      <xdr:col>11</xdr:col>
      <xdr:colOff>3429001</xdr:colOff>
      <xdr:row>0</xdr:row>
      <xdr:rowOff>371475</xdr:rowOff>
    </xdr:to>
    <xdr:sp macro="[0]!reset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0697935" y="138793"/>
          <a:ext cx="598716" cy="232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Reset</a:t>
          </a:r>
        </a:p>
      </xdr:txBody>
    </xdr:sp>
    <xdr:clientData/>
  </xdr:twoCellAnchor>
  <xdr:twoCellAnchor editAs="absolute">
    <xdr:from>
      <xdr:col>11</xdr:col>
      <xdr:colOff>102677</xdr:colOff>
      <xdr:row>0</xdr:row>
      <xdr:rowOff>424143</xdr:rowOff>
    </xdr:from>
    <xdr:to>
      <xdr:col>11</xdr:col>
      <xdr:colOff>2790264</xdr:colOff>
      <xdr:row>3</xdr:row>
      <xdr:rowOff>33820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SpPr txBox="1"/>
      </xdr:nvSpPr>
      <xdr:spPr>
        <a:xfrm>
          <a:off x="8036442" y="424143"/>
          <a:ext cx="2687587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</a:rPr>
            <a:t>Load Control</a:t>
          </a:r>
        </a:p>
      </xdr:txBody>
    </xdr:sp>
    <xdr:clientData/>
  </xdr:twoCellAnchor>
  <xdr:twoCellAnchor editAs="absolute">
    <xdr:from>
      <xdr:col>9</xdr:col>
      <xdr:colOff>85165</xdr:colOff>
      <xdr:row>3</xdr:row>
      <xdr:rowOff>94166</xdr:rowOff>
    </xdr:from>
    <xdr:to>
      <xdr:col>10</xdr:col>
      <xdr:colOff>194534</xdr:colOff>
      <xdr:row>3</xdr:row>
      <xdr:rowOff>231326</xdr:rowOff>
    </xdr:to>
    <xdr:sp macro="[0]!AircraftArrival" textlink="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SpPr txBox="1"/>
      </xdr:nvSpPr>
      <xdr:spPr>
        <a:xfrm>
          <a:off x="5676900" y="923401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Arrival</a:t>
          </a:r>
        </a:p>
      </xdr:txBody>
    </xdr:sp>
    <xdr:clientData/>
  </xdr:twoCellAnchor>
  <xdr:twoCellAnchor editAs="absolute">
    <xdr:from>
      <xdr:col>9</xdr:col>
      <xdr:colOff>85165</xdr:colOff>
      <xdr:row>3</xdr:row>
      <xdr:rowOff>280184</xdr:rowOff>
    </xdr:from>
    <xdr:to>
      <xdr:col>10</xdr:col>
      <xdr:colOff>194534</xdr:colOff>
      <xdr:row>4</xdr:row>
      <xdr:rowOff>114785</xdr:rowOff>
    </xdr:to>
    <xdr:sp macro="[0]!AircraftChoking" textlink="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SpPr txBox="1"/>
      </xdr:nvSpPr>
      <xdr:spPr>
        <a:xfrm>
          <a:off x="5676900" y="1109419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Chocking</a:t>
          </a:r>
        </a:p>
      </xdr:txBody>
    </xdr:sp>
    <xdr:clientData/>
  </xdr:twoCellAnchor>
  <xdr:twoCellAnchor editAs="absolute">
    <xdr:from>
      <xdr:col>9</xdr:col>
      <xdr:colOff>85165</xdr:colOff>
      <xdr:row>4</xdr:row>
      <xdr:rowOff>163643</xdr:rowOff>
    </xdr:from>
    <xdr:to>
      <xdr:col>10</xdr:col>
      <xdr:colOff>194534</xdr:colOff>
      <xdr:row>4</xdr:row>
      <xdr:rowOff>300803</xdr:rowOff>
    </xdr:to>
    <xdr:sp macro="[0]!AircraftConing" textlink="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SpPr txBox="1"/>
      </xdr:nvSpPr>
      <xdr:spPr>
        <a:xfrm>
          <a:off x="5676900" y="1295437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Coning</a:t>
          </a:r>
        </a:p>
      </xdr:txBody>
    </xdr:sp>
    <xdr:clientData/>
  </xdr:twoCellAnchor>
  <xdr:twoCellAnchor editAs="absolute">
    <xdr:from>
      <xdr:col>9</xdr:col>
      <xdr:colOff>85165</xdr:colOff>
      <xdr:row>5</xdr:row>
      <xdr:rowOff>47102</xdr:rowOff>
    </xdr:from>
    <xdr:to>
      <xdr:col>10</xdr:col>
      <xdr:colOff>194534</xdr:colOff>
      <xdr:row>5</xdr:row>
      <xdr:rowOff>184262</xdr:rowOff>
    </xdr:to>
    <xdr:sp macro="[0]!AircraftDoors" textlink="">
      <xdr:nvSpPr>
        <xdr:cNvPr id="59" name="TextBox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SpPr txBox="1"/>
      </xdr:nvSpPr>
      <xdr:spPr>
        <a:xfrm>
          <a:off x="5676900" y="1481455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Doors</a:t>
          </a:r>
        </a:p>
      </xdr:txBody>
    </xdr:sp>
    <xdr:clientData/>
  </xdr:twoCellAnchor>
  <xdr:twoCellAnchor editAs="absolute">
    <xdr:from>
      <xdr:col>9</xdr:col>
      <xdr:colOff>85165</xdr:colOff>
      <xdr:row>5</xdr:row>
      <xdr:rowOff>233119</xdr:rowOff>
    </xdr:from>
    <xdr:to>
      <xdr:col>10</xdr:col>
      <xdr:colOff>194534</xdr:colOff>
      <xdr:row>6</xdr:row>
      <xdr:rowOff>67720</xdr:rowOff>
    </xdr:to>
    <xdr:sp macro="[0]!AircraftLoading" textlink="">
      <xdr:nvSpPr>
        <xdr:cNvPr id="60" name="TextBox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SpPr txBox="1"/>
      </xdr:nvSpPr>
      <xdr:spPr>
        <a:xfrm>
          <a:off x="5676900" y="1667472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Loading</a:t>
          </a:r>
        </a:p>
      </xdr:txBody>
    </xdr:sp>
    <xdr:clientData/>
  </xdr:twoCellAnchor>
  <xdr:twoCellAnchor editAs="absolute">
    <xdr:from>
      <xdr:col>10</xdr:col>
      <xdr:colOff>282385</xdr:colOff>
      <xdr:row>3</xdr:row>
      <xdr:rowOff>78478</xdr:rowOff>
    </xdr:from>
    <xdr:to>
      <xdr:col>11</xdr:col>
      <xdr:colOff>208426</xdr:colOff>
      <xdr:row>3</xdr:row>
      <xdr:rowOff>215638</xdr:rowOff>
    </xdr:to>
    <xdr:sp macro="[0]!AircraftDeparture" textlink="">
      <xdr:nvSpPr>
        <xdr:cNvPr id="79" name="TextBox 78">
          <a:extLs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 txBox="1"/>
      </xdr:nvSpPr>
      <xdr:spPr>
        <a:xfrm>
          <a:off x="6770591" y="907713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Departure</a:t>
          </a:r>
        </a:p>
      </xdr:txBody>
    </xdr:sp>
    <xdr:clientData/>
  </xdr:twoCellAnchor>
  <xdr:twoCellAnchor editAs="absolute">
    <xdr:from>
      <xdr:col>10</xdr:col>
      <xdr:colOff>282385</xdr:colOff>
      <xdr:row>3</xdr:row>
      <xdr:rowOff>264496</xdr:rowOff>
    </xdr:from>
    <xdr:to>
      <xdr:col>11</xdr:col>
      <xdr:colOff>208426</xdr:colOff>
      <xdr:row>4</xdr:row>
      <xdr:rowOff>99097</xdr:rowOff>
    </xdr:to>
    <xdr:sp macro="[0]!PPU" textlink="">
      <xdr:nvSpPr>
        <xdr:cNvPr id="81" name="TextBox 80">
          <a:extLst>
            <a:ext uri="{FF2B5EF4-FFF2-40B4-BE49-F238E27FC236}">
              <a16:creationId xmlns:a16="http://schemas.microsoft.com/office/drawing/2014/main" xmlns="" id="{00000000-0008-0000-0100-000051000000}"/>
            </a:ext>
          </a:extLst>
        </xdr:cNvPr>
        <xdr:cNvSpPr txBox="1"/>
      </xdr:nvSpPr>
      <xdr:spPr>
        <a:xfrm>
          <a:off x="6770591" y="1093731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Power Push Unit (PPU)</a:t>
          </a:r>
        </a:p>
      </xdr:txBody>
    </xdr:sp>
    <xdr:clientData/>
  </xdr:twoCellAnchor>
  <xdr:twoCellAnchor editAs="absolute">
    <xdr:from>
      <xdr:col>10</xdr:col>
      <xdr:colOff>282385</xdr:colOff>
      <xdr:row>4</xdr:row>
      <xdr:rowOff>147955</xdr:rowOff>
    </xdr:from>
    <xdr:to>
      <xdr:col>11</xdr:col>
      <xdr:colOff>208426</xdr:colOff>
      <xdr:row>4</xdr:row>
      <xdr:rowOff>285115</xdr:rowOff>
    </xdr:to>
    <xdr:sp macro="[0]!OpenRampDeparture" textlink="">
      <xdr:nvSpPr>
        <xdr:cNvPr id="82" name="TextBox 81">
          <a:extLst>
            <a:ext uri="{FF2B5EF4-FFF2-40B4-BE49-F238E27FC236}">
              <a16:creationId xmlns:a16="http://schemas.microsoft.com/office/drawing/2014/main" xmlns="" id="{00000000-0008-0000-0100-000052000000}"/>
            </a:ext>
          </a:extLst>
        </xdr:cNvPr>
        <xdr:cNvSpPr txBox="1"/>
      </xdr:nvSpPr>
      <xdr:spPr>
        <a:xfrm>
          <a:off x="6770591" y="1279749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Open Ramp</a:t>
          </a:r>
          <a:r>
            <a:rPr lang="en-US" sz="1000" baseline="0">
              <a:solidFill>
                <a:srgbClr val="4EA9E3"/>
              </a:solidFill>
            </a:rPr>
            <a:t> Departure</a:t>
          </a:r>
          <a:endParaRPr lang="en-US" sz="1000">
            <a:solidFill>
              <a:srgbClr val="4EA9E3"/>
            </a:solidFill>
          </a:endParaRPr>
        </a:p>
      </xdr:txBody>
    </xdr:sp>
    <xdr:clientData/>
  </xdr:twoCellAnchor>
  <xdr:twoCellAnchor editAs="absolute">
    <xdr:from>
      <xdr:col>10</xdr:col>
      <xdr:colOff>282385</xdr:colOff>
      <xdr:row>5</xdr:row>
      <xdr:rowOff>31414</xdr:rowOff>
    </xdr:from>
    <xdr:to>
      <xdr:col>11</xdr:col>
      <xdr:colOff>208426</xdr:colOff>
      <xdr:row>5</xdr:row>
      <xdr:rowOff>168574</xdr:rowOff>
    </xdr:to>
    <xdr:sp macro="[0]!AircraftTowing" textlink="">
      <xdr:nvSpPr>
        <xdr:cNvPr id="83" name="TextBox 82">
          <a:extLst>
            <a:ext uri="{FF2B5EF4-FFF2-40B4-BE49-F238E27FC236}">
              <a16:creationId xmlns:a16="http://schemas.microsoft.com/office/drawing/2014/main" xmlns="" id="{00000000-0008-0000-0100-000053000000}"/>
            </a:ext>
          </a:extLst>
        </xdr:cNvPr>
        <xdr:cNvSpPr txBox="1"/>
      </xdr:nvSpPr>
      <xdr:spPr>
        <a:xfrm>
          <a:off x="6770591" y="1465767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Towing</a:t>
          </a:r>
        </a:p>
      </xdr:txBody>
    </xdr:sp>
    <xdr:clientData/>
  </xdr:twoCellAnchor>
  <xdr:twoCellAnchor editAs="absolute">
    <xdr:from>
      <xdr:col>11</xdr:col>
      <xdr:colOff>2812675</xdr:colOff>
      <xdr:row>0</xdr:row>
      <xdr:rowOff>424143</xdr:rowOff>
    </xdr:from>
    <xdr:to>
      <xdr:col>12</xdr:col>
      <xdr:colOff>0</xdr:colOff>
      <xdr:row>3</xdr:row>
      <xdr:rowOff>33820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SpPr txBox="1"/>
      </xdr:nvSpPr>
      <xdr:spPr>
        <a:xfrm>
          <a:off x="10746440" y="424143"/>
          <a:ext cx="377638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Airside Safety Operational Oversight</a:t>
          </a:r>
        </a:p>
      </xdr:txBody>
    </xdr:sp>
    <xdr:clientData/>
  </xdr:twoCellAnchor>
  <xdr:twoCellAnchor editAs="absolute">
    <xdr:from>
      <xdr:col>11</xdr:col>
      <xdr:colOff>2801656</xdr:colOff>
      <xdr:row>3</xdr:row>
      <xdr:rowOff>52735</xdr:rowOff>
    </xdr:from>
    <xdr:to>
      <xdr:col>11</xdr:col>
      <xdr:colOff>2801656</xdr:colOff>
      <xdr:row>6</xdr:row>
      <xdr:rowOff>242338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CxnSpPr/>
      </xdr:nvCxnSpPr>
      <xdr:spPr>
        <a:xfrm>
          <a:off x="10735421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145677</xdr:colOff>
      <xdr:row>3</xdr:row>
      <xdr:rowOff>56030</xdr:rowOff>
    </xdr:from>
    <xdr:to>
      <xdr:col>11</xdr:col>
      <xdr:colOff>1700157</xdr:colOff>
      <xdr:row>3</xdr:row>
      <xdr:rowOff>220622</xdr:rowOff>
    </xdr:to>
    <xdr:sp macro="[0]!Module1.introduction5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 txBox="1"/>
      </xdr:nvSpPr>
      <xdr:spPr>
        <a:xfrm>
          <a:off x="8079442" y="885265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11</xdr:col>
      <xdr:colOff>145677</xdr:colOff>
      <xdr:row>3</xdr:row>
      <xdr:rowOff>244289</xdr:rowOff>
    </xdr:from>
    <xdr:to>
      <xdr:col>11</xdr:col>
      <xdr:colOff>1700157</xdr:colOff>
      <xdr:row>4</xdr:row>
      <xdr:rowOff>106322</xdr:rowOff>
    </xdr:to>
    <xdr:sp macro="[0]!LoadControlPrinciples" textlink="">
      <xdr:nvSpPr>
        <xdr:cNvPr id="76" name="TextBox 75">
          <a:extLs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 txBox="1"/>
      </xdr:nvSpPr>
      <xdr:spPr>
        <a:xfrm>
          <a:off x="8079442" y="1073524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Principles</a:t>
          </a:r>
        </a:p>
      </xdr:txBody>
    </xdr:sp>
    <xdr:clientData/>
  </xdr:twoCellAnchor>
  <xdr:twoCellAnchor>
    <xdr:from>
      <xdr:col>11</xdr:col>
      <xdr:colOff>145677</xdr:colOff>
      <xdr:row>4</xdr:row>
      <xdr:rowOff>129989</xdr:rowOff>
    </xdr:from>
    <xdr:to>
      <xdr:col>11</xdr:col>
      <xdr:colOff>1700157</xdr:colOff>
      <xdr:row>4</xdr:row>
      <xdr:rowOff>294581</xdr:rowOff>
    </xdr:to>
    <xdr:sp macro="[0]!RegulatoryRequirements" textlink="">
      <xdr:nvSpPr>
        <xdr:cNvPr id="78" name="TextBox 77">
          <a:extLs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 txBox="1"/>
      </xdr:nvSpPr>
      <xdr:spPr>
        <a:xfrm>
          <a:off x="8079442" y="1261783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Regulatory Requirements</a:t>
          </a:r>
        </a:p>
      </xdr:txBody>
    </xdr:sp>
    <xdr:clientData/>
  </xdr:twoCellAnchor>
  <xdr:twoCellAnchor>
    <xdr:from>
      <xdr:col>11</xdr:col>
      <xdr:colOff>145677</xdr:colOff>
      <xdr:row>5</xdr:row>
      <xdr:rowOff>15689</xdr:rowOff>
    </xdr:from>
    <xdr:to>
      <xdr:col>11</xdr:col>
      <xdr:colOff>1700157</xdr:colOff>
      <xdr:row>5</xdr:row>
      <xdr:rowOff>180281</xdr:rowOff>
    </xdr:to>
    <xdr:sp macro="[0]!LoadControlProcessFlow" textlink="">
      <xdr:nvSpPr>
        <xdr:cNvPr id="88" name="TextBox 87">
          <a:extLst>
            <a:ext uri="{FF2B5EF4-FFF2-40B4-BE49-F238E27FC236}">
              <a16:creationId xmlns:a16="http://schemas.microsoft.com/office/drawing/2014/main" xmlns="" id="{00000000-0008-0000-0100-000058000000}"/>
            </a:ext>
          </a:extLst>
        </xdr:cNvPr>
        <xdr:cNvSpPr txBox="1"/>
      </xdr:nvSpPr>
      <xdr:spPr>
        <a:xfrm>
          <a:off x="8079442" y="1450042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Process Flow</a:t>
          </a:r>
        </a:p>
      </xdr:txBody>
    </xdr:sp>
    <xdr:clientData/>
  </xdr:twoCellAnchor>
  <xdr:twoCellAnchor>
    <xdr:from>
      <xdr:col>11</xdr:col>
      <xdr:colOff>145677</xdr:colOff>
      <xdr:row>5</xdr:row>
      <xdr:rowOff>203948</xdr:rowOff>
    </xdr:from>
    <xdr:to>
      <xdr:col>11</xdr:col>
      <xdr:colOff>1700157</xdr:colOff>
      <xdr:row>6</xdr:row>
      <xdr:rowOff>65981</xdr:rowOff>
    </xdr:to>
    <xdr:sp macro="[0]!InformationExchange" textlink="">
      <xdr:nvSpPr>
        <xdr:cNvPr id="89" name="TextBox 88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 txBox="1"/>
      </xdr:nvSpPr>
      <xdr:spPr>
        <a:xfrm>
          <a:off x="8079442" y="1638301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Information Exchange</a:t>
          </a:r>
        </a:p>
      </xdr:txBody>
    </xdr:sp>
    <xdr:clientData/>
  </xdr:twoCellAnchor>
  <xdr:twoCellAnchor>
    <xdr:from>
      <xdr:col>11</xdr:col>
      <xdr:colOff>145677</xdr:colOff>
      <xdr:row>6</xdr:row>
      <xdr:rowOff>89648</xdr:rowOff>
    </xdr:from>
    <xdr:to>
      <xdr:col>11</xdr:col>
      <xdr:colOff>1700157</xdr:colOff>
      <xdr:row>6</xdr:row>
      <xdr:rowOff>254240</xdr:rowOff>
    </xdr:to>
    <xdr:sp macro="[0]!LoadPlanning" textlink="">
      <xdr:nvSpPr>
        <xdr:cNvPr id="90" name="TextBox 89">
          <a:extLst>
            <a:ext uri="{FF2B5EF4-FFF2-40B4-BE49-F238E27FC236}">
              <a16:creationId xmlns:a16="http://schemas.microsoft.com/office/drawing/2014/main" xmlns="" id="{00000000-0008-0000-0100-00005A000000}"/>
            </a:ext>
          </a:extLst>
        </xdr:cNvPr>
        <xdr:cNvSpPr txBox="1"/>
      </xdr:nvSpPr>
      <xdr:spPr>
        <a:xfrm>
          <a:off x="8079442" y="1826560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Planning</a:t>
          </a:r>
        </a:p>
      </xdr:txBody>
    </xdr:sp>
    <xdr:clientData/>
  </xdr:twoCellAnchor>
  <xdr:twoCellAnchor>
    <xdr:from>
      <xdr:col>11</xdr:col>
      <xdr:colOff>1714498</xdr:colOff>
      <xdr:row>3</xdr:row>
      <xdr:rowOff>67236</xdr:rowOff>
    </xdr:from>
    <xdr:to>
      <xdr:col>11</xdr:col>
      <xdr:colOff>2756645</xdr:colOff>
      <xdr:row>3</xdr:row>
      <xdr:rowOff>231828</xdr:rowOff>
    </xdr:to>
    <xdr:sp macro="[0]!Module1.Loadsheet" textlink="">
      <xdr:nvSpPr>
        <xdr:cNvPr id="91" name="TextBox 90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 txBox="1"/>
      </xdr:nvSpPr>
      <xdr:spPr>
        <a:xfrm>
          <a:off x="9648263" y="896471"/>
          <a:ext cx="1042147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Sheet</a:t>
          </a:r>
        </a:p>
      </xdr:txBody>
    </xdr:sp>
    <xdr:clientData/>
  </xdr:twoCellAnchor>
  <xdr:twoCellAnchor>
    <xdr:from>
      <xdr:col>11</xdr:col>
      <xdr:colOff>1714498</xdr:colOff>
      <xdr:row>3</xdr:row>
      <xdr:rowOff>242047</xdr:rowOff>
    </xdr:from>
    <xdr:to>
      <xdr:col>11</xdr:col>
      <xdr:colOff>2756645</xdr:colOff>
      <xdr:row>5</xdr:row>
      <xdr:rowOff>56029</xdr:rowOff>
    </xdr:to>
    <xdr:sp macro="[0]!PostDepartureMessaging" textlink="">
      <xdr:nvSpPr>
        <xdr:cNvPr id="92" name="TextBox 91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 txBox="1"/>
      </xdr:nvSpPr>
      <xdr:spPr>
        <a:xfrm>
          <a:off x="9648263" y="1071282"/>
          <a:ext cx="1042147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Post Departure Messaging</a:t>
          </a:r>
        </a:p>
      </xdr:txBody>
    </xdr:sp>
    <xdr:clientData/>
  </xdr:twoCellAnchor>
  <xdr:twoCellAnchor>
    <xdr:from>
      <xdr:col>11</xdr:col>
      <xdr:colOff>2830606</xdr:colOff>
      <xdr:row>3</xdr:row>
      <xdr:rowOff>62754</xdr:rowOff>
    </xdr:from>
    <xdr:to>
      <xdr:col>11</xdr:col>
      <xdr:colOff>4385086</xdr:colOff>
      <xdr:row>3</xdr:row>
      <xdr:rowOff>227346</xdr:rowOff>
    </xdr:to>
    <xdr:sp macro="[0]!Introdution6" textlink="">
      <xdr:nvSpPr>
        <xdr:cNvPr id="93" name="TextBox 92">
          <a:extLst>
            <a:ext uri="{FF2B5EF4-FFF2-40B4-BE49-F238E27FC236}">
              <a16:creationId xmlns:a16="http://schemas.microsoft.com/office/drawing/2014/main" xmlns="" id="{00000000-0008-0000-0100-00005D000000}"/>
            </a:ext>
          </a:extLst>
        </xdr:cNvPr>
        <xdr:cNvSpPr txBox="1"/>
      </xdr:nvSpPr>
      <xdr:spPr>
        <a:xfrm>
          <a:off x="10764371" y="891989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11</xdr:col>
      <xdr:colOff>2830606</xdr:colOff>
      <xdr:row>3</xdr:row>
      <xdr:rowOff>232217</xdr:rowOff>
    </xdr:from>
    <xdr:to>
      <xdr:col>11</xdr:col>
      <xdr:colOff>4385086</xdr:colOff>
      <xdr:row>4</xdr:row>
      <xdr:rowOff>94250</xdr:rowOff>
    </xdr:to>
    <xdr:sp macro="[0]!SupervisionScope" textlink="">
      <xdr:nvSpPr>
        <xdr:cNvPr id="94" name="TextBox 93">
          <a:extLst>
            <a:ext uri="{FF2B5EF4-FFF2-40B4-BE49-F238E27FC236}">
              <a16:creationId xmlns:a16="http://schemas.microsoft.com/office/drawing/2014/main" xmlns="" id="{00000000-0008-0000-0100-00005E000000}"/>
            </a:ext>
          </a:extLst>
        </xdr:cNvPr>
        <xdr:cNvSpPr txBox="1"/>
      </xdr:nvSpPr>
      <xdr:spPr>
        <a:xfrm>
          <a:off x="10764371" y="1061452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Supervision Scope</a:t>
          </a:r>
        </a:p>
      </xdr:txBody>
    </xdr:sp>
    <xdr:clientData/>
  </xdr:twoCellAnchor>
  <xdr:twoCellAnchor>
    <xdr:from>
      <xdr:col>11</xdr:col>
      <xdr:colOff>2830606</xdr:colOff>
      <xdr:row>4</xdr:row>
      <xdr:rowOff>99121</xdr:rowOff>
    </xdr:from>
    <xdr:to>
      <xdr:col>11</xdr:col>
      <xdr:colOff>4717675</xdr:colOff>
      <xdr:row>5</xdr:row>
      <xdr:rowOff>208042</xdr:rowOff>
    </xdr:to>
    <xdr:sp macro="[0]!TurnaroundCoordination" textlink="">
      <xdr:nvSpPr>
        <xdr:cNvPr id="98" name="TextBox 97">
          <a:extLst>
            <a:ext uri="{FF2B5EF4-FFF2-40B4-BE49-F238E27FC236}">
              <a16:creationId xmlns:a16="http://schemas.microsoft.com/office/drawing/2014/main" xmlns="" id="{00000000-0008-0000-0100-000062000000}"/>
            </a:ext>
          </a:extLst>
        </xdr:cNvPr>
        <xdr:cNvSpPr txBox="1"/>
      </xdr:nvSpPr>
      <xdr:spPr>
        <a:xfrm>
          <a:off x="10764371" y="1230915"/>
          <a:ext cx="1887069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Turnaround</a:t>
          </a:r>
          <a:r>
            <a:rPr lang="en-US" sz="1000" baseline="0">
              <a:solidFill>
                <a:schemeClr val="accent5"/>
              </a:solidFill>
            </a:rPr>
            <a:t> Coordination /Supervision Requirements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2830606</xdr:colOff>
      <xdr:row>5</xdr:row>
      <xdr:rowOff>212912</xdr:rowOff>
    </xdr:from>
    <xdr:to>
      <xdr:col>11</xdr:col>
      <xdr:colOff>4728882</xdr:colOff>
      <xdr:row>7</xdr:row>
      <xdr:rowOff>19274</xdr:rowOff>
    </xdr:to>
    <xdr:sp macro="[0]!ReportingIncidents" textlink="">
      <xdr:nvSpPr>
        <xdr:cNvPr id="99" name="TextBox 98">
          <a:extLst>
            <a:ext uri="{FF2B5EF4-FFF2-40B4-BE49-F238E27FC236}">
              <a16:creationId xmlns:a16="http://schemas.microsoft.com/office/drawing/2014/main" xmlns="" id="{00000000-0008-0000-0100-000063000000}"/>
            </a:ext>
          </a:extLst>
        </xdr:cNvPr>
        <xdr:cNvSpPr txBox="1"/>
      </xdr:nvSpPr>
      <xdr:spPr>
        <a:xfrm>
          <a:off x="10764371" y="1647265"/>
          <a:ext cx="1898276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Reporting-Incidents, Accidents and Near-Misses</a:t>
          </a:r>
        </a:p>
      </xdr:txBody>
    </xdr:sp>
    <xdr:clientData/>
  </xdr:twoCellAnchor>
  <xdr:twoCellAnchor>
    <xdr:from>
      <xdr:col>11</xdr:col>
      <xdr:colOff>4697506</xdr:colOff>
      <xdr:row>3</xdr:row>
      <xdr:rowOff>58272</xdr:rowOff>
    </xdr:from>
    <xdr:to>
      <xdr:col>11</xdr:col>
      <xdr:colOff>6251986</xdr:colOff>
      <xdr:row>4</xdr:row>
      <xdr:rowOff>167193</xdr:rowOff>
    </xdr:to>
    <xdr:sp macro="[0]!AirsideSafetyinvestigationProcedure" textlink="">
      <xdr:nvSpPr>
        <xdr:cNvPr id="102" name="TextBox 101">
          <a:extLst>
            <a:ext uri="{FF2B5EF4-FFF2-40B4-BE49-F238E27FC236}">
              <a16:creationId xmlns:a16="http://schemas.microsoft.com/office/drawing/2014/main" xmlns="" id="{00000000-0008-0000-0100-000066000000}"/>
            </a:ext>
          </a:extLst>
        </xdr:cNvPr>
        <xdr:cNvSpPr txBox="1"/>
      </xdr:nvSpPr>
      <xdr:spPr>
        <a:xfrm>
          <a:off x="12631271" y="887507"/>
          <a:ext cx="155448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Airside Safety Investigation</a:t>
          </a:r>
          <a:r>
            <a:rPr lang="en-US" sz="1000" baseline="0">
              <a:solidFill>
                <a:schemeClr val="accent5"/>
              </a:solidFill>
            </a:rPr>
            <a:t> Procedure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4697506</xdr:colOff>
      <xdr:row>4</xdr:row>
      <xdr:rowOff>159872</xdr:rowOff>
    </xdr:from>
    <xdr:to>
      <xdr:col>12</xdr:col>
      <xdr:colOff>186016</xdr:colOff>
      <xdr:row>5</xdr:row>
      <xdr:rowOff>40193</xdr:rowOff>
    </xdr:to>
    <xdr:sp macro="[0]!MonitoringProcedures" textlink="">
      <xdr:nvSpPr>
        <xdr:cNvPr id="109" name="TextBox 108">
          <a:extLst>
            <a:ext uri="{FF2B5EF4-FFF2-40B4-BE49-F238E27FC236}">
              <a16:creationId xmlns:a16="http://schemas.microsoft.com/office/drawing/2014/main" xmlns="" id="{00000000-0008-0000-0100-00006D000000}"/>
            </a:ext>
          </a:extLst>
        </xdr:cNvPr>
        <xdr:cNvSpPr txBox="1"/>
      </xdr:nvSpPr>
      <xdr:spPr>
        <a:xfrm>
          <a:off x="12631271" y="1291666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Monitoring Procedures</a:t>
          </a:r>
        </a:p>
      </xdr:txBody>
    </xdr:sp>
    <xdr:clientData/>
  </xdr:twoCellAnchor>
  <xdr:twoCellAnchor>
    <xdr:from>
      <xdr:col>11</xdr:col>
      <xdr:colOff>4697506</xdr:colOff>
      <xdr:row>5</xdr:row>
      <xdr:rowOff>208430</xdr:rowOff>
    </xdr:from>
    <xdr:to>
      <xdr:col>12</xdr:col>
      <xdr:colOff>197223</xdr:colOff>
      <xdr:row>7</xdr:row>
      <xdr:rowOff>11205</xdr:rowOff>
    </xdr:to>
    <xdr:sp macro="[0]!AdverseWeatherOversightProcedures" textlink="">
      <xdr:nvSpPr>
        <xdr:cNvPr id="110" name="TextBox 109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SpPr txBox="1"/>
      </xdr:nvSpPr>
      <xdr:spPr>
        <a:xfrm>
          <a:off x="12631271" y="1642783"/>
          <a:ext cx="2088776" cy="407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Adverse Weather Oversight Procedures</a:t>
          </a:r>
        </a:p>
      </xdr:txBody>
    </xdr:sp>
    <xdr:clientData/>
  </xdr:twoCellAnchor>
  <xdr:twoCellAnchor>
    <xdr:from>
      <xdr:col>11</xdr:col>
      <xdr:colOff>4697506</xdr:colOff>
      <xdr:row>5</xdr:row>
      <xdr:rowOff>32872</xdr:rowOff>
    </xdr:from>
    <xdr:to>
      <xdr:col>12</xdr:col>
      <xdr:colOff>186016</xdr:colOff>
      <xdr:row>5</xdr:row>
      <xdr:rowOff>215752</xdr:rowOff>
    </xdr:to>
    <xdr:sp macro="[0]!EmergencyResponseProcedures" textlink="">
      <xdr:nvSpPr>
        <xdr:cNvPr id="111" name="TextBox 110">
          <a:extLst>
            <a:ext uri="{FF2B5EF4-FFF2-40B4-BE49-F238E27FC236}">
              <a16:creationId xmlns:a16="http://schemas.microsoft.com/office/drawing/2014/main" xmlns="" id="{00000000-0008-0000-0100-00006F000000}"/>
            </a:ext>
          </a:extLst>
        </xdr:cNvPr>
        <xdr:cNvSpPr txBox="1"/>
      </xdr:nvSpPr>
      <xdr:spPr>
        <a:xfrm>
          <a:off x="12631271" y="1467225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Emergency Response Procedures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13</xdr:row>
      <xdr:rowOff>0</xdr:rowOff>
    </xdr:from>
    <xdr:to>
      <xdr:col>8</xdr:col>
      <xdr:colOff>703724</xdr:colOff>
      <xdr:row>31</xdr:row>
      <xdr:rowOff>142425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800100</xdr:colOff>
      <xdr:row>13</xdr:row>
      <xdr:rowOff>0</xdr:rowOff>
    </xdr:from>
    <xdr:to>
      <xdr:col>15</xdr:col>
      <xdr:colOff>1608600</xdr:colOff>
      <xdr:row>31</xdr:row>
      <xdr:rowOff>142425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1685925</xdr:colOff>
      <xdr:row>17</xdr:row>
      <xdr:rowOff>0</xdr:rowOff>
    </xdr:from>
    <xdr:to>
      <xdr:col>21</xdr:col>
      <xdr:colOff>1179975</xdr:colOff>
      <xdr:row>35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1266825</xdr:colOff>
      <xdr:row>17</xdr:row>
      <xdr:rowOff>0</xdr:rowOff>
    </xdr:from>
    <xdr:to>
      <xdr:col>27</xdr:col>
      <xdr:colOff>1580025</xdr:colOff>
      <xdr:row>35</xdr:row>
      <xdr:rowOff>171000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27</xdr:col>
      <xdr:colOff>1800225</xdr:colOff>
      <xdr:row>17</xdr:row>
      <xdr:rowOff>0</xdr:rowOff>
    </xdr:from>
    <xdr:to>
      <xdr:col>33</xdr:col>
      <xdr:colOff>1522875</xdr:colOff>
      <xdr:row>35</xdr:row>
      <xdr:rowOff>171000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33</xdr:col>
      <xdr:colOff>1714500</xdr:colOff>
      <xdr:row>17</xdr:row>
      <xdr:rowOff>0</xdr:rowOff>
    </xdr:from>
    <xdr:to>
      <xdr:col>39</xdr:col>
      <xdr:colOff>751350</xdr:colOff>
      <xdr:row>35</xdr:row>
      <xdr:rowOff>171000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40</xdr:col>
      <xdr:colOff>0</xdr:colOff>
      <xdr:row>20</xdr:row>
      <xdr:rowOff>0</xdr:rowOff>
    </xdr:from>
    <xdr:to>
      <xdr:col>48</xdr:col>
      <xdr:colOff>541800</xdr:colOff>
      <xdr:row>38</xdr:row>
      <xdr:rowOff>171000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19050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pSpPr/>
      </xdr:nvGrpSpPr>
      <xdr:grpSpPr>
        <a:xfrm>
          <a:off x="0" y="0"/>
          <a:ext cx="12639675" cy="800100"/>
          <a:chOff x="0" y="0"/>
          <a:chExt cx="12639675" cy="800100"/>
        </a:xfrm>
      </xdr:grpSpPr>
      <xdr:grpSp>
        <xdr:nvGrpSpPr>
          <xdr:cNvPr id="9" name="IATA Logo Background">
            <a:extLst>
              <a:ext uri="{FF2B5EF4-FFF2-40B4-BE49-F238E27FC236}">
                <a16:creationId xmlns:a16="http://schemas.microsoft.com/office/drawing/2014/main" xmlns="" id="{00000000-0008-0000-0300-000009000000}"/>
              </a:ext>
            </a:extLst>
          </xdr:cNvPr>
          <xdr:cNvGrpSpPr/>
        </xdr:nvGrpSpPr>
        <xdr:grpSpPr>
          <a:xfrm>
            <a:off x="0" y="0"/>
            <a:ext cx="12639675" cy="800100"/>
            <a:chOff x="19051" y="0"/>
            <a:chExt cx="12763500" cy="800100"/>
          </a:xfrm>
        </xdr:grpSpPr>
        <xdr:sp macro="" textlink="">
          <xdr:nvSpPr>
            <xdr:cNvPr id="10" name="AutoShape 2">
              <a:extLst>
                <a:ext uri="{FF2B5EF4-FFF2-40B4-BE49-F238E27FC236}">
                  <a16:creationId xmlns:a16="http://schemas.microsoft.com/office/drawing/2014/main" xmlns="" id="{00000000-0008-0000-0300-00000A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4">
              <a:extLst>
                <a:ext uri="{FF2B5EF4-FFF2-40B4-BE49-F238E27FC236}">
                  <a16:creationId xmlns:a16="http://schemas.microsoft.com/office/drawing/2014/main" xmlns="" id="{00000000-0008-0000-03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5">
              <a:extLst>
                <a:ext uri="{FF2B5EF4-FFF2-40B4-BE49-F238E27FC236}">
                  <a16:creationId xmlns:a16="http://schemas.microsoft.com/office/drawing/2014/main" xmlns="" id="{00000000-0008-0000-03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6">
              <a:extLst>
                <a:ext uri="{FF2B5EF4-FFF2-40B4-BE49-F238E27FC236}">
                  <a16:creationId xmlns:a16="http://schemas.microsoft.com/office/drawing/2014/main" xmlns="" id="{00000000-0008-0000-03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7">
              <a:extLst>
                <a:ext uri="{FF2B5EF4-FFF2-40B4-BE49-F238E27FC236}">
                  <a16:creationId xmlns:a16="http://schemas.microsoft.com/office/drawing/2014/main" xmlns="" id="{00000000-0008-0000-03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8">
              <a:extLst>
                <a:ext uri="{FF2B5EF4-FFF2-40B4-BE49-F238E27FC236}">
                  <a16:creationId xmlns:a16="http://schemas.microsoft.com/office/drawing/2014/main" xmlns="" id="{00000000-0008-0000-03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9">
              <a:extLst>
                <a:ext uri="{FF2B5EF4-FFF2-40B4-BE49-F238E27FC236}">
                  <a16:creationId xmlns:a16="http://schemas.microsoft.com/office/drawing/2014/main" xmlns="" id="{00000000-0008-0000-03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0">
              <a:extLst>
                <a:ext uri="{FF2B5EF4-FFF2-40B4-BE49-F238E27FC236}">
                  <a16:creationId xmlns:a16="http://schemas.microsoft.com/office/drawing/2014/main" xmlns="" id="{00000000-0008-0000-03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1">
              <a:extLst>
                <a:ext uri="{FF2B5EF4-FFF2-40B4-BE49-F238E27FC236}">
                  <a16:creationId xmlns:a16="http://schemas.microsoft.com/office/drawing/2014/main" xmlns="" id="{00000000-0008-0000-03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2">
              <a:extLst>
                <a:ext uri="{FF2B5EF4-FFF2-40B4-BE49-F238E27FC236}">
                  <a16:creationId xmlns:a16="http://schemas.microsoft.com/office/drawing/2014/main" xmlns="" id="{00000000-0008-0000-03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3">
              <a:extLst>
                <a:ext uri="{FF2B5EF4-FFF2-40B4-BE49-F238E27FC236}">
                  <a16:creationId xmlns:a16="http://schemas.microsoft.com/office/drawing/2014/main" xmlns="" id="{00000000-0008-0000-03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4">
              <a:extLst>
                <a:ext uri="{FF2B5EF4-FFF2-40B4-BE49-F238E27FC236}">
                  <a16:creationId xmlns:a16="http://schemas.microsoft.com/office/drawing/2014/main" xmlns="" id="{00000000-0008-0000-03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5">
              <a:extLst>
                <a:ext uri="{FF2B5EF4-FFF2-40B4-BE49-F238E27FC236}">
                  <a16:creationId xmlns:a16="http://schemas.microsoft.com/office/drawing/2014/main" xmlns="" id="{00000000-0008-0000-03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6">
              <a:extLst>
                <a:ext uri="{FF2B5EF4-FFF2-40B4-BE49-F238E27FC236}">
                  <a16:creationId xmlns:a16="http://schemas.microsoft.com/office/drawing/2014/main" xmlns="" id="{00000000-0008-0000-03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7">
              <a:extLst>
                <a:ext uri="{FF2B5EF4-FFF2-40B4-BE49-F238E27FC236}">
                  <a16:creationId xmlns:a16="http://schemas.microsoft.com/office/drawing/2014/main" xmlns="" id="{00000000-0008-0000-03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18">
              <a:extLst>
                <a:ext uri="{FF2B5EF4-FFF2-40B4-BE49-F238E27FC236}">
                  <a16:creationId xmlns:a16="http://schemas.microsoft.com/office/drawing/2014/main" xmlns="" id="{00000000-0008-0000-03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19">
              <a:extLst>
                <a:ext uri="{FF2B5EF4-FFF2-40B4-BE49-F238E27FC236}">
                  <a16:creationId xmlns:a16="http://schemas.microsoft.com/office/drawing/2014/main" xmlns="" id="{00000000-0008-0000-03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0">
              <a:extLst>
                <a:ext uri="{FF2B5EF4-FFF2-40B4-BE49-F238E27FC236}">
                  <a16:creationId xmlns:a16="http://schemas.microsoft.com/office/drawing/2014/main" xmlns="" id="{00000000-0008-0000-03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1">
              <a:extLst>
                <a:ext uri="{FF2B5EF4-FFF2-40B4-BE49-F238E27FC236}">
                  <a16:creationId xmlns:a16="http://schemas.microsoft.com/office/drawing/2014/main" xmlns="" id="{00000000-0008-0000-03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9" name="Rectangle 22">
              <a:extLst>
                <a:ext uri="{FF2B5EF4-FFF2-40B4-BE49-F238E27FC236}">
                  <a16:creationId xmlns:a16="http://schemas.microsoft.com/office/drawing/2014/main" xmlns="" id="{00000000-0008-0000-0300-00001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0" name="Rectangle 23">
              <a:extLst>
                <a:ext uri="{FF2B5EF4-FFF2-40B4-BE49-F238E27FC236}">
                  <a16:creationId xmlns:a16="http://schemas.microsoft.com/office/drawing/2014/main" xmlns="" id="{00000000-0008-0000-0300-00001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2" name="Freeform 24">
            <a:extLst>
              <a:ext uri="{FF2B5EF4-FFF2-40B4-BE49-F238E27FC236}">
                <a16:creationId xmlns:a16="http://schemas.microsoft.com/office/drawing/2014/main" xmlns="" id="{00000000-0008-0000-0300-000020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0</xdr:col>
      <xdr:colOff>161925</xdr:colOff>
      <xdr:row>4</xdr:row>
      <xdr:rowOff>95250</xdr:rowOff>
    </xdr:from>
    <xdr:to>
      <xdr:col>0</xdr:col>
      <xdr:colOff>476249</xdr:colOff>
      <xdr:row>6</xdr:row>
      <xdr:rowOff>4395</xdr:rowOff>
    </xdr:to>
    <xdr:pic>
      <xdr:nvPicPr>
        <xdr:cNvPr id="33" name="Picture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5725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133350</xdr:colOff>
      <xdr:row>7</xdr:row>
      <xdr:rowOff>180975</xdr:rowOff>
    </xdr:from>
    <xdr:to>
      <xdr:col>1</xdr:col>
      <xdr:colOff>723900</xdr:colOff>
      <xdr:row>10</xdr:row>
      <xdr:rowOff>104775</xdr:rowOff>
    </xdr:to>
    <xdr:sp macro="[0]!ChartPassenggerHandlingProcedures" textlink="">
      <xdr:nvSpPr>
        <xdr:cNvPr id="34" name="Button1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33350" y="1514475"/>
          <a:ext cx="1438275" cy="4953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Passenger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133350</xdr:colOff>
      <xdr:row>10</xdr:row>
      <xdr:rowOff>151160</xdr:rowOff>
    </xdr:from>
    <xdr:to>
      <xdr:col>1</xdr:col>
      <xdr:colOff>725625</xdr:colOff>
      <xdr:row>13</xdr:row>
      <xdr:rowOff>73436</xdr:rowOff>
    </xdr:to>
    <xdr:sp macro="[0]!ChartBaggageHandlingProcedures" textlink="">
      <xdr:nvSpPr>
        <xdr:cNvPr id="40" name="Button1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SpPr/>
      </xdr:nvSpPr>
      <xdr:spPr>
        <a:xfrm>
          <a:off x="133350" y="2056160"/>
          <a:ext cx="1440000" cy="4937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Baggage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133350</xdr:colOff>
      <xdr:row>13</xdr:row>
      <xdr:rowOff>119821</xdr:rowOff>
    </xdr:from>
    <xdr:to>
      <xdr:col>1</xdr:col>
      <xdr:colOff>725625</xdr:colOff>
      <xdr:row>17</xdr:row>
      <xdr:rowOff>5520</xdr:rowOff>
    </xdr:to>
    <xdr:sp macro="[0]!ChartCargoMailHandlingProcedures" textlink="">
      <xdr:nvSpPr>
        <xdr:cNvPr id="41" name="Button1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SpPr/>
      </xdr:nvSpPr>
      <xdr:spPr>
        <a:xfrm>
          <a:off x="133350" y="2596321"/>
          <a:ext cx="1440000" cy="647699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Aircraft General Safety / Servicing Operations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133350</xdr:colOff>
      <xdr:row>17</xdr:row>
      <xdr:rowOff>51905</xdr:rowOff>
    </xdr:from>
    <xdr:to>
      <xdr:col>1</xdr:col>
      <xdr:colOff>725625</xdr:colOff>
      <xdr:row>18</xdr:row>
      <xdr:rowOff>119851</xdr:rowOff>
    </xdr:to>
    <xdr:sp macro="[0]!ChartAircraftHandlingProcedures" textlink="">
      <xdr:nvSpPr>
        <xdr:cNvPr id="42" name="Button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SpPr/>
      </xdr:nvSpPr>
      <xdr:spPr>
        <a:xfrm>
          <a:off x="133350" y="3290405"/>
          <a:ext cx="1440000" cy="25844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133350</xdr:colOff>
      <xdr:row>18</xdr:row>
      <xdr:rowOff>166236</xdr:rowOff>
    </xdr:from>
    <xdr:to>
      <xdr:col>1</xdr:col>
      <xdr:colOff>725625</xdr:colOff>
      <xdr:row>20</xdr:row>
      <xdr:rowOff>1236</xdr:rowOff>
    </xdr:to>
    <xdr:sp macro="[0]!ChartLoadControl" textlink="">
      <xdr:nvSpPr>
        <xdr:cNvPr id="43" name="Button1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SpPr/>
      </xdr:nvSpPr>
      <xdr:spPr>
        <a:xfrm>
          <a:off x="133350" y="3595236"/>
          <a:ext cx="1440000" cy="2160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Load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Control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133350</xdr:colOff>
      <xdr:row>20</xdr:row>
      <xdr:rowOff>47623</xdr:rowOff>
    </xdr:from>
    <xdr:to>
      <xdr:col>1</xdr:col>
      <xdr:colOff>725625</xdr:colOff>
      <xdr:row>22</xdr:row>
      <xdr:rowOff>180974</xdr:rowOff>
    </xdr:to>
    <xdr:sp macro="[0]!ChartAirsideSupervisionAndSafety" textlink="">
      <xdr:nvSpPr>
        <xdr:cNvPr id="44" name="Button1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SpPr/>
      </xdr:nvSpPr>
      <xdr:spPr>
        <a:xfrm>
          <a:off x="133350" y="3857623"/>
          <a:ext cx="1440000" cy="514351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Airside Safety Operational Oversight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142875</xdr:colOff>
      <xdr:row>6</xdr:row>
      <xdr:rowOff>38100</xdr:rowOff>
    </xdr:from>
    <xdr:to>
      <xdr:col>1</xdr:col>
      <xdr:colOff>735150</xdr:colOff>
      <xdr:row>7</xdr:row>
      <xdr:rowOff>63600</xdr:rowOff>
    </xdr:to>
    <xdr:sp macro="[0]!OpenDefaultChart" textlink="">
      <xdr:nvSpPr>
        <xdr:cNvPr id="109" name="Rounded Rectangle 10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6D000000}"/>
            </a:ext>
          </a:extLst>
        </xdr:cNvPr>
        <xdr:cNvSpPr/>
      </xdr:nvSpPr>
      <xdr:spPr>
        <a:xfrm>
          <a:off x="142875" y="1181100"/>
          <a:ext cx="1440000" cy="216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/>
            <a:t>Checklist</a:t>
          </a:r>
        </a:p>
      </xdr:txBody>
    </xdr:sp>
    <xdr:clientData/>
  </xdr:twoCellAnchor>
  <xdr:twoCellAnchor editAs="absolute">
    <xdr:from>
      <xdr:col>2</xdr:col>
      <xdr:colOff>0</xdr:colOff>
      <xdr:row>6</xdr:row>
      <xdr:rowOff>0</xdr:rowOff>
    </xdr:from>
    <xdr:to>
      <xdr:col>10</xdr:col>
      <xdr:colOff>913275</xdr:colOff>
      <xdr:row>24</xdr:row>
      <xdr:rowOff>171000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xmlns="" id="{EEBC26BC-8872-45A9-9335-D843C31CF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A21"/>
  <sheetViews>
    <sheetView showGridLines="0" showRowColHeaders="0" tabSelected="1" zoomScaleNormal="100" workbookViewId="0"/>
  </sheetViews>
  <sheetFormatPr defaultRowHeight="15" x14ac:dyDescent="0.25"/>
  <cols>
    <col min="1" max="11" width="12.7109375" customWidth="1"/>
    <col min="12" max="12" width="11.42578125" customWidth="1"/>
    <col min="13" max="13" width="16.140625" customWidth="1"/>
    <col min="14" max="14" width="12.5703125" customWidth="1"/>
    <col min="15" max="20" width="12.7109375" customWidth="1"/>
  </cols>
  <sheetData>
    <row r="5" ht="1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</sheetData>
  <sheetProtection password="CAA9" sheet="1" objects="1" scenarios="1" formatCells="0" formatColumns="0" formatRows="0"/>
  <dataConsolidate/>
  <printOptions horizontalCentered="1"/>
  <pageMargins left="0.11811023622047245" right="0.11811023622047245" top="0.74803149606299213" bottom="0.74803149606299213" header="0.31496062992125984" footer="0.31496062992125984"/>
  <pageSetup paperSize="9" scale="3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X505"/>
  <sheetViews>
    <sheetView showGridLines="0" topLeftCell="H1" zoomScale="85" zoomScaleNormal="85" workbookViewId="0">
      <pane ySplit="14" topLeftCell="A15" activePane="bottomLeft" state="frozen"/>
      <selection activeCell="H1" sqref="H1"/>
      <selection pane="bottomLeft" activeCell="J17" sqref="J17"/>
    </sheetView>
  </sheetViews>
  <sheetFormatPr defaultRowHeight="15.75" x14ac:dyDescent="0.25"/>
  <cols>
    <col min="1" max="1" width="1" style="49" hidden="1" customWidth="1"/>
    <col min="2" max="4" width="9.140625" style="49" hidden="1" customWidth="1"/>
    <col min="5" max="5" width="17.7109375" style="49" hidden="1" customWidth="1"/>
    <col min="6" max="6" width="11.85546875" style="49" hidden="1" customWidth="1"/>
    <col min="7" max="7" width="0.85546875" style="49" hidden="1" customWidth="1"/>
    <col min="8" max="8" width="30.42578125" style="70" customWidth="1"/>
    <col min="9" max="9" width="53.42578125" style="70" customWidth="1"/>
    <col min="10" max="10" width="13.42578125" style="49" customWidth="1"/>
    <col min="11" max="11" width="21.7109375" style="68" customWidth="1"/>
    <col min="12" max="12" width="98.85546875" style="49" customWidth="1"/>
    <col min="13" max="16384" width="9.140625" style="49"/>
  </cols>
  <sheetData>
    <row r="1" spans="1:24" s="55" customFormat="1" ht="33.75" customHeight="1" x14ac:dyDescent="0.25">
      <c r="A1" s="49"/>
      <c r="B1" s="50"/>
      <c r="C1" s="50"/>
      <c r="D1" s="50"/>
      <c r="E1" s="50"/>
      <c r="F1" s="50"/>
      <c r="G1" s="49"/>
      <c r="H1" s="51"/>
      <c r="I1" s="52"/>
      <c r="J1" s="18" t="s">
        <v>164</v>
      </c>
      <c r="K1" s="53"/>
      <c r="L1" s="54"/>
      <c r="M1" s="49"/>
    </row>
    <row r="2" spans="1:24" x14ac:dyDescent="0.25">
      <c r="H2" s="19"/>
      <c r="I2" s="20"/>
      <c r="J2" s="21"/>
      <c r="K2" s="56"/>
      <c r="L2" s="57"/>
    </row>
    <row r="3" spans="1:24" x14ac:dyDescent="0.25">
      <c r="H3" s="19"/>
      <c r="I3" s="20"/>
      <c r="J3" s="21"/>
      <c r="K3" s="56"/>
      <c r="L3" s="22"/>
      <c r="X3" s="49" t="s">
        <v>166</v>
      </c>
    </row>
    <row r="4" spans="1:24" ht="24.6" customHeight="1" x14ac:dyDescent="0.25">
      <c r="H4" s="19"/>
      <c r="I4" s="20"/>
      <c r="J4" s="21"/>
      <c r="K4" s="56"/>
      <c r="L4" s="22"/>
      <c r="X4" s="49" t="s">
        <v>17</v>
      </c>
    </row>
    <row r="5" spans="1:24" ht="24.6" customHeight="1" x14ac:dyDescent="0.25">
      <c r="H5" s="19"/>
      <c r="I5" s="20"/>
      <c r="J5" s="21"/>
      <c r="K5" s="56"/>
      <c r="L5" s="22"/>
      <c r="X5" s="49" t="s">
        <v>18</v>
      </c>
    </row>
    <row r="6" spans="1:24" ht="24.6" customHeight="1" x14ac:dyDescent="0.25">
      <c r="H6" s="19"/>
      <c r="I6" s="20"/>
      <c r="J6" s="21"/>
      <c r="K6" s="56"/>
      <c r="L6" s="22"/>
      <c r="X6" s="49" t="s">
        <v>560</v>
      </c>
    </row>
    <row r="7" spans="1:24" ht="24.6" customHeight="1" x14ac:dyDescent="0.25">
      <c r="H7" s="19"/>
      <c r="I7" s="20"/>
      <c r="J7" s="21"/>
      <c r="K7" s="56"/>
      <c r="L7" s="22"/>
    </row>
    <row r="8" spans="1:24" ht="1.5" customHeight="1" x14ac:dyDescent="0.25">
      <c r="H8" s="19"/>
      <c r="I8" s="20"/>
      <c r="J8" s="21"/>
      <c r="K8" s="56"/>
      <c r="L8" s="22"/>
    </row>
    <row r="9" spans="1:24" hidden="1" x14ac:dyDescent="0.25">
      <c r="H9" s="19"/>
      <c r="I9" s="20"/>
      <c r="J9" s="21"/>
      <c r="K9" s="56"/>
      <c r="L9" s="22"/>
    </row>
    <row r="10" spans="1:24" hidden="1" x14ac:dyDescent="0.25">
      <c r="H10" s="19"/>
      <c r="I10" s="20"/>
      <c r="J10" s="21"/>
      <c r="K10" s="56"/>
      <c r="L10" s="22"/>
    </row>
    <row r="11" spans="1:24" hidden="1" x14ac:dyDescent="0.25">
      <c r="H11" s="19"/>
      <c r="I11" s="20"/>
      <c r="J11" s="21"/>
      <c r="K11" s="56"/>
      <c r="L11" s="22"/>
    </row>
    <row r="12" spans="1:24" hidden="1" x14ac:dyDescent="0.25">
      <c r="H12" s="19"/>
      <c r="I12" s="20"/>
      <c r="J12" s="21"/>
      <c r="K12" s="56"/>
      <c r="L12" s="22"/>
    </row>
    <row r="13" spans="1:24" hidden="1" x14ac:dyDescent="0.25">
      <c r="H13" s="19"/>
      <c r="I13" s="20"/>
      <c r="J13" s="21"/>
      <c r="K13" s="21"/>
      <c r="L13" s="22"/>
    </row>
    <row r="14" spans="1:24" ht="32.25" thickBot="1" x14ac:dyDescent="0.3">
      <c r="H14" s="19"/>
      <c r="I14" s="20"/>
      <c r="J14" s="36" t="s">
        <v>165</v>
      </c>
      <c r="K14" s="37" t="s">
        <v>163</v>
      </c>
      <c r="L14" s="37" t="s">
        <v>162</v>
      </c>
    </row>
    <row r="15" spans="1:24" x14ac:dyDescent="0.25">
      <c r="H15" s="38" t="s">
        <v>135</v>
      </c>
      <c r="I15" s="39"/>
      <c r="J15" s="40"/>
      <c r="K15" s="40"/>
      <c r="L15" s="41"/>
    </row>
    <row r="16" spans="1:24" ht="16.5" thickBot="1" x14ac:dyDescent="0.3">
      <c r="A16" s="58"/>
      <c r="B16" s="58"/>
      <c r="C16" s="58"/>
      <c r="D16" s="58"/>
      <c r="E16" s="58"/>
      <c r="F16" s="58"/>
      <c r="G16" s="58"/>
      <c r="H16" s="42" t="s">
        <v>134</v>
      </c>
      <c r="I16" s="43"/>
      <c r="J16" s="44"/>
      <c r="K16" s="44"/>
      <c r="L16" s="45"/>
    </row>
    <row r="17" spans="8:12" x14ac:dyDescent="0.25">
      <c r="H17" s="94" t="s">
        <v>0</v>
      </c>
      <c r="I17" s="71" t="s">
        <v>1</v>
      </c>
      <c r="J17" s="72"/>
      <c r="K17" s="73"/>
      <c r="L17" s="74"/>
    </row>
    <row r="18" spans="8:12" x14ac:dyDescent="0.25">
      <c r="H18" s="92"/>
      <c r="I18" s="46" t="s">
        <v>2</v>
      </c>
      <c r="J18" s="32"/>
      <c r="K18" s="26"/>
      <c r="L18" s="33"/>
    </row>
    <row r="19" spans="8:12" ht="30" x14ac:dyDescent="0.25">
      <c r="H19" s="89" t="s">
        <v>3</v>
      </c>
      <c r="I19" s="46"/>
      <c r="J19" s="32"/>
      <c r="K19" s="26"/>
      <c r="L19" s="33"/>
    </row>
    <row r="20" spans="8:12" x14ac:dyDescent="0.25">
      <c r="H20" s="92" t="s">
        <v>4</v>
      </c>
      <c r="I20" s="46" t="s">
        <v>168</v>
      </c>
      <c r="J20" s="32"/>
      <c r="K20" s="26"/>
      <c r="L20" s="33"/>
    </row>
    <row r="21" spans="8:12" x14ac:dyDescent="0.25">
      <c r="H21" s="92"/>
      <c r="I21" s="46" t="s">
        <v>169</v>
      </c>
      <c r="J21" s="32"/>
      <c r="K21" s="26"/>
      <c r="L21" s="33"/>
    </row>
    <row r="22" spans="8:12" ht="18.75" customHeight="1" x14ac:dyDescent="0.25">
      <c r="H22" s="92"/>
      <c r="I22" s="46" t="s">
        <v>170</v>
      </c>
      <c r="J22" s="32"/>
      <c r="K22" s="26"/>
      <c r="L22" s="33"/>
    </row>
    <row r="23" spans="8:12" x14ac:dyDescent="0.25">
      <c r="H23" s="92"/>
      <c r="I23" s="46" t="s">
        <v>171</v>
      </c>
      <c r="J23" s="32"/>
      <c r="K23" s="26"/>
      <c r="L23" s="33"/>
    </row>
    <row r="24" spans="8:12" x14ac:dyDescent="0.25">
      <c r="H24" s="92"/>
      <c r="I24" s="47" t="s">
        <v>172</v>
      </c>
      <c r="J24" s="32"/>
      <c r="K24" s="26"/>
      <c r="L24" s="33"/>
    </row>
    <row r="25" spans="8:12" x14ac:dyDescent="0.25">
      <c r="H25" s="92"/>
      <c r="I25" s="47" t="s">
        <v>173</v>
      </c>
      <c r="J25" s="32"/>
      <c r="K25" s="26"/>
      <c r="L25" s="33"/>
    </row>
    <row r="26" spans="8:12" x14ac:dyDescent="0.25">
      <c r="H26" s="92"/>
      <c r="I26" s="47" t="s">
        <v>174</v>
      </c>
      <c r="J26" s="32"/>
      <c r="K26" s="26"/>
      <c r="L26" s="33"/>
    </row>
    <row r="27" spans="8:12" x14ac:dyDescent="0.25">
      <c r="H27" s="92"/>
      <c r="I27" s="47" t="s">
        <v>175</v>
      </c>
      <c r="J27" s="32"/>
      <c r="K27" s="26"/>
      <c r="L27" s="33"/>
    </row>
    <row r="28" spans="8:12" x14ac:dyDescent="0.25">
      <c r="H28" s="92"/>
      <c r="I28" s="47" t="s">
        <v>176</v>
      </c>
      <c r="J28" s="32"/>
      <c r="K28" s="26"/>
      <c r="L28" s="33"/>
    </row>
    <row r="29" spans="8:12" x14ac:dyDescent="0.25">
      <c r="H29" s="92"/>
      <c r="I29" s="47" t="s">
        <v>260</v>
      </c>
      <c r="J29" s="32"/>
      <c r="K29" s="26"/>
      <c r="L29" s="33"/>
    </row>
    <row r="30" spans="8:12" x14ac:dyDescent="0.25">
      <c r="H30" s="92"/>
      <c r="I30" s="47" t="s">
        <v>261</v>
      </c>
      <c r="J30" s="32"/>
      <c r="K30" s="26"/>
      <c r="L30" s="33"/>
    </row>
    <row r="31" spans="8:12" x14ac:dyDescent="0.25">
      <c r="H31" s="92"/>
      <c r="I31" s="46" t="s">
        <v>177</v>
      </c>
      <c r="J31" s="32"/>
      <c r="K31" s="26"/>
      <c r="L31" s="33"/>
    </row>
    <row r="32" spans="8:12" x14ac:dyDescent="0.25">
      <c r="H32" s="48" t="s">
        <v>5</v>
      </c>
      <c r="I32" s="46"/>
      <c r="J32" s="32"/>
      <c r="K32" s="26"/>
      <c r="L32" s="33"/>
    </row>
    <row r="33" spans="8:12" x14ac:dyDescent="0.25">
      <c r="H33" s="92" t="s">
        <v>6</v>
      </c>
      <c r="I33" s="46" t="s">
        <v>178</v>
      </c>
      <c r="J33" s="32"/>
      <c r="K33" s="26"/>
      <c r="L33" s="33"/>
    </row>
    <row r="34" spans="8:12" x14ac:dyDescent="0.25">
      <c r="H34" s="92"/>
      <c r="I34" s="46" t="s">
        <v>179</v>
      </c>
      <c r="J34" s="32"/>
      <c r="K34" s="26"/>
      <c r="L34" s="33"/>
    </row>
    <row r="35" spans="8:12" x14ac:dyDescent="0.25">
      <c r="H35" s="92" t="s">
        <v>7</v>
      </c>
      <c r="I35" s="46" t="s">
        <v>8</v>
      </c>
      <c r="J35" s="32"/>
      <c r="K35" s="26"/>
      <c r="L35" s="33"/>
    </row>
    <row r="36" spans="8:12" x14ac:dyDescent="0.25">
      <c r="H36" s="92"/>
      <c r="I36" s="46" t="s">
        <v>9</v>
      </c>
      <c r="J36" s="32"/>
      <c r="K36" s="26"/>
      <c r="L36" s="33"/>
    </row>
    <row r="37" spans="8:12" x14ac:dyDescent="0.25">
      <c r="H37" s="92"/>
      <c r="I37" s="46" t="s">
        <v>10</v>
      </c>
      <c r="J37" s="32"/>
      <c r="K37" s="26"/>
      <c r="L37" s="33"/>
    </row>
    <row r="38" spans="8:12" x14ac:dyDescent="0.25">
      <c r="H38" s="92" t="s">
        <v>11</v>
      </c>
      <c r="I38" s="46" t="s">
        <v>180</v>
      </c>
      <c r="J38" s="32"/>
      <c r="K38" s="26"/>
      <c r="L38" s="33"/>
    </row>
    <row r="39" spans="8:12" x14ac:dyDescent="0.25">
      <c r="H39" s="92"/>
      <c r="I39" s="46" t="s">
        <v>181</v>
      </c>
      <c r="J39" s="32"/>
      <c r="K39" s="26"/>
      <c r="L39" s="33"/>
    </row>
    <row r="40" spans="8:12" x14ac:dyDescent="0.25">
      <c r="H40" s="92"/>
      <c r="I40" s="46" t="s">
        <v>182</v>
      </c>
      <c r="J40" s="32"/>
      <c r="K40" s="26"/>
      <c r="L40" s="33"/>
    </row>
    <row r="41" spans="8:12" x14ac:dyDescent="0.25">
      <c r="H41" s="92" t="s">
        <v>12</v>
      </c>
      <c r="I41" s="46" t="s">
        <v>183</v>
      </c>
      <c r="J41" s="32"/>
      <c r="K41" s="26"/>
      <c r="L41" s="33"/>
    </row>
    <row r="42" spans="8:12" x14ac:dyDescent="0.25">
      <c r="H42" s="92"/>
      <c r="I42" s="46" t="s">
        <v>184</v>
      </c>
      <c r="J42" s="32"/>
      <c r="K42" s="26"/>
      <c r="L42" s="33"/>
    </row>
    <row r="43" spans="8:12" x14ac:dyDescent="0.25">
      <c r="H43" s="92"/>
      <c r="I43" s="46" t="s">
        <v>185</v>
      </c>
      <c r="J43" s="32"/>
      <c r="K43" s="26"/>
      <c r="L43" s="33"/>
    </row>
    <row r="44" spans="8:12" x14ac:dyDescent="0.25">
      <c r="H44" s="92" t="s">
        <v>13</v>
      </c>
      <c r="I44" s="46" t="s">
        <v>14</v>
      </c>
      <c r="J44" s="32"/>
      <c r="K44" s="26"/>
      <c r="L44" s="33"/>
    </row>
    <row r="45" spans="8:12" ht="16.5" thickBot="1" x14ac:dyDescent="0.3">
      <c r="H45" s="93"/>
      <c r="I45" s="66" t="s">
        <v>15</v>
      </c>
      <c r="J45" s="34"/>
      <c r="K45" s="27"/>
      <c r="L45" s="35"/>
    </row>
    <row r="46" spans="8:12" x14ac:dyDescent="0.25">
      <c r="H46" s="59"/>
      <c r="I46" s="60"/>
      <c r="J46" s="61"/>
      <c r="K46" s="61"/>
      <c r="L46" s="62"/>
    </row>
    <row r="47" spans="8:12" ht="16.5" thickBot="1" x14ac:dyDescent="0.3">
      <c r="H47" s="42" t="s">
        <v>133</v>
      </c>
      <c r="I47" s="43"/>
      <c r="J47" s="44"/>
      <c r="K47" s="44"/>
      <c r="L47" s="45"/>
    </row>
    <row r="48" spans="8:12" x14ac:dyDescent="0.25">
      <c r="H48" s="94" t="s">
        <v>20</v>
      </c>
      <c r="I48" s="75" t="s">
        <v>186</v>
      </c>
      <c r="J48" s="72"/>
      <c r="K48" s="73"/>
      <c r="L48" s="74"/>
    </row>
    <row r="49" spans="8:12" x14ac:dyDescent="0.25">
      <c r="H49" s="92"/>
      <c r="I49" s="46" t="s">
        <v>21</v>
      </c>
      <c r="J49" s="32"/>
      <c r="K49" s="26"/>
      <c r="L49" s="33"/>
    </row>
    <row r="50" spans="8:12" x14ac:dyDescent="0.25">
      <c r="H50" s="92"/>
      <c r="I50" s="46" t="s">
        <v>22</v>
      </c>
      <c r="J50" s="32"/>
      <c r="K50" s="26"/>
      <c r="L50" s="33"/>
    </row>
    <row r="51" spans="8:12" x14ac:dyDescent="0.25">
      <c r="H51" s="92"/>
      <c r="I51" s="46" t="s">
        <v>23</v>
      </c>
      <c r="J51" s="32"/>
      <c r="K51" s="26"/>
      <c r="L51" s="33"/>
    </row>
    <row r="52" spans="8:12" ht="30" x14ac:dyDescent="0.25">
      <c r="H52" s="48" t="s">
        <v>24</v>
      </c>
      <c r="I52" s="46"/>
      <c r="J52" s="32"/>
      <c r="K52" s="26"/>
      <c r="L52" s="33"/>
    </row>
    <row r="53" spans="8:12" ht="30.75" thickBot="1" x14ac:dyDescent="0.3">
      <c r="H53" s="65" t="s">
        <v>187</v>
      </c>
      <c r="I53" s="66"/>
      <c r="J53" s="34"/>
      <c r="K53" s="27"/>
      <c r="L53" s="35"/>
    </row>
    <row r="54" spans="8:12" x14ac:dyDescent="0.25">
      <c r="H54" s="63"/>
      <c r="I54" s="60"/>
      <c r="J54" s="61"/>
      <c r="K54" s="61"/>
      <c r="L54" s="62"/>
    </row>
    <row r="55" spans="8:12" ht="16.5" thickBot="1" x14ac:dyDescent="0.3">
      <c r="H55" s="88" t="s">
        <v>132</v>
      </c>
      <c r="I55" s="43"/>
      <c r="J55" s="44"/>
      <c r="K55" s="44"/>
      <c r="L55" s="45"/>
    </row>
    <row r="56" spans="8:12" x14ac:dyDescent="0.25">
      <c r="H56" s="76" t="s">
        <v>25</v>
      </c>
      <c r="I56" s="71"/>
      <c r="J56" s="72"/>
      <c r="K56" s="73"/>
      <c r="L56" s="74"/>
    </row>
    <row r="57" spans="8:12" x14ac:dyDescent="0.25">
      <c r="H57" s="48" t="s">
        <v>26</v>
      </c>
      <c r="I57" s="46"/>
      <c r="J57" s="32"/>
      <c r="K57" s="26"/>
      <c r="L57" s="33"/>
    </row>
    <row r="58" spans="8:12" ht="30" x14ac:dyDescent="0.25">
      <c r="H58" s="48" t="s">
        <v>262</v>
      </c>
      <c r="I58" s="46"/>
      <c r="J58" s="32"/>
      <c r="K58" s="26"/>
      <c r="L58" s="33"/>
    </row>
    <row r="59" spans="8:12" x14ac:dyDescent="0.25">
      <c r="H59" s="92" t="s">
        <v>27</v>
      </c>
      <c r="I59" s="46" t="s">
        <v>188</v>
      </c>
      <c r="J59" s="32"/>
      <c r="K59" s="26"/>
      <c r="L59" s="33"/>
    </row>
    <row r="60" spans="8:12" x14ac:dyDescent="0.25">
      <c r="H60" s="92"/>
      <c r="I60" s="46" t="s">
        <v>189</v>
      </c>
      <c r="J60" s="32"/>
      <c r="K60" s="26"/>
      <c r="L60" s="33"/>
    </row>
    <row r="61" spans="8:12" x14ac:dyDescent="0.25">
      <c r="H61" s="92"/>
      <c r="I61" s="64" t="s">
        <v>190</v>
      </c>
      <c r="J61" s="32"/>
      <c r="K61" s="26"/>
      <c r="L61" s="33"/>
    </row>
    <row r="62" spans="8:12" x14ac:dyDescent="0.25">
      <c r="H62" s="92"/>
      <c r="I62" s="64" t="s">
        <v>191</v>
      </c>
      <c r="J62" s="32"/>
      <c r="K62" s="26"/>
      <c r="L62" s="33"/>
    </row>
    <row r="63" spans="8:12" x14ac:dyDescent="0.25">
      <c r="H63" s="92"/>
      <c r="I63" s="46" t="s">
        <v>192</v>
      </c>
      <c r="J63" s="32"/>
      <c r="K63" s="26"/>
      <c r="L63" s="33"/>
    </row>
    <row r="64" spans="8:12" x14ac:dyDescent="0.25">
      <c r="H64" s="92"/>
      <c r="I64" s="64" t="s">
        <v>263</v>
      </c>
      <c r="J64" s="32"/>
      <c r="K64" s="26"/>
      <c r="L64" s="33"/>
    </row>
    <row r="65" spans="8:12" x14ac:dyDescent="0.25">
      <c r="H65" s="92"/>
      <c r="I65" s="64" t="s">
        <v>193</v>
      </c>
      <c r="J65" s="32"/>
      <c r="K65" s="26"/>
      <c r="L65" s="33"/>
    </row>
    <row r="66" spans="8:12" s="21" customFormat="1" ht="16.5" thickBot="1" x14ac:dyDescent="0.3">
      <c r="H66" s="93"/>
      <c r="I66" s="66" t="s">
        <v>194</v>
      </c>
      <c r="J66" s="34"/>
      <c r="K66" s="27"/>
      <c r="L66" s="35"/>
    </row>
    <row r="67" spans="8:12" x14ac:dyDescent="0.25">
      <c r="H67" s="59"/>
      <c r="I67" s="60"/>
      <c r="J67" s="61"/>
      <c r="K67" s="61"/>
      <c r="L67" s="62"/>
    </row>
    <row r="68" spans="8:12" ht="16.5" thickBot="1" x14ac:dyDescent="0.3">
      <c r="H68" s="88" t="s">
        <v>131</v>
      </c>
      <c r="I68" s="43"/>
      <c r="J68" s="44"/>
      <c r="K68" s="44"/>
      <c r="L68" s="45"/>
    </row>
    <row r="69" spans="8:12" x14ac:dyDescent="0.25">
      <c r="H69" s="94" t="s">
        <v>195</v>
      </c>
      <c r="I69" s="71" t="s">
        <v>196</v>
      </c>
      <c r="J69" s="72"/>
      <c r="K69" s="73"/>
      <c r="L69" s="74"/>
    </row>
    <row r="70" spans="8:12" x14ac:dyDescent="0.25">
      <c r="H70" s="92"/>
      <c r="I70" s="46" t="s">
        <v>200</v>
      </c>
      <c r="J70" s="32"/>
      <c r="K70" s="26"/>
      <c r="L70" s="33"/>
    </row>
    <row r="71" spans="8:12" x14ac:dyDescent="0.25">
      <c r="H71" s="92"/>
      <c r="I71" s="46" t="s">
        <v>197</v>
      </c>
      <c r="J71" s="32"/>
      <c r="K71" s="26"/>
      <c r="L71" s="33"/>
    </row>
    <row r="72" spans="8:12" x14ac:dyDescent="0.25">
      <c r="H72" s="92"/>
      <c r="I72" s="46" t="s">
        <v>198</v>
      </c>
      <c r="J72" s="32"/>
      <c r="K72" s="26"/>
      <c r="L72" s="33"/>
    </row>
    <row r="73" spans="8:12" x14ac:dyDescent="0.25">
      <c r="H73" s="92"/>
      <c r="I73" s="46" t="s">
        <v>199</v>
      </c>
      <c r="J73" s="32"/>
      <c r="K73" s="26"/>
      <c r="L73" s="33"/>
    </row>
    <row r="74" spans="8:12" x14ac:dyDescent="0.25">
      <c r="H74" s="92" t="s">
        <v>28</v>
      </c>
      <c r="I74" s="46" t="s">
        <v>29</v>
      </c>
      <c r="J74" s="32"/>
      <c r="K74" s="26"/>
      <c r="L74" s="33"/>
    </row>
    <row r="75" spans="8:12" x14ac:dyDescent="0.25">
      <c r="H75" s="92"/>
      <c r="I75" s="64" t="s">
        <v>201</v>
      </c>
      <c r="J75" s="32"/>
      <c r="K75" s="26"/>
      <c r="L75" s="33"/>
    </row>
    <row r="76" spans="8:12" x14ac:dyDescent="0.25">
      <c r="H76" s="92"/>
      <c r="I76" s="64" t="s">
        <v>202</v>
      </c>
      <c r="J76" s="32"/>
      <c r="K76" s="26"/>
      <c r="L76" s="33"/>
    </row>
    <row r="77" spans="8:12" x14ac:dyDescent="0.25">
      <c r="H77" s="92"/>
      <c r="I77" s="64" t="s">
        <v>203</v>
      </c>
      <c r="J77" s="32"/>
      <c r="K77" s="26"/>
      <c r="L77" s="33"/>
    </row>
    <row r="78" spans="8:12" x14ac:dyDescent="0.25">
      <c r="H78" s="92"/>
      <c r="I78" s="64" t="s">
        <v>204</v>
      </c>
      <c r="J78" s="32"/>
      <c r="K78" s="26"/>
      <c r="L78" s="33"/>
    </row>
    <row r="79" spans="8:12" x14ac:dyDescent="0.25">
      <c r="H79" s="92"/>
      <c r="I79" s="46" t="s">
        <v>30</v>
      </c>
      <c r="J79" s="32"/>
      <c r="K79" s="26"/>
      <c r="L79" s="33"/>
    </row>
    <row r="80" spans="8:12" x14ac:dyDescent="0.25">
      <c r="H80" s="92"/>
      <c r="I80" s="64" t="s">
        <v>205</v>
      </c>
      <c r="J80" s="32"/>
      <c r="K80" s="26"/>
      <c r="L80" s="33"/>
    </row>
    <row r="81" spans="8:12" x14ac:dyDescent="0.25">
      <c r="H81" s="92"/>
      <c r="I81" s="64" t="s">
        <v>264</v>
      </c>
      <c r="J81" s="32"/>
      <c r="K81" s="26"/>
      <c r="L81" s="33"/>
    </row>
    <row r="82" spans="8:12" x14ac:dyDescent="0.25">
      <c r="H82" s="92"/>
      <c r="I82" s="64" t="s">
        <v>265</v>
      </c>
      <c r="J82" s="32"/>
      <c r="K82" s="26"/>
      <c r="L82" s="33"/>
    </row>
    <row r="83" spans="8:12" x14ac:dyDescent="0.25">
      <c r="H83" s="92" t="s">
        <v>31</v>
      </c>
      <c r="I83" s="46" t="s">
        <v>32</v>
      </c>
      <c r="J83" s="32"/>
      <c r="K83" s="26"/>
      <c r="L83" s="33"/>
    </row>
    <row r="84" spans="8:12" x14ac:dyDescent="0.25">
      <c r="H84" s="92"/>
      <c r="I84" s="46" t="s">
        <v>33</v>
      </c>
      <c r="J84" s="32"/>
      <c r="K84" s="26"/>
      <c r="L84" s="33"/>
    </row>
    <row r="85" spans="8:12" ht="15.75" customHeight="1" x14ac:dyDescent="0.25">
      <c r="H85" s="92"/>
      <c r="I85" s="46" t="s">
        <v>266</v>
      </c>
      <c r="J85" s="32"/>
      <c r="K85" s="26"/>
      <c r="L85" s="33"/>
    </row>
    <row r="86" spans="8:12" x14ac:dyDescent="0.25">
      <c r="H86" s="92" t="s">
        <v>34</v>
      </c>
      <c r="I86" s="46" t="s">
        <v>206</v>
      </c>
      <c r="J86" s="32"/>
      <c r="K86" s="26"/>
      <c r="L86" s="33"/>
    </row>
    <row r="87" spans="8:12" x14ac:dyDescent="0.25">
      <c r="H87" s="92"/>
      <c r="I87" s="46" t="s">
        <v>207</v>
      </c>
      <c r="J87" s="32"/>
      <c r="K87" s="26"/>
      <c r="L87" s="33"/>
    </row>
    <row r="88" spans="8:12" ht="15" customHeight="1" x14ac:dyDescent="0.25">
      <c r="H88" s="92"/>
      <c r="I88" s="46" t="s">
        <v>208</v>
      </c>
      <c r="J88" s="32"/>
      <c r="K88" s="26"/>
      <c r="L88" s="33"/>
    </row>
    <row r="89" spans="8:12" x14ac:dyDescent="0.25">
      <c r="H89" s="92" t="s">
        <v>35</v>
      </c>
      <c r="I89" s="46" t="s">
        <v>209</v>
      </c>
      <c r="J89" s="32"/>
      <c r="K89" s="26"/>
      <c r="L89" s="33"/>
    </row>
    <row r="90" spans="8:12" ht="16.5" customHeight="1" x14ac:dyDescent="0.25">
      <c r="H90" s="92"/>
      <c r="I90" s="46" t="s">
        <v>210</v>
      </c>
      <c r="J90" s="32"/>
      <c r="K90" s="26"/>
      <c r="L90" s="33"/>
    </row>
    <row r="91" spans="8:12" x14ac:dyDescent="0.25">
      <c r="H91" s="92"/>
      <c r="I91" s="46" t="s">
        <v>267</v>
      </c>
      <c r="J91" s="32"/>
      <c r="K91" s="26"/>
      <c r="L91" s="33"/>
    </row>
    <row r="92" spans="8:12" ht="15" customHeight="1" x14ac:dyDescent="0.25">
      <c r="H92" s="92"/>
      <c r="I92" s="46" t="s">
        <v>211</v>
      </c>
      <c r="J92" s="32"/>
      <c r="K92" s="26"/>
      <c r="L92" s="33"/>
    </row>
    <row r="93" spans="8:12" ht="16.5" customHeight="1" x14ac:dyDescent="0.25">
      <c r="H93" s="92"/>
      <c r="I93" s="46" t="s">
        <v>212</v>
      </c>
      <c r="J93" s="32"/>
      <c r="K93" s="26"/>
      <c r="L93" s="33"/>
    </row>
    <row r="94" spans="8:12" ht="15.75" customHeight="1" x14ac:dyDescent="0.25">
      <c r="H94" s="92"/>
      <c r="I94" s="46" t="s">
        <v>213</v>
      </c>
      <c r="J94" s="32"/>
      <c r="K94" s="26"/>
      <c r="L94" s="33"/>
    </row>
    <row r="95" spans="8:12" x14ac:dyDescent="0.25">
      <c r="H95" s="92" t="s">
        <v>294</v>
      </c>
      <c r="I95" s="46" t="s">
        <v>295</v>
      </c>
      <c r="J95" s="32"/>
      <c r="K95" s="26"/>
      <c r="L95" s="33"/>
    </row>
    <row r="96" spans="8:12" x14ac:dyDescent="0.25">
      <c r="H96" s="92"/>
      <c r="I96" s="46" t="s">
        <v>296</v>
      </c>
      <c r="J96" s="32"/>
      <c r="K96" s="26"/>
      <c r="L96" s="33"/>
    </row>
    <row r="97" spans="8:12" x14ac:dyDescent="0.25">
      <c r="H97" s="92"/>
      <c r="I97" s="64" t="s">
        <v>297</v>
      </c>
      <c r="J97" s="32"/>
      <c r="K97" s="26"/>
      <c r="L97" s="33"/>
    </row>
    <row r="98" spans="8:12" x14ac:dyDescent="0.25">
      <c r="H98" s="92"/>
      <c r="I98" s="64" t="s">
        <v>559</v>
      </c>
      <c r="J98" s="32"/>
      <c r="K98" s="26"/>
      <c r="L98" s="33"/>
    </row>
    <row r="99" spans="8:12" ht="14.25" customHeight="1" x14ac:dyDescent="0.25">
      <c r="H99" s="92"/>
      <c r="I99" s="64" t="s">
        <v>298</v>
      </c>
      <c r="J99" s="32"/>
      <c r="K99" s="26"/>
      <c r="L99" s="33"/>
    </row>
    <row r="100" spans="8:12" ht="13.5" customHeight="1" x14ac:dyDescent="0.25">
      <c r="H100" s="92"/>
      <c r="I100" s="64" t="s">
        <v>299</v>
      </c>
      <c r="J100" s="32"/>
      <c r="K100" s="26"/>
      <c r="L100" s="33"/>
    </row>
    <row r="101" spans="8:12" x14ac:dyDescent="0.25">
      <c r="H101" s="48" t="s">
        <v>36</v>
      </c>
      <c r="I101" s="46"/>
      <c r="J101" s="32"/>
      <c r="K101" s="26"/>
      <c r="L101" s="33"/>
    </row>
    <row r="102" spans="8:12" x14ac:dyDescent="0.25">
      <c r="H102" s="48" t="s">
        <v>37</v>
      </c>
      <c r="I102" s="46"/>
      <c r="J102" s="32"/>
      <c r="K102" s="26"/>
      <c r="L102" s="33"/>
    </row>
    <row r="103" spans="8:12" x14ac:dyDescent="0.25">
      <c r="H103" s="48" t="s">
        <v>38</v>
      </c>
      <c r="I103" s="46"/>
      <c r="J103" s="32"/>
      <c r="K103" s="26"/>
      <c r="L103" s="33"/>
    </row>
    <row r="104" spans="8:12" x14ac:dyDescent="0.25">
      <c r="H104" s="92" t="s">
        <v>39</v>
      </c>
      <c r="I104" s="46" t="s">
        <v>40</v>
      </c>
      <c r="J104" s="32"/>
      <c r="K104" s="26"/>
      <c r="L104" s="33"/>
    </row>
    <row r="105" spans="8:12" x14ac:dyDescent="0.25">
      <c r="H105" s="92"/>
      <c r="I105" s="64" t="s">
        <v>214</v>
      </c>
      <c r="J105" s="32"/>
      <c r="K105" s="26"/>
      <c r="L105" s="33"/>
    </row>
    <row r="106" spans="8:12" x14ac:dyDescent="0.25">
      <c r="H106" s="92"/>
      <c r="I106" s="64" t="s">
        <v>215</v>
      </c>
      <c r="J106" s="32"/>
      <c r="K106" s="26"/>
      <c r="L106" s="33"/>
    </row>
    <row r="107" spans="8:12" x14ac:dyDescent="0.25">
      <c r="H107" s="92"/>
      <c r="I107" s="64" t="s">
        <v>216</v>
      </c>
      <c r="J107" s="32"/>
      <c r="K107" s="26"/>
      <c r="L107" s="33"/>
    </row>
    <row r="108" spans="8:12" x14ac:dyDescent="0.25">
      <c r="H108" s="92"/>
      <c r="I108" s="46" t="s">
        <v>41</v>
      </c>
      <c r="J108" s="32"/>
      <c r="K108" s="26"/>
      <c r="L108" s="33"/>
    </row>
    <row r="109" spans="8:12" x14ac:dyDescent="0.25">
      <c r="H109" s="92"/>
      <c r="I109" s="64" t="s">
        <v>217</v>
      </c>
      <c r="J109" s="32"/>
      <c r="K109" s="26"/>
      <c r="L109" s="33"/>
    </row>
    <row r="110" spans="8:12" x14ac:dyDescent="0.25">
      <c r="H110" s="92"/>
      <c r="I110" s="46" t="s">
        <v>268</v>
      </c>
      <c r="J110" s="32"/>
      <c r="K110" s="26"/>
      <c r="L110" s="33"/>
    </row>
    <row r="111" spans="8:12" x14ac:dyDescent="0.25">
      <c r="H111" s="92"/>
      <c r="I111" s="46" t="s">
        <v>269</v>
      </c>
      <c r="J111" s="32"/>
      <c r="K111" s="26"/>
      <c r="L111" s="33"/>
    </row>
    <row r="112" spans="8:12" x14ac:dyDescent="0.25">
      <c r="H112" s="92"/>
      <c r="I112" s="46" t="s">
        <v>270</v>
      </c>
      <c r="J112" s="32"/>
      <c r="K112" s="26"/>
      <c r="L112" s="33"/>
    </row>
    <row r="113" spans="8:12" x14ac:dyDescent="0.25">
      <c r="H113" s="92" t="s">
        <v>42</v>
      </c>
      <c r="I113" s="46" t="s">
        <v>43</v>
      </c>
      <c r="J113" s="32"/>
      <c r="K113" s="26"/>
      <c r="L113" s="33"/>
    </row>
    <row r="114" spans="8:12" ht="30" x14ac:dyDescent="0.25">
      <c r="H114" s="92"/>
      <c r="I114" s="46" t="s">
        <v>44</v>
      </c>
      <c r="J114" s="32"/>
      <c r="K114" s="26"/>
      <c r="L114" s="33"/>
    </row>
    <row r="115" spans="8:12" x14ac:dyDescent="0.25">
      <c r="H115" s="92"/>
      <c r="I115" s="46" t="s">
        <v>45</v>
      </c>
      <c r="J115" s="32"/>
      <c r="K115" s="26"/>
      <c r="L115" s="33"/>
    </row>
    <row r="116" spans="8:12" s="21" customFormat="1" ht="16.5" thickBot="1" x14ac:dyDescent="0.3">
      <c r="H116" s="93"/>
      <c r="I116" s="66" t="s">
        <v>46</v>
      </c>
      <c r="J116" s="34"/>
      <c r="K116" s="27"/>
      <c r="L116" s="35"/>
    </row>
    <row r="117" spans="8:12" x14ac:dyDescent="0.25">
      <c r="H117" s="59"/>
      <c r="I117" s="60"/>
      <c r="J117" s="61"/>
      <c r="K117" s="61"/>
      <c r="L117" s="62"/>
    </row>
    <row r="118" spans="8:12" ht="16.5" thickBot="1" x14ac:dyDescent="0.3">
      <c r="H118" s="42" t="s">
        <v>130</v>
      </c>
      <c r="I118" s="43"/>
      <c r="J118" s="44"/>
      <c r="K118" s="44"/>
      <c r="L118" s="45"/>
    </row>
    <row r="119" spans="8:12" ht="30" x14ac:dyDescent="0.25">
      <c r="H119" s="76" t="s">
        <v>19</v>
      </c>
      <c r="I119" s="71" t="s">
        <v>47</v>
      </c>
      <c r="J119" s="72"/>
      <c r="K119" s="73"/>
      <c r="L119" s="74"/>
    </row>
    <row r="120" spans="8:12" x14ac:dyDescent="0.25">
      <c r="H120" s="92" t="s">
        <v>48</v>
      </c>
      <c r="I120" s="46" t="s">
        <v>49</v>
      </c>
      <c r="J120" s="32"/>
      <c r="K120" s="26"/>
      <c r="L120" s="33"/>
    </row>
    <row r="121" spans="8:12" x14ac:dyDescent="0.25">
      <c r="H121" s="92"/>
      <c r="I121" s="46" t="s">
        <v>50</v>
      </c>
      <c r="J121" s="32"/>
      <c r="K121" s="26"/>
      <c r="L121" s="33"/>
    </row>
    <row r="122" spans="8:12" x14ac:dyDescent="0.25">
      <c r="H122" s="92"/>
      <c r="I122" s="46" t="s">
        <v>51</v>
      </c>
      <c r="J122" s="32"/>
      <c r="K122" s="26"/>
      <c r="L122" s="33"/>
    </row>
    <row r="123" spans="8:12" ht="45" x14ac:dyDescent="0.25">
      <c r="H123" s="48" t="s">
        <v>52</v>
      </c>
      <c r="I123" s="46"/>
      <c r="J123" s="32"/>
      <c r="K123" s="26"/>
      <c r="L123" s="33"/>
    </row>
    <row r="124" spans="8:12" s="21" customFormat="1" ht="30" x14ac:dyDescent="0.25">
      <c r="H124" s="48" t="s">
        <v>53</v>
      </c>
      <c r="I124" s="46"/>
      <c r="J124" s="32"/>
      <c r="K124" s="26"/>
      <c r="L124" s="33"/>
    </row>
    <row r="125" spans="8:12" s="21" customFormat="1" ht="30.75" thickBot="1" x14ac:dyDescent="0.3">
      <c r="H125" s="65" t="s">
        <v>54</v>
      </c>
      <c r="I125" s="66" t="s">
        <v>55</v>
      </c>
      <c r="J125" s="34"/>
      <c r="K125" s="27"/>
      <c r="L125" s="35"/>
    </row>
    <row r="126" spans="8:12" ht="16.5" thickBot="1" x14ac:dyDescent="0.3">
      <c r="H126" s="63"/>
      <c r="I126" s="60"/>
      <c r="J126" s="61"/>
      <c r="K126" s="61"/>
      <c r="L126" s="62"/>
    </row>
    <row r="127" spans="8:12" x14ac:dyDescent="0.25">
      <c r="H127" s="38" t="s">
        <v>56</v>
      </c>
      <c r="I127" s="39"/>
      <c r="J127" s="40"/>
      <c r="K127" s="40"/>
      <c r="L127" s="41"/>
    </row>
    <row r="128" spans="8:12" ht="16.5" thickBot="1" x14ac:dyDescent="0.3">
      <c r="H128" s="42" t="s">
        <v>129</v>
      </c>
      <c r="I128" s="43"/>
      <c r="J128" s="44"/>
      <c r="K128" s="44"/>
      <c r="L128" s="45"/>
    </row>
    <row r="129" spans="8:12" x14ac:dyDescent="0.25">
      <c r="H129" s="94" t="s">
        <v>63</v>
      </c>
      <c r="I129" s="71" t="s">
        <v>64</v>
      </c>
      <c r="J129" s="72"/>
      <c r="K129" s="73"/>
      <c r="L129" s="74"/>
    </row>
    <row r="130" spans="8:12" x14ac:dyDescent="0.25">
      <c r="H130" s="92"/>
      <c r="I130" s="46" t="s">
        <v>65</v>
      </c>
      <c r="J130" s="32"/>
      <c r="K130" s="26"/>
      <c r="L130" s="33"/>
    </row>
    <row r="131" spans="8:12" x14ac:dyDescent="0.25">
      <c r="H131" s="92" t="s">
        <v>66</v>
      </c>
      <c r="I131" s="46" t="s">
        <v>67</v>
      </c>
      <c r="J131" s="32"/>
      <c r="K131" s="26"/>
      <c r="L131" s="33"/>
    </row>
    <row r="132" spans="8:12" s="21" customFormat="1" x14ac:dyDescent="0.25">
      <c r="H132" s="92"/>
      <c r="I132" s="46" t="s">
        <v>68</v>
      </c>
      <c r="J132" s="32"/>
      <c r="K132" s="26"/>
      <c r="L132" s="33"/>
    </row>
    <row r="133" spans="8:12" ht="16.5" thickBot="1" x14ac:dyDescent="0.3">
      <c r="H133" s="93"/>
      <c r="I133" s="66" t="s">
        <v>69</v>
      </c>
      <c r="J133" s="34"/>
      <c r="K133" s="27"/>
      <c r="L133" s="35"/>
    </row>
    <row r="134" spans="8:12" x14ac:dyDescent="0.25">
      <c r="H134" s="59"/>
      <c r="I134" s="60"/>
      <c r="J134" s="61"/>
      <c r="K134" s="61"/>
      <c r="L134" s="62"/>
    </row>
    <row r="135" spans="8:12" ht="16.5" thickBot="1" x14ac:dyDescent="0.3">
      <c r="H135" s="42" t="s">
        <v>128</v>
      </c>
      <c r="I135" s="43"/>
      <c r="J135" s="44"/>
      <c r="K135" s="44"/>
      <c r="L135" s="45"/>
    </row>
    <row r="136" spans="8:12" x14ac:dyDescent="0.25">
      <c r="H136" s="94" t="s">
        <v>70</v>
      </c>
      <c r="I136" s="71" t="s">
        <v>71</v>
      </c>
      <c r="J136" s="72"/>
      <c r="K136" s="73"/>
      <c r="L136" s="74"/>
    </row>
    <row r="137" spans="8:12" x14ac:dyDescent="0.25">
      <c r="H137" s="92"/>
      <c r="I137" s="46" t="s">
        <v>72</v>
      </c>
      <c r="J137" s="32"/>
      <c r="K137" s="26"/>
      <c r="L137" s="33"/>
    </row>
    <row r="138" spans="8:12" x14ac:dyDescent="0.25">
      <c r="H138" s="48" t="s">
        <v>73</v>
      </c>
      <c r="I138" s="46"/>
      <c r="J138" s="32"/>
      <c r="K138" s="26"/>
      <c r="L138" s="33"/>
    </row>
    <row r="139" spans="8:12" x14ac:dyDescent="0.25">
      <c r="H139" s="48" t="s">
        <v>74</v>
      </c>
      <c r="I139" s="46"/>
      <c r="J139" s="32"/>
      <c r="K139" s="26"/>
      <c r="L139" s="33"/>
    </row>
    <row r="140" spans="8:12" s="21" customFormat="1" x14ac:dyDescent="0.25">
      <c r="H140" s="48" t="s">
        <v>75</v>
      </c>
      <c r="I140" s="46"/>
      <c r="J140" s="32"/>
      <c r="K140" s="26"/>
      <c r="L140" s="33"/>
    </row>
    <row r="141" spans="8:12" ht="16.5" thickBot="1" x14ac:dyDescent="0.3">
      <c r="H141" s="65" t="s">
        <v>76</v>
      </c>
      <c r="I141" s="66"/>
      <c r="J141" s="34"/>
      <c r="K141" s="27"/>
      <c r="L141" s="35"/>
    </row>
    <row r="142" spans="8:12" x14ac:dyDescent="0.25">
      <c r="H142" s="63"/>
      <c r="I142" s="60"/>
      <c r="J142" s="61"/>
      <c r="K142" s="61"/>
      <c r="L142" s="62"/>
    </row>
    <row r="143" spans="8:12" ht="16.5" thickBot="1" x14ac:dyDescent="0.3">
      <c r="H143" s="42" t="s">
        <v>127</v>
      </c>
      <c r="I143" s="43"/>
      <c r="J143" s="44"/>
      <c r="K143" s="44"/>
      <c r="L143" s="45"/>
    </row>
    <row r="144" spans="8:12" x14ac:dyDescent="0.25">
      <c r="H144" s="94" t="s">
        <v>77</v>
      </c>
      <c r="I144" s="71" t="s">
        <v>78</v>
      </c>
      <c r="J144" s="72"/>
      <c r="K144" s="73"/>
      <c r="L144" s="74"/>
    </row>
    <row r="145" spans="8:12" x14ac:dyDescent="0.25">
      <c r="H145" s="92"/>
      <c r="I145" s="46" t="s">
        <v>79</v>
      </c>
      <c r="J145" s="32"/>
      <c r="K145" s="26"/>
      <c r="L145" s="33"/>
    </row>
    <row r="146" spans="8:12" x14ac:dyDescent="0.25">
      <c r="H146" s="92" t="s">
        <v>80</v>
      </c>
      <c r="I146" s="46" t="s">
        <v>81</v>
      </c>
      <c r="J146" s="32"/>
      <c r="K146" s="26"/>
      <c r="L146" s="33"/>
    </row>
    <row r="147" spans="8:12" x14ac:dyDescent="0.25">
      <c r="H147" s="92"/>
      <c r="I147" s="46" t="s">
        <v>82</v>
      </c>
      <c r="J147" s="32"/>
      <c r="K147" s="26"/>
      <c r="L147" s="33"/>
    </row>
    <row r="148" spans="8:12" x14ac:dyDescent="0.25">
      <c r="H148" s="48" t="s">
        <v>83</v>
      </c>
      <c r="I148" s="46"/>
      <c r="J148" s="32"/>
      <c r="K148" s="26"/>
      <c r="L148" s="33"/>
    </row>
    <row r="149" spans="8:12" x14ac:dyDescent="0.25">
      <c r="H149" s="92" t="s">
        <v>84</v>
      </c>
      <c r="I149" s="46" t="s">
        <v>85</v>
      </c>
      <c r="J149" s="32"/>
      <c r="K149" s="26"/>
      <c r="L149" s="33"/>
    </row>
    <row r="150" spans="8:12" x14ac:dyDescent="0.25">
      <c r="H150" s="92"/>
      <c r="I150" s="46" t="s">
        <v>86</v>
      </c>
      <c r="J150" s="32"/>
      <c r="K150" s="26"/>
      <c r="L150" s="33"/>
    </row>
    <row r="151" spans="8:12" x14ac:dyDescent="0.25">
      <c r="H151" s="92"/>
      <c r="I151" s="46" t="s">
        <v>87</v>
      </c>
      <c r="J151" s="32"/>
      <c r="K151" s="26"/>
      <c r="L151" s="33"/>
    </row>
    <row r="152" spans="8:12" ht="33" customHeight="1" x14ac:dyDescent="0.25">
      <c r="H152" s="92"/>
      <c r="I152" s="46" t="s">
        <v>88</v>
      </c>
      <c r="J152" s="32"/>
      <c r="K152" s="26"/>
      <c r="L152" s="33"/>
    </row>
    <row r="153" spans="8:12" x14ac:dyDescent="0.25">
      <c r="H153" s="48" t="s">
        <v>89</v>
      </c>
      <c r="I153" s="46"/>
      <c r="J153" s="32"/>
      <c r="K153" s="26"/>
      <c r="L153" s="33"/>
    </row>
    <row r="154" spans="8:12" x14ac:dyDescent="0.25">
      <c r="H154" s="92" t="s">
        <v>90</v>
      </c>
      <c r="I154" s="46" t="s">
        <v>91</v>
      </c>
      <c r="J154" s="32"/>
      <c r="K154" s="26"/>
      <c r="L154" s="33"/>
    </row>
    <row r="155" spans="8:12" ht="30" x14ac:dyDescent="0.25">
      <c r="H155" s="92"/>
      <c r="I155" s="46" t="s">
        <v>92</v>
      </c>
      <c r="J155" s="32"/>
      <c r="K155" s="26"/>
      <c r="L155" s="33"/>
    </row>
    <row r="156" spans="8:12" ht="30" x14ac:dyDescent="0.25">
      <c r="H156" s="92"/>
      <c r="I156" s="46" t="s">
        <v>93</v>
      </c>
      <c r="J156" s="32"/>
      <c r="K156" s="26"/>
      <c r="L156" s="33"/>
    </row>
    <row r="157" spans="8:12" ht="30" x14ac:dyDescent="0.25">
      <c r="H157" s="92"/>
      <c r="I157" s="46" t="s">
        <v>94</v>
      </c>
      <c r="J157" s="32"/>
      <c r="K157" s="26"/>
      <c r="L157" s="33"/>
    </row>
    <row r="158" spans="8:12" ht="30" x14ac:dyDescent="0.25">
      <c r="H158" s="92"/>
      <c r="I158" s="46" t="s">
        <v>218</v>
      </c>
      <c r="J158" s="32"/>
      <c r="K158" s="26"/>
      <c r="L158" s="33"/>
    </row>
    <row r="159" spans="8:12" x14ac:dyDescent="0.25">
      <c r="H159" s="92" t="s">
        <v>544</v>
      </c>
      <c r="I159" s="46" t="s">
        <v>95</v>
      </c>
      <c r="J159" s="32"/>
      <c r="K159" s="26"/>
      <c r="L159" s="33"/>
    </row>
    <row r="160" spans="8:12" s="21" customFormat="1" x14ac:dyDescent="0.25">
      <c r="H160" s="92"/>
      <c r="I160" s="46" t="s">
        <v>96</v>
      </c>
      <c r="J160" s="32"/>
      <c r="K160" s="26"/>
      <c r="L160" s="33"/>
    </row>
    <row r="161" spans="8:12" ht="16.5" thickBot="1" x14ac:dyDescent="0.3">
      <c r="H161" s="93"/>
      <c r="I161" s="66" t="s">
        <v>97</v>
      </c>
      <c r="J161" s="34"/>
      <c r="K161" s="27"/>
      <c r="L161" s="35"/>
    </row>
    <row r="162" spans="8:12" x14ac:dyDescent="0.25">
      <c r="H162" s="59"/>
      <c r="I162" s="60"/>
      <c r="J162" s="61"/>
      <c r="K162" s="61"/>
      <c r="L162" s="62"/>
    </row>
    <row r="163" spans="8:12" ht="16.5" thickBot="1" x14ac:dyDescent="0.3">
      <c r="H163" s="42" t="s">
        <v>126</v>
      </c>
      <c r="I163" s="43"/>
      <c r="J163" s="44"/>
      <c r="K163" s="44"/>
      <c r="L163" s="45"/>
    </row>
    <row r="164" spans="8:12" x14ac:dyDescent="0.25">
      <c r="H164" s="94" t="s">
        <v>98</v>
      </c>
      <c r="I164" s="71" t="s">
        <v>219</v>
      </c>
      <c r="J164" s="72"/>
      <c r="K164" s="73"/>
      <c r="L164" s="74"/>
    </row>
    <row r="165" spans="8:12" x14ac:dyDescent="0.25">
      <c r="H165" s="92"/>
      <c r="I165" s="46" t="s">
        <v>271</v>
      </c>
      <c r="J165" s="32"/>
      <c r="K165" s="26"/>
      <c r="L165" s="33"/>
    </row>
    <row r="166" spans="8:12" x14ac:dyDescent="0.25">
      <c r="H166" s="48" t="s">
        <v>300</v>
      </c>
      <c r="I166" s="46"/>
      <c r="J166" s="32"/>
      <c r="K166" s="26"/>
      <c r="L166" s="33"/>
    </row>
    <row r="167" spans="8:12" ht="30" x14ac:dyDescent="0.25">
      <c r="H167" s="48" t="s">
        <v>99</v>
      </c>
      <c r="I167" s="46"/>
      <c r="J167" s="32"/>
      <c r="K167" s="26"/>
      <c r="L167" s="33"/>
    </row>
    <row r="168" spans="8:12" ht="30" x14ac:dyDescent="0.25">
      <c r="H168" s="48" t="s">
        <v>100</v>
      </c>
      <c r="I168" s="46"/>
      <c r="J168" s="32"/>
      <c r="K168" s="26"/>
      <c r="L168" s="33"/>
    </row>
    <row r="169" spans="8:12" ht="30" x14ac:dyDescent="0.25">
      <c r="H169" s="48" t="s">
        <v>272</v>
      </c>
      <c r="I169" s="46"/>
      <c r="J169" s="32"/>
      <c r="K169" s="26"/>
      <c r="L169" s="33"/>
    </row>
    <row r="170" spans="8:12" x14ac:dyDescent="0.25">
      <c r="H170" s="92" t="s">
        <v>101</v>
      </c>
      <c r="I170" s="46" t="s">
        <v>102</v>
      </c>
      <c r="J170" s="32"/>
      <c r="K170" s="26"/>
      <c r="L170" s="33"/>
    </row>
    <row r="171" spans="8:12" s="21" customFormat="1" x14ac:dyDescent="0.25">
      <c r="H171" s="92"/>
      <c r="I171" s="46" t="s">
        <v>103</v>
      </c>
      <c r="J171" s="32"/>
      <c r="K171" s="26"/>
      <c r="L171" s="33"/>
    </row>
    <row r="172" spans="8:12" ht="16.5" thickBot="1" x14ac:dyDescent="0.3">
      <c r="H172" s="93"/>
      <c r="I172" s="66" t="s">
        <v>104</v>
      </c>
      <c r="J172" s="34"/>
      <c r="K172" s="27"/>
      <c r="L172" s="35"/>
    </row>
    <row r="173" spans="8:12" x14ac:dyDescent="0.25">
      <c r="H173" s="59"/>
      <c r="I173" s="60"/>
      <c r="J173" s="61"/>
      <c r="K173" s="61"/>
      <c r="L173" s="62"/>
    </row>
    <row r="174" spans="8:12" ht="16.5" thickBot="1" x14ac:dyDescent="0.3">
      <c r="H174" s="42" t="s">
        <v>125</v>
      </c>
      <c r="I174" s="43"/>
      <c r="J174" s="44"/>
      <c r="K174" s="44"/>
      <c r="L174" s="45"/>
    </row>
    <row r="175" spans="8:12" ht="26.25" customHeight="1" x14ac:dyDescent="0.25">
      <c r="H175" s="76" t="s">
        <v>105</v>
      </c>
      <c r="I175" s="71"/>
      <c r="J175" s="72"/>
      <c r="K175" s="73"/>
      <c r="L175" s="74"/>
    </row>
    <row r="176" spans="8:12" x14ac:dyDescent="0.25">
      <c r="H176" s="48" t="s">
        <v>106</v>
      </c>
      <c r="I176" s="46"/>
      <c r="J176" s="32"/>
      <c r="K176" s="26"/>
      <c r="L176" s="33"/>
    </row>
    <row r="177" spans="8:12" x14ac:dyDescent="0.25">
      <c r="H177" s="92" t="s">
        <v>107</v>
      </c>
      <c r="I177" s="46" t="s">
        <v>220</v>
      </c>
      <c r="J177" s="32"/>
      <c r="K177" s="26"/>
      <c r="L177" s="33"/>
    </row>
    <row r="178" spans="8:12" x14ac:dyDescent="0.25">
      <c r="H178" s="92"/>
      <c r="I178" s="46" t="s">
        <v>273</v>
      </c>
      <c r="J178" s="32"/>
      <c r="K178" s="26"/>
      <c r="L178" s="33"/>
    </row>
    <row r="179" spans="8:12" ht="30" x14ac:dyDescent="0.25">
      <c r="H179" s="92"/>
      <c r="I179" s="46" t="s">
        <v>274</v>
      </c>
      <c r="J179" s="32"/>
      <c r="K179" s="26"/>
      <c r="L179" s="33"/>
    </row>
    <row r="180" spans="8:12" x14ac:dyDescent="0.25">
      <c r="H180" s="92"/>
      <c r="I180" s="46" t="s">
        <v>275</v>
      </c>
      <c r="J180" s="32"/>
      <c r="K180" s="26"/>
      <c r="L180" s="33"/>
    </row>
    <row r="181" spans="8:12" x14ac:dyDescent="0.25">
      <c r="H181" s="48" t="s">
        <v>108</v>
      </c>
      <c r="I181" s="46"/>
      <c r="J181" s="32"/>
      <c r="K181" s="26"/>
      <c r="L181" s="33"/>
    </row>
    <row r="182" spans="8:12" ht="30" x14ac:dyDescent="0.25">
      <c r="H182" s="48" t="s">
        <v>109</v>
      </c>
      <c r="I182" s="46"/>
      <c r="J182" s="32"/>
      <c r="K182" s="26"/>
      <c r="L182" s="33"/>
    </row>
    <row r="183" spans="8:12" s="21" customFormat="1" x14ac:dyDescent="0.25">
      <c r="H183" s="48" t="s">
        <v>110</v>
      </c>
      <c r="I183" s="46"/>
      <c r="J183" s="32"/>
      <c r="K183" s="26"/>
      <c r="L183" s="33"/>
    </row>
    <row r="184" spans="8:12" ht="30.75" thickBot="1" x14ac:dyDescent="0.3">
      <c r="H184" s="65" t="s">
        <v>111</v>
      </c>
      <c r="I184" s="66"/>
      <c r="J184" s="34"/>
      <c r="K184" s="27"/>
      <c r="L184" s="35"/>
    </row>
    <row r="185" spans="8:12" x14ac:dyDescent="0.25">
      <c r="H185" s="63"/>
      <c r="I185" s="60"/>
      <c r="J185" s="61"/>
      <c r="K185" s="61"/>
      <c r="L185" s="62"/>
    </row>
    <row r="186" spans="8:12" ht="16.5" thickBot="1" x14ac:dyDescent="0.3">
      <c r="H186" s="42" t="s">
        <v>124</v>
      </c>
      <c r="I186" s="43"/>
      <c r="J186" s="44"/>
      <c r="K186" s="44"/>
      <c r="L186" s="45"/>
    </row>
    <row r="187" spans="8:12" ht="45" x14ac:dyDescent="0.25">
      <c r="H187" s="76" t="s">
        <v>112</v>
      </c>
      <c r="I187" s="71"/>
      <c r="J187" s="72"/>
      <c r="K187" s="73"/>
      <c r="L187" s="74"/>
    </row>
    <row r="188" spans="8:12" x14ac:dyDescent="0.25">
      <c r="H188" s="48" t="s">
        <v>276</v>
      </c>
      <c r="I188" s="46"/>
      <c r="J188" s="32"/>
      <c r="K188" s="26"/>
      <c r="L188" s="33"/>
    </row>
    <row r="189" spans="8:12" x14ac:dyDescent="0.25">
      <c r="H189" s="48" t="s">
        <v>113</v>
      </c>
      <c r="I189" s="46"/>
      <c r="J189" s="32"/>
      <c r="K189" s="26"/>
      <c r="L189" s="33"/>
    </row>
    <row r="190" spans="8:12" ht="30.75" thickBot="1" x14ac:dyDescent="0.3">
      <c r="H190" s="65" t="s">
        <v>114</v>
      </c>
      <c r="I190" s="66"/>
      <c r="J190" s="34"/>
      <c r="K190" s="27"/>
      <c r="L190" s="35"/>
    </row>
    <row r="191" spans="8:12" ht="16.5" thickBot="1" x14ac:dyDescent="0.3">
      <c r="H191" s="81"/>
      <c r="I191" s="78"/>
      <c r="J191" s="79"/>
      <c r="K191" s="79"/>
      <c r="L191" s="80"/>
    </row>
    <row r="192" spans="8:12" x14ac:dyDescent="0.25">
      <c r="H192" s="38" t="s">
        <v>301</v>
      </c>
      <c r="I192" s="39"/>
      <c r="J192" s="40"/>
      <c r="K192" s="40"/>
      <c r="L192" s="41"/>
    </row>
    <row r="193" spans="8:12" ht="16.5" thickBot="1" x14ac:dyDescent="0.3">
      <c r="H193" s="88" t="s">
        <v>302</v>
      </c>
      <c r="I193" s="43"/>
      <c r="J193" s="44"/>
      <c r="K193" s="44"/>
      <c r="L193" s="45"/>
    </row>
    <row r="194" spans="8:12" x14ac:dyDescent="0.25">
      <c r="H194" s="76" t="s">
        <v>303</v>
      </c>
      <c r="I194" s="71"/>
      <c r="J194" s="72"/>
      <c r="K194" s="73"/>
      <c r="L194" s="74"/>
    </row>
    <row r="195" spans="8:12" x14ac:dyDescent="0.25">
      <c r="H195" s="92" t="s">
        <v>304</v>
      </c>
      <c r="I195" s="67" t="s">
        <v>305</v>
      </c>
      <c r="J195" s="32"/>
      <c r="K195" s="26"/>
      <c r="L195" s="33"/>
    </row>
    <row r="196" spans="8:12" x14ac:dyDescent="0.25">
      <c r="H196" s="92"/>
      <c r="I196" s="46" t="s">
        <v>306</v>
      </c>
      <c r="J196" s="32"/>
      <c r="K196" s="26"/>
      <c r="L196" s="33"/>
    </row>
    <row r="197" spans="8:12" ht="30" x14ac:dyDescent="0.25">
      <c r="H197" s="92"/>
      <c r="I197" s="46" t="s">
        <v>307</v>
      </c>
      <c r="J197" s="32"/>
      <c r="K197" s="26"/>
      <c r="L197" s="33"/>
    </row>
    <row r="198" spans="8:12" x14ac:dyDescent="0.25">
      <c r="H198" s="92"/>
      <c r="I198" s="46" t="s">
        <v>308</v>
      </c>
      <c r="J198" s="32"/>
      <c r="K198" s="26"/>
      <c r="L198" s="33"/>
    </row>
    <row r="199" spans="8:12" x14ac:dyDescent="0.25">
      <c r="H199" s="92" t="s">
        <v>309</v>
      </c>
      <c r="I199" s="46" t="s">
        <v>310</v>
      </c>
      <c r="J199" s="32"/>
      <c r="K199" s="26"/>
      <c r="L199" s="33"/>
    </row>
    <row r="200" spans="8:12" x14ac:dyDescent="0.25">
      <c r="H200" s="92"/>
      <c r="I200" s="46" t="s">
        <v>311</v>
      </c>
      <c r="J200" s="32"/>
      <c r="K200" s="26"/>
      <c r="L200" s="33"/>
    </row>
    <row r="201" spans="8:12" ht="15.75" customHeight="1" x14ac:dyDescent="0.25">
      <c r="H201" s="92"/>
      <c r="I201" s="46" t="s">
        <v>312</v>
      </c>
      <c r="J201" s="32"/>
      <c r="K201" s="26"/>
      <c r="L201" s="33"/>
    </row>
    <row r="202" spans="8:12" ht="30" x14ac:dyDescent="0.25">
      <c r="H202" s="92"/>
      <c r="I202" s="46" t="s">
        <v>313</v>
      </c>
      <c r="J202" s="32"/>
      <c r="K202" s="26"/>
      <c r="L202" s="33"/>
    </row>
    <row r="203" spans="8:12" ht="15.75" customHeight="1" x14ac:dyDescent="0.25">
      <c r="H203" s="92"/>
      <c r="I203" s="46" t="s">
        <v>314</v>
      </c>
      <c r="J203" s="32"/>
      <c r="K203" s="26"/>
      <c r="L203" s="33"/>
    </row>
    <row r="204" spans="8:12" x14ac:dyDescent="0.25">
      <c r="H204" s="92"/>
      <c r="I204" s="46" t="s">
        <v>315</v>
      </c>
      <c r="J204" s="32"/>
      <c r="K204" s="26"/>
      <c r="L204" s="33"/>
    </row>
    <row r="205" spans="8:12" x14ac:dyDescent="0.25">
      <c r="H205" s="92"/>
      <c r="I205" s="46" t="s">
        <v>316</v>
      </c>
      <c r="J205" s="32"/>
      <c r="K205" s="26"/>
      <c r="L205" s="33"/>
    </row>
    <row r="206" spans="8:12" x14ac:dyDescent="0.25">
      <c r="H206" s="92"/>
      <c r="I206" s="46" t="s">
        <v>317</v>
      </c>
      <c r="J206" s="32"/>
      <c r="K206" s="26"/>
      <c r="L206" s="33"/>
    </row>
    <row r="207" spans="8:12" ht="16.5" thickBot="1" x14ac:dyDescent="0.3">
      <c r="H207" s="93"/>
      <c r="I207" s="66" t="s">
        <v>318</v>
      </c>
      <c r="J207" s="34"/>
      <c r="K207" s="27"/>
      <c r="L207" s="35"/>
    </row>
    <row r="208" spans="8:12" x14ac:dyDescent="0.25">
      <c r="H208" s="59"/>
      <c r="I208" s="60"/>
      <c r="J208" s="61"/>
      <c r="K208" s="61"/>
      <c r="L208" s="62"/>
    </row>
    <row r="209" spans="8:12" ht="16.5" thickBot="1" x14ac:dyDescent="0.3">
      <c r="H209" s="88" t="s">
        <v>319</v>
      </c>
      <c r="I209" s="43"/>
      <c r="J209" s="44"/>
      <c r="K209" s="44"/>
      <c r="L209" s="45"/>
    </row>
    <row r="210" spans="8:12" x14ac:dyDescent="0.25">
      <c r="H210" s="76" t="s">
        <v>321</v>
      </c>
      <c r="I210" s="71"/>
      <c r="J210" s="72"/>
      <c r="K210" s="73"/>
      <c r="L210" s="74"/>
    </row>
    <row r="211" spans="8:12" x14ac:dyDescent="0.25">
      <c r="H211" s="48" t="s">
        <v>322</v>
      </c>
      <c r="I211" s="46"/>
      <c r="J211" s="32"/>
      <c r="K211" s="26"/>
      <c r="L211" s="33"/>
    </row>
    <row r="212" spans="8:12" ht="30.75" thickBot="1" x14ac:dyDescent="0.3">
      <c r="H212" s="65" t="s">
        <v>323</v>
      </c>
      <c r="I212" s="66"/>
      <c r="J212" s="34"/>
      <c r="K212" s="27"/>
      <c r="L212" s="35"/>
    </row>
    <row r="213" spans="8:12" x14ac:dyDescent="0.25">
      <c r="H213" s="63"/>
      <c r="I213" s="60"/>
      <c r="J213" s="61"/>
      <c r="K213" s="61"/>
      <c r="L213" s="62"/>
    </row>
    <row r="214" spans="8:12" ht="16.5" thickBot="1" x14ac:dyDescent="0.3">
      <c r="H214" s="88" t="s">
        <v>320</v>
      </c>
      <c r="I214" s="43"/>
      <c r="J214" s="44"/>
      <c r="K214" s="44"/>
      <c r="L214" s="45"/>
    </row>
    <row r="215" spans="8:12" x14ac:dyDescent="0.25">
      <c r="H215" s="76" t="s">
        <v>221</v>
      </c>
      <c r="I215" s="71"/>
      <c r="J215" s="72"/>
      <c r="K215" s="73"/>
      <c r="L215" s="74"/>
    </row>
    <row r="216" spans="8:12" ht="30" x14ac:dyDescent="0.25">
      <c r="H216" s="48" t="s">
        <v>324</v>
      </c>
      <c r="I216" s="46"/>
      <c r="J216" s="32"/>
      <c r="K216" s="26"/>
      <c r="L216" s="33"/>
    </row>
    <row r="217" spans="8:12" ht="30" x14ac:dyDescent="0.25">
      <c r="H217" s="48" t="s">
        <v>325</v>
      </c>
      <c r="I217" s="46"/>
      <c r="J217" s="32"/>
      <c r="K217" s="26"/>
      <c r="L217" s="33"/>
    </row>
    <row r="218" spans="8:12" ht="30" x14ac:dyDescent="0.25">
      <c r="H218" s="48" t="s">
        <v>326</v>
      </c>
      <c r="I218" s="46"/>
      <c r="J218" s="32"/>
      <c r="K218" s="26"/>
      <c r="L218" s="33"/>
    </row>
    <row r="219" spans="8:12" ht="16.5" thickBot="1" x14ac:dyDescent="0.3">
      <c r="H219" s="65" t="s">
        <v>558</v>
      </c>
      <c r="I219" s="66"/>
      <c r="J219" s="34"/>
      <c r="K219" s="27"/>
      <c r="L219" s="35"/>
    </row>
    <row r="220" spans="8:12" x14ac:dyDescent="0.25">
      <c r="H220" s="63"/>
      <c r="I220" s="60"/>
      <c r="J220" s="61"/>
      <c r="K220" s="61"/>
      <c r="L220" s="62"/>
    </row>
    <row r="221" spans="8:12" ht="16.5" thickBot="1" x14ac:dyDescent="0.3">
      <c r="H221" s="42" t="s">
        <v>327</v>
      </c>
      <c r="I221" s="43"/>
      <c r="J221" s="44"/>
      <c r="K221" s="44"/>
      <c r="L221" s="45"/>
    </row>
    <row r="222" spans="8:12" ht="15.75" customHeight="1" x14ac:dyDescent="0.25">
      <c r="H222" s="76" t="s">
        <v>328</v>
      </c>
      <c r="I222" s="71"/>
      <c r="J222" s="72"/>
      <c r="K222" s="73"/>
      <c r="L222" s="74"/>
    </row>
    <row r="223" spans="8:12" ht="30" x14ac:dyDescent="0.25">
      <c r="H223" s="48" t="s">
        <v>329</v>
      </c>
      <c r="I223" s="46"/>
      <c r="J223" s="32"/>
      <c r="K223" s="26"/>
      <c r="L223" s="33"/>
    </row>
    <row r="224" spans="8:12" ht="30" x14ac:dyDescent="0.25">
      <c r="H224" s="92" t="s">
        <v>330</v>
      </c>
      <c r="I224" s="46" t="s">
        <v>331</v>
      </c>
      <c r="J224" s="32"/>
      <c r="K224" s="26"/>
      <c r="L224" s="33"/>
    </row>
    <row r="225" spans="8:12" x14ac:dyDescent="0.25">
      <c r="H225" s="92"/>
      <c r="I225" s="46" t="s">
        <v>332</v>
      </c>
      <c r="J225" s="32"/>
      <c r="K225" s="26"/>
      <c r="L225" s="33"/>
    </row>
    <row r="226" spans="8:12" x14ac:dyDescent="0.25">
      <c r="H226" s="92"/>
      <c r="I226" s="46" t="s">
        <v>333</v>
      </c>
      <c r="J226" s="32"/>
      <c r="K226" s="26"/>
      <c r="L226" s="33"/>
    </row>
    <row r="227" spans="8:12" x14ac:dyDescent="0.25">
      <c r="H227" s="92"/>
      <c r="I227" s="46" t="s">
        <v>334</v>
      </c>
      <c r="J227" s="32"/>
      <c r="K227" s="26"/>
      <c r="L227" s="33"/>
    </row>
    <row r="228" spans="8:12" x14ac:dyDescent="0.25">
      <c r="H228" s="92"/>
      <c r="I228" s="46" t="s">
        <v>335</v>
      </c>
      <c r="J228" s="32"/>
      <c r="K228" s="26"/>
      <c r="L228" s="33"/>
    </row>
    <row r="229" spans="8:12" x14ac:dyDescent="0.25">
      <c r="H229" s="92"/>
      <c r="I229" s="46" t="s">
        <v>347</v>
      </c>
      <c r="J229" s="32"/>
      <c r="K229" s="26"/>
      <c r="L229" s="33"/>
    </row>
    <row r="230" spans="8:12" x14ac:dyDescent="0.25">
      <c r="H230" s="92"/>
      <c r="I230" s="46" t="s">
        <v>336</v>
      </c>
      <c r="J230" s="32"/>
      <c r="K230" s="26"/>
      <c r="L230" s="33"/>
    </row>
    <row r="231" spans="8:12" x14ac:dyDescent="0.25">
      <c r="H231" s="92"/>
      <c r="I231" s="46" t="s">
        <v>337</v>
      </c>
      <c r="J231" s="32"/>
      <c r="K231" s="26"/>
      <c r="L231" s="33"/>
    </row>
    <row r="232" spans="8:12" x14ac:dyDescent="0.25">
      <c r="H232" s="92"/>
      <c r="I232" s="46" t="s">
        <v>338</v>
      </c>
      <c r="J232" s="32"/>
      <c r="K232" s="26"/>
      <c r="L232" s="33"/>
    </row>
    <row r="233" spans="8:12" x14ac:dyDescent="0.25">
      <c r="H233" s="92"/>
      <c r="I233" s="46" t="s">
        <v>339</v>
      </c>
      <c r="J233" s="32"/>
      <c r="K233" s="26"/>
      <c r="L233" s="33"/>
    </row>
    <row r="234" spans="8:12" ht="30" x14ac:dyDescent="0.25">
      <c r="H234" s="92"/>
      <c r="I234" s="46" t="s">
        <v>340</v>
      </c>
      <c r="J234" s="32"/>
      <c r="K234" s="26"/>
      <c r="L234" s="33"/>
    </row>
    <row r="235" spans="8:12" x14ac:dyDescent="0.25">
      <c r="H235" s="92"/>
      <c r="I235" s="46" t="s">
        <v>341</v>
      </c>
      <c r="J235" s="32"/>
      <c r="K235" s="26"/>
      <c r="L235" s="33"/>
    </row>
    <row r="236" spans="8:12" x14ac:dyDescent="0.25">
      <c r="H236" s="92"/>
      <c r="I236" s="46" t="s">
        <v>342</v>
      </c>
      <c r="J236" s="32"/>
      <c r="K236" s="26"/>
      <c r="L236" s="33"/>
    </row>
    <row r="237" spans="8:12" x14ac:dyDescent="0.25">
      <c r="H237" s="92"/>
      <c r="I237" s="46" t="s">
        <v>343</v>
      </c>
      <c r="J237" s="32"/>
      <c r="K237" s="26"/>
      <c r="L237" s="33"/>
    </row>
    <row r="238" spans="8:12" x14ac:dyDescent="0.25">
      <c r="H238" s="92"/>
      <c r="I238" s="46" t="s">
        <v>344</v>
      </c>
      <c r="J238" s="32"/>
      <c r="K238" s="26"/>
      <c r="L238" s="33"/>
    </row>
    <row r="239" spans="8:12" x14ac:dyDescent="0.25">
      <c r="H239" s="92"/>
      <c r="I239" s="46" t="s">
        <v>345</v>
      </c>
      <c r="J239" s="32"/>
      <c r="K239" s="26"/>
      <c r="L239" s="33"/>
    </row>
    <row r="240" spans="8:12" x14ac:dyDescent="0.25">
      <c r="H240" s="92"/>
      <c r="I240" s="46" t="s">
        <v>346</v>
      </c>
      <c r="J240" s="32"/>
      <c r="K240" s="26"/>
      <c r="L240" s="33"/>
    </row>
    <row r="241" spans="8:12" x14ac:dyDescent="0.25">
      <c r="H241" s="92" t="s">
        <v>348</v>
      </c>
      <c r="I241" s="46" t="s">
        <v>349</v>
      </c>
      <c r="J241" s="32"/>
      <c r="K241" s="26"/>
      <c r="L241" s="33"/>
    </row>
    <row r="242" spans="8:12" x14ac:dyDescent="0.25">
      <c r="H242" s="92"/>
      <c r="I242" s="46" t="s">
        <v>350</v>
      </c>
      <c r="J242" s="32"/>
      <c r="K242" s="26"/>
      <c r="L242" s="33"/>
    </row>
    <row r="243" spans="8:12" ht="15.75" customHeight="1" x14ac:dyDescent="0.25">
      <c r="H243" s="92"/>
      <c r="I243" s="46" t="s">
        <v>351</v>
      </c>
      <c r="J243" s="32"/>
      <c r="K243" s="26"/>
      <c r="L243" s="33"/>
    </row>
    <row r="244" spans="8:12" x14ac:dyDescent="0.25">
      <c r="H244" s="92"/>
      <c r="I244" s="46" t="s">
        <v>352</v>
      </c>
      <c r="J244" s="32"/>
      <c r="K244" s="26"/>
      <c r="L244" s="33"/>
    </row>
    <row r="245" spans="8:12" x14ac:dyDescent="0.25">
      <c r="H245" s="92"/>
      <c r="I245" s="46" t="s">
        <v>353</v>
      </c>
      <c r="J245" s="32"/>
      <c r="K245" s="26"/>
      <c r="L245" s="33"/>
    </row>
    <row r="246" spans="8:12" x14ac:dyDescent="0.25">
      <c r="H246" s="92"/>
      <c r="I246" s="46" t="s">
        <v>354</v>
      </c>
      <c r="J246" s="32"/>
      <c r="K246" s="26"/>
      <c r="L246" s="33"/>
    </row>
    <row r="247" spans="8:12" x14ac:dyDescent="0.25">
      <c r="H247" s="92" t="s">
        <v>355</v>
      </c>
      <c r="I247" s="46" t="s">
        <v>356</v>
      </c>
      <c r="J247" s="32"/>
      <c r="K247" s="26"/>
      <c r="L247" s="33"/>
    </row>
    <row r="248" spans="8:12" x14ac:dyDescent="0.25">
      <c r="H248" s="92"/>
      <c r="I248" s="46" t="s">
        <v>357</v>
      </c>
      <c r="J248" s="32"/>
      <c r="K248" s="26"/>
      <c r="L248" s="33"/>
    </row>
    <row r="249" spans="8:12" x14ac:dyDescent="0.25">
      <c r="H249" s="92"/>
      <c r="I249" s="46" t="s">
        <v>358</v>
      </c>
      <c r="J249" s="32"/>
      <c r="K249" s="26"/>
      <c r="L249" s="33"/>
    </row>
    <row r="250" spans="8:12" x14ac:dyDescent="0.25">
      <c r="H250" s="92" t="s">
        <v>359</v>
      </c>
      <c r="I250" s="46" t="s">
        <v>361</v>
      </c>
      <c r="J250" s="32"/>
      <c r="K250" s="26"/>
      <c r="L250" s="33"/>
    </row>
    <row r="251" spans="8:12" x14ac:dyDescent="0.25">
      <c r="H251" s="92"/>
      <c r="I251" s="46" t="s">
        <v>360</v>
      </c>
      <c r="J251" s="32"/>
      <c r="K251" s="26"/>
      <c r="L251" s="33"/>
    </row>
    <row r="252" spans="8:12" x14ac:dyDescent="0.25">
      <c r="H252" s="92"/>
      <c r="I252" s="46" t="s">
        <v>362</v>
      </c>
      <c r="J252" s="32"/>
      <c r="K252" s="26"/>
      <c r="L252" s="33"/>
    </row>
    <row r="253" spans="8:12" x14ac:dyDescent="0.25">
      <c r="H253" s="92"/>
      <c r="I253" s="46" t="s">
        <v>363</v>
      </c>
      <c r="J253" s="32"/>
      <c r="K253" s="26"/>
      <c r="L253" s="33"/>
    </row>
    <row r="254" spans="8:12" x14ac:dyDescent="0.25">
      <c r="H254" s="92"/>
      <c r="I254" s="46" t="s">
        <v>364</v>
      </c>
      <c r="J254" s="32"/>
      <c r="K254" s="26"/>
      <c r="L254" s="33"/>
    </row>
    <row r="255" spans="8:12" x14ac:dyDescent="0.25">
      <c r="H255" s="92"/>
      <c r="I255" s="46" t="s">
        <v>365</v>
      </c>
      <c r="J255" s="32"/>
      <c r="K255" s="26"/>
      <c r="L255" s="33"/>
    </row>
    <row r="256" spans="8:12" x14ac:dyDescent="0.25">
      <c r="H256" s="92"/>
      <c r="I256" s="46" t="s">
        <v>366</v>
      </c>
      <c r="J256" s="32"/>
      <c r="K256" s="26"/>
      <c r="L256" s="33"/>
    </row>
    <row r="257" spans="8:12" ht="30" x14ac:dyDescent="0.25">
      <c r="H257" s="92"/>
      <c r="I257" s="46" t="s">
        <v>367</v>
      </c>
      <c r="J257" s="32"/>
      <c r="K257" s="26"/>
      <c r="L257" s="33"/>
    </row>
    <row r="258" spans="8:12" x14ac:dyDescent="0.25">
      <c r="H258" s="92"/>
      <c r="I258" s="46" t="s">
        <v>368</v>
      </c>
      <c r="J258" s="32"/>
      <c r="K258" s="26"/>
      <c r="L258" s="33"/>
    </row>
    <row r="259" spans="8:12" x14ac:dyDescent="0.25">
      <c r="H259" s="92"/>
      <c r="I259" s="46" t="s">
        <v>369</v>
      </c>
      <c r="J259" s="32"/>
      <c r="K259" s="26"/>
      <c r="L259" s="33"/>
    </row>
    <row r="260" spans="8:12" x14ac:dyDescent="0.25">
      <c r="H260" s="92"/>
      <c r="I260" s="46" t="s">
        <v>370</v>
      </c>
      <c r="J260" s="32"/>
      <c r="K260" s="26"/>
      <c r="L260" s="33"/>
    </row>
    <row r="261" spans="8:12" x14ac:dyDescent="0.25">
      <c r="H261" s="92"/>
      <c r="I261" s="46" t="s">
        <v>371</v>
      </c>
      <c r="J261" s="32"/>
      <c r="K261" s="26"/>
      <c r="L261" s="33"/>
    </row>
    <row r="262" spans="8:12" x14ac:dyDescent="0.25">
      <c r="H262" s="92"/>
      <c r="I262" s="46" t="s">
        <v>372</v>
      </c>
      <c r="J262" s="32"/>
      <c r="K262" s="26"/>
      <c r="L262" s="33"/>
    </row>
    <row r="263" spans="8:12" x14ac:dyDescent="0.25">
      <c r="H263" s="92"/>
      <c r="I263" s="46" t="s">
        <v>373</v>
      </c>
      <c r="J263" s="32"/>
      <c r="K263" s="26"/>
      <c r="L263" s="33"/>
    </row>
    <row r="264" spans="8:12" x14ac:dyDescent="0.25">
      <c r="H264" s="92"/>
      <c r="I264" s="46" t="s">
        <v>374</v>
      </c>
      <c r="J264" s="32"/>
      <c r="K264" s="26"/>
      <c r="L264" s="33"/>
    </row>
    <row r="265" spans="8:12" x14ac:dyDescent="0.25">
      <c r="H265" s="92"/>
      <c r="I265" s="46" t="s">
        <v>375</v>
      </c>
      <c r="J265" s="32"/>
      <c r="K265" s="26"/>
      <c r="L265" s="33"/>
    </row>
    <row r="266" spans="8:12" x14ac:dyDescent="0.25">
      <c r="H266" s="92" t="s">
        <v>376</v>
      </c>
      <c r="I266" s="46" t="s">
        <v>377</v>
      </c>
      <c r="J266" s="32"/>
      <c r="K266" s="26"/>
      <c r="L266" s="33"/>
    </row>
    <row r="267" spans="8:12" x14ac:dyDescent="0.25">
      <c r="H267" s="92"/>
      <c r="I267" s="46" t="s">
        <v>378</v>
      </c>
      <c r="J267" s="32"/>
      <c r="K267" s="26"/>
      <c r="L267" s="33"/>
    </row>
    <row r="268" spans="8:12" x14ac:dyDescent="0.25">
      <c r="H268" s="92"/>
      <c r="I268" s="46" t="s">
        <v>379</v>
      </c>
      <c r="J268" s="32"/>
      <c r="K268" s="26"/>
      <c r="L268" s="33"/>
    </row>
    <row r="269" spans="8:12" x14ac:dyDescent="0.25">
      <c r="H269" s="92"/>
      <c r="I269" s="46" t="s">
        <v>380</v>
      </c>
      <c r="J269" s="32"/>
      <c r="K269" s="26"/>
      <c r="L269" s="33"/>
    </row>
    <row r="270" spans="8:12" x14ac:dyDescent="0.25">
      <c r="H270" s="92"/>
      <c r="I270" s="46" t="s">
        <v>381</v>
      </c>
      <c r="J270" s="32"/>
      <c r="K270" s="26"/>
      <c r="L270" s="33"/>
    </row>
    <row r="271" spans="8:12" x14ac:dyDescent="0.25">
      <c r="H271" s="92"/>
      <c r="I271" s="46" t="s">
        <v>382</v>
      </c>
      <c r="J271" s="32"/>
      <c r="K271" s="26"/>
      <c r="L271" s="33"/>
    </row>
    <row r="272" spans="8:12" x14ac:dyDescent="0.25">
      <c r="H272" s="92"/>
      <c r="I272" s="46" t="s">
        <v>383</v>
      </c>
      <c r="J272" s="32"/>
      <c r="K272" s="26"/>
      <c r="L272" s="33"/>
    </row>
    <row r="273" spans="1:12" x14ac:dyDescent="0.25">
      <c r="H273" s="92"/>
      <c r="I273" s="46" t="s">
        <v>384</v>
      </c>
      <c r="J273" s="32"/>
      <c r="K273" s="26"/>
      <c r="L273" s="33"/>
    </row>
    <row r="274" spans="1:12" x14ac:dyDescent="0.25">
      <c r="H274" s="92" t="s">
        <v>385</v>
      </c>
      <c r="I274" s="46" t="s">
        <v>387</v>
      </c>
      <c r="J274" s="32"/>
      <c r="K274" s="26"/>
      <c r="L274" s="33"/>
    </row>
    <row r="275" spans="1:12" x14ac:dyDescent="0.25">
      <c r="H275" s="92"/>
      <c r="I275" s="46" t="s">
        <v>388</v>
      </c>
      <c r="J275" s="32"/>
      <c r="K275" s="26"/>
      <c r="L275" s="33"/>
    </row>
    <row r="276" spans="1:12" x14ac:dyDescent="0.25">
      <c r="H276" s="92"/>
      <c r="I276" s="46" t="s">
        <v>386</v>
      </c>
      <c r="J276" s="32"/>
      <c r="K276" s="26"/>
      <c r="L276" s="33"/>
    </row>
    <row r="277" spans="1:12" x14ac:dyDescent="0.25">
      <c r="H277" s="92"/>
      <c r="I277" s="46" t="s">
        <v>389</v>
      </c>
      <c r="J277" s="32"/>
      <c r="K277" s="26"/>
      <c r="L277" s="33"/>
    </row>
    <row r="278" spans="1:12" x14ac:dyDescent="0.25">
      <c r="H278" s="92"/>
      <c r="I278" s="46" t="s">
        <v>390</v>
      </c>
      <c r="J278" s="32"/>
      <c r="K278" s="26"/>
      <c r="L278" s="33"/>
    </row>
    <row r="279" spans="1:12" ht="16.5" thickBot="1" x14ac:dyDescent="0.3">
      <c r="H279" s="93"/>
      <c r="I279" s="66" t="s">
        <v>391</v>
      </c>
      <c r="J279" s="34"/>
      <c r="K279" s="27"/>
      <c r="L279" s="35"/>
    </row>
    <row r="280" spans="1:12" x14ac:dyDescent="0.25">
      <c r="A280" s="82"/>
      <c r="B280" s="83"/>
      <c r="C280" s="83"/>
      <c r="D280" s="83"/>
      <c r="E280" s="83"/>
      <c r="F280" s="83"/>
      <c r="G280" s="83"/>
      <c r="H280" s="59"/>
      <c r="I280" s="60"/>
      <c r="J280" s="61"/>
      <c r="K280" s="61"/>
      <c r="L280" s="62"/>
    </row>
    <row r="281" spans="1:12" ht="16.5" thickBot="1" x14ac:dyDescent="0.3">
      <c r="A281" s="84"/>
      <c r="B281" s="21"/>
      <c r="C281" s="21"/>
      <c r="D281" s="21"/>
      <c r="E281" s="21"/>
      <c r="F281" s="21"/>
      <c r="G281" s="21"/>
      <c r="H281" s="42" t="s">
        <v>392</v>
      </c>
      <c r="I281" s="43"/>
      <c r="J281" s="44"/>
      <c r="K281" s="44"/>
      <c r="L281" s="45"/>
    </row>
    <row r="282" spans="1:12" x14ac:dyDescent="0.25">
      <c r="A282" s="84"/>
      <c r="B282" s="21"/>
      <c r="C282" s="21"/>
      <c r="D282" s="21"/>
      <c r="E282" s="21"/>
      <c r="F282" s="21"/>
      <c r="G282" s="21"/>
      <c r="H282" s="76" t="s">
        <v>393</v>
      </c>
      <c r="I282" s="71"/>
      <c r="J282" s="72"/>
      <c r="K282" s="73"/>
      <c r="L282" s="74"/>
    </row>
    <row r="283" spans="1:12" x14ac:dyDescent="0.25">
      <c r="A283" s="84"/>
      <c r="B283" s="21"/>
      <c r="C283" s="21"/>
      <c r="D283" s="21"/>
      <c r="E283" s="21"/>
      <c r="F283" s="21"/>
      <c r="G283" s="21"/>
      <c r="H283" s="48" t="s">
        <v>394</v>
      </c>
      <c r="I283" s="46"/>
      <c r="J283" s="32"/>
      <c r="K283" s="26"/>
      <c r="L283" s="33"/>
    </row>
    <row r="284" spans="1:12" x14ac:dyDescent="0.25">
      <c r="A284" s="84"/>
      <c r="B284" s="21"/>
      <c r="C284" s="21"/>
      <c r="D284" s="21"/>
      <c r="E284" s="21"/>
      <c r="F284" s="21"/>
      <c r="G284" s="21"/>
      <c r="H284" s="92" t="s">
        <v>395</v>
      </c>
      <c r="I284" s="46" t="s">
        <v>396</v>
      </c>
      <c r="J284" s="32"/>
      <c r="K284" s="26"/>
      <c r="L284" s="33"/>
    </row>
    <row r="285" spans="1:12" x14ac:dyDescent="0.25">
      <c r="A285" s="84"/>
      <c r="B285" s="21"/>
      <c r="C285" s="21"/>
      <c r="D285" s="21"/>
      <c r="E285" s="21"/>
      <c r="F285" s="21"/>
      <c r="G285" s="21"/>
      <c r="H285" s="92"/>
      <c r="I285" s="46" t="s">
        <v>397</v>
      </c>
      <c r="J285" s="32"/>
      <c r="K285" s="26"/>
      <c r="L285" s="33"/>
    </row>
    <row r="286" spans="1:12" x14ac:dyDescent="0.25">
      <c r="A286" s="84"/>
      <c r="B286" s="21"/>
      <c r="C286" s="21"/>
      <c r="D286" s="21"/>
      <c r="E286" s="21"/>
      <c r="F286" s="21"/>
      <c r="G286" s="21"/>
      <c r="H286" s="92"/>
      <c r="I286" s="46" t="s">
        <v>398</v>
      </c>
      <c r="J286" s="32"/>
      <c r="K286" s="26"/>
      <c r="L286" s="33"/>
    </row>
    <row r="287" spans="1:12" ht="16.5" thickBot="1" x14ac:dyDescent="0.3">
      <c r="A287" s="85"/>
      <c r="B287" s="86"/>
      <c r="C287" s="86"/>
      <c r="D287" s="86"/>
      <c r="E287" s="86"/>
      <c r="F287" s="86"/>
      <c r="G287" s="86"/>
      <c r="H287" s="93"/>
      <c r="I287" s="66" t="s">
        <v>399</v>
      </c>
      <c r="J287" s="34"/>
      <c r="K287" s="27"/>
      <c r="L287" s="35"/>
    </row>
    <row r="288" spans="1:12" x14ac:dyDescent="0.25">
      <c r="H288" s="63"/>
      <c r="I288" s="60"/>
      <c r="J288" s="61"/>
      <c r="K288" s="61"/>
      <c r="L288" s="62"/>
    </row>
    <row r="289" spans="8:12" ht="16.5" thickBot="1" x14ac:dyDescent="0.3">
      <c r="H289" s="42" t="s">
        <v>400</v>
      </c>
      <c r="I289" s="43"/>
      <c r="J289" s="44"/>
      <c r="K289" s="44"/>
      <c r="L289" s="45"/>
    </row>
    <row r="290" spans="8:12" x14ac:dyDescent="0.25">
      <c r="H290" s="76" t="s">
        <v>401</v>
      </c>
      <c r="I290" s="71"/>
      <c r="J290" s="72"/>
      <c r="K290" s="73"/>
      <c r="L290" s="74"/>
    </row>
    <row r="291" spans="8:12" ht="30" x14ac:dyDescent="0.25">
      <c r="H291" s="48" t="s">
        <v>402</v>
      </c>
      <c r="I291" s="46"/>
      <c r="J291" s="32"/>
      <c r="K291" s="26"/>
      <c r="L291" s="33"/>
    </row>
    <row r="292" spans="8:12" x14ac:dyDescent="0.25">
      <c r="H292" s="92" t="s">
        <v>403</v>
      </c>
      <c r="I292" s="46" t="s">
        <v>404</v>
      </c>
      <c r="J292" s="32"/>
      <c r="K292" s="26"/>
      <c r="L292" s="33"/>
    </row>
    <row r="293" spans="8:12" ht="16.5" thickBot="1" x14ac:dyDescent="0.3">
      <c r="H293" s="93"/>
      <c r="I293" s="66" t="s">
        <v>405</v>
      </c>
      <c r="J293" s="34"/>
      <c r="K293" s="27"/>
      <c r="L293" s="35"/>
    </row>
    <row r="294" spans="8:12" x14ac:dyDescent="0.25">
      <c r="H294" s="63"/>
      <c r="I294" s="60"/>
      <c r="J294" s="61"/>
      <c r="K294" s="61"/>
      <c r="L294" s="62"/>
    </row>
    <row r="295" spans="8:12" ht="16.5" thickBot="1" x14ac:dyDescent="0.3">
      <c r="H295" s="42" t="s">
        <v>406</v>
      </c>
      <c r="I295" s="43"/>
      <c r="J295" s="44"/>
      <c r="K295" s="44"/>
      <c r="L295" s="45"/>
    </row>
    <row r="296" spans="8:12" x14ac:dyDescent="0.25">
      <c r="H296" s="94" t="s">
        <v>416</v>
      </c>
      <c r="I296" s="71" t="s">
        <v>417</v>
      </c>
      <c r="J296" s="72"/>
      <c r="K296" s="73"/>
      <c r="L296" s="74"/>
    </row>
    <row r="297" spans="8:12" x14ac:dyDescent="0.25">
      <c r="H297" s="92"/>
      <c r="I297" s="46" t="s">
        <v>418</v>
      </c>
      <c r="J297" s="32"/>
      <c r="K297" s="26"/>
      <c r="L297" s="33"/>
    </row>
    <row r="298" spans="8:12" x14ac:dyDescent="0.25">
      <c r="H298" s="92"/>
      <c r="I298" s="46" t="s">
        <v>419</v>
      </c>
      <c r="J298" s="32"/>
      <c r="K298" s="26"/>
      <c r="L298" s="33"/>
    </row>
    <row r="299" spans="8:12" x14ac:dyDescent="0.25">
      <c r="H299" s="92"/>
      <c r="I299" s="46" t="s">
        <v>420</v>
      </c>
      <c r="J299" s="32"/>
      <c r="K299" s="26"/>
      <c r="L299" s="33"/>
    </row>
    <row r="300" spans="8:12" x14ac:dyDescent="0.25">
      <c r="H300" s="92"/>
      <c r="I300" s="46" t="s">
        <v>421</v>
      </c>
      <c r="J300" s="32"/>
      <c r="K300" s="26"/>
      <c r="L300" s="33"/>
    </row>
    <row r="301" spans="8:12" x14ac:dyDescent="0.25">
      <c r="H301" s="48" t="s">
        <v>422</v>
      </c>
      <c r="I301" s="46"/>
      <c r="J301" s="32"/>
      <c r="K301" s="26"/>
      <c r="L301" s="33"/>
    </row>
    <row r="302" spans="8:12" ht="30" x14ac:dyDescent="0.25">
      <c r="H302" s="48" t="s">
        <v>423</v>
      </c>
      <c r="I302" s="46"/>
      <c r="J302" s="32"/>
      <c r="K302" s="26"/>
      <c r="L302" s="33"/>
    </row>
    <row r="303" spans="8:12" ht="30" x14ac:dyDescent="0.25">
      <c r="H303" s="48" t="s">
        <v>424</v>
      </c>
      <c r="I303" s="46"/>
      <c r="J303" s="32"/>
      <c r="K303" s="26"/>
      <c r="L303" s="33"/>
    </row>
    <row r="304" spans="8:12" ht="16.5" thickBot="1" x14ac:dyDescent="0.3">
      <c r="H304" s="65" t="s">
        <v>425</v>
      </c>
      <c r="I304" s="66"/>
      <c r="J304" s="34"/>
      <c r="K304" s="27"/>
      <c r="L304" s="35"/>
    </row>
    <row r="305" spans="8:12" ht="16.5" thickBot="1" x14ac:dyDescent="0.3">
      <c r="H305" s="63"/>
      <c r="I305" s="60"/>
      <c r="J305" s="61"/>
      <c r="K305" s="61"/>
      <c r="L305" s="62"/>
    </row>
    <row r="306" spans="8:12" x14ac:dyDescent="0.25">
      <c r="H306" s="38" t="s">
        <v>407</v>
      </c>
      <c r="I306" s="39"/>
      <c r="J306" s="40"/>
      <c r="K306" s="40"/>
      <c r="L306" s="41"/>
    </row>
    <row r="307" spans="8:12" ht="16.5" thickBot="1" x14ac:dyDescent="0.3">
      <c r="H307" s="42" t="s">
        <v>415</v>
      </c>
      <c r="I307" s="43"/>
      <c r="J307" s="44"/>
      <c r="K307" s="44"/>
      <c r="L307" s="45"/>
    </row>
    <row r="308" spans="8:12" x14ac:dyDescent="0.25">
      <c r="H308" s="76" t="s">
        <v>408</v>
      </c>
      <c r="I308" s="71"/>
      <c r="J308" s="72"/>
      <c r="K308" s="73"/>
      <c r="L308" s="74"/>
    </row>
    <row r="309" spans="8:12" x14ac:dyDescent="0.25">
      <c r="H309" s="92" t="s">
        <v>409</v>
      </c>
      <c r="I309" s="46" t="s">
        <v>410</v>
      </c>
      <c r="J309" s="32"/>
      <c r="K309" s="26"/>
      <c r="L309" s="33"/>
    </row>
    <row r="310" spans="8:12" x14ac:dyDescent="0.25">
      <c r="H310" s="92"/>
      <c r="I310" s="46" t="s">
        <v>411</v>
      </c>
      <c r="J310" s="32"/>
      <c r="K310" s="26"/>
      <c r="L310" s="33"/>
    </row>
    <row r="311" spans="8:12" x14ac:dyDescent="0.25">
      <c r="H311" s="92" t="s">
        <v>412</v>
      </c>
      <c r="I311" s="46" t="s">
        <v>413</v>
      </c>
      <c r="J311" s="32"/>
      <c r="K311" s="26"/>
      <c r="L311" s="33"/>
    </row>
    <row r="312" spans="8:12" ht="16.5" thickBot="1" x14ac:dyDescent="0.3">
      <c r="H312" s="93"/>
      <c r="I312" s="66" t="s">
        <v>414</v>
      </c>
      <c r="J312" s="34"/>
      <c r="K312" s="27"/>
      <c r="L312" s="35"/>
    </row>
    <row r="313" spans="8:12" x14ac:dyDescent="0.25">
      <c r="H313" s="77"/>
      <c r="I313" s="78"/>
      <c r="J313" s="79"/>
      <c r="K313" s="79"/>
      <c r="L313" s="80"/>
    </row>
    <row r="314" spans="8:12" ht="16.5" thickBot="1" x14ac:dyDescent="0.3">
      <c r="H314" s="42" t="s">
        <v>426</v>
      </c>
      <c r="I314" s="43"/>
      <c r="J314" s="44"/>
      <c r="K314" s="44"/>
      <c r="L314" s="45"/>
    </row>
    <row r="315" spans="8:12" ht="15.75" customHeight="1" x14ac:dyDescent="0.25">
      <c r="H315" s="76" t="s">
        <v>427</v>
      </c>
      <c r="I315" s="71"/>
      <c r="J315" s="72"/>
      <c r="K315" s="73"/>
      <c r="L315" s="74"/>
    </row>
    <row r="316" spans="8:12" x14ac:dyDescent="0.25">
      <c r="H316" s="48" t="s">
        <v>428</v>
      </c>
      <c r="I316" s="46"/>
      <c r="J316" s="32"/>
      <c r="K316" s="26"/>
      <c r="L316" s="33"/>
    </row>
    <row r="317" spans="8:12" s="21" customFormat="1" ht="15.75" customHeight="1" thickBot="1" x14ac:dyDescent="0.3">
      <c r="H317" s="65" t="s">
        <v>429</v>
      </c>
      <c r="I317" s="66"/>
      <c r="J317" s="34"/>
      <c r="K317" s="27"/>
      <c r="L317" s="35"/>
    </row>
    <row r="318" spans="8:12" x14ac:dyDescent="0.25">
      <c r="H318" s="77"/>
      <c r="I318" s="78"/>
      <c r="J318" s="79"/>
      <c r="K318" s="79"/>
      <c r="L318" s="80"/>
    </row>
    <row r="319" spans="8:12" ht="16.5" thickBot="1" x14ac:dyDescent="0.3">
      <c r="H319" s="42" t="s">
        <v>435</v>
      </c>
      <c r="I319" s="43"/>
      <c r="J319" s="44"/>
      <c r="K319" s="44"/>
      <c r="L319" s="45"/>
    </row>
    <row r="320" spans="8:12" ht="30" x14ac:dyDescent="0.25">
      <c r="H320" s="76" t="s">
        <v>430</v>
      </c>
      <c r="I320" s="71"/>
      <c r="J320" s="72"/>
      <c r="K320" s="73"/>
      <c r="L320" s="74"/>
    </row>
    <row r="321" spans="8:12" ht="45" x14ac:dyDescent="0.25">
      <c r="H321" s="48" t="s">
        <v>431</v>
      </c>
      <c r="I321" s="46"/>
      <c r="J321" s="32"/>
      <c r="K321" s="26"/>
      <c r="L321" s="33"/>
    </row>
    <row r="322" spans="8:12" ht="45" x14ac:dyDescent="0.25">
      <c r="H322" s="48" t="s">
        <v>432</v>
      </c>
      <c r="I322" s="46"/>
      <c r="J322" s="32"/>
      <c r="K322" s="26"/>
      <c r="L322" s="33"/>
    </row>
    <row r="323" spans="8:12" ht="30" x14ac:dyDescent="0.25">
      <c r="H323" s="48" t="s">
        <v>433</v>
      </c>
      <c r="I323" s="46"/>
      <c r="J323" s="32"/>
      <c r="K323" s="26"/>
      <c r="L323" s="33"/>
    </row>
    <row r="324" spans="8:12" s="21" customFormat="1" ht="30.75" customHeight="1" thickBot="1" x14ac:dyDescent="0.3">
      <c r="H324" s="65" t="s">
        <v>434</v>
      </c>
      <c r="I324" s="66"/>
      <c r="J324" s="34"/>
      <c r="K324" s="27"/>
      <c r="L324" s="35"/>
    </row>
    <row r="325" spans="8:12" x14ac:dyDescent="0.25">
      <c r="H325" s="77"/>
      <c r="I325" s="78"/>
      <c r="J325" s="79"/>
      <c r="K325" s="79"/>
      <c r="L325" s="80"/>
    </row>
    <row r="326" spans="8:12" ht="16.5" thickBot="1" x14ac:dyDescent="0.3">
      <c r="H326" s="42" t="s">
        <v>436</v>
      </c>
      <c r="I326" s="43"/>
      <c r="J326" s="44"/>
      <c r="K326" s="44"/>
      <c r="L326" s="45"/>
    </row>
    <row r="327" spans="8:12" ht="30" x14ac:dyDescent="0.25">
      <c r="H327" s="76" t="s">
        <v>437</v>
      </c>
      <c r="I327" s="71"/>
      <c r="J327" s="72"/>
      <c r="K327" s="73"/>
      <c r="L327" s="74"/>
    </row>
    <row r="328" spans="8:12" x14ac:dyDescent="0.25">
      <c r="H328" s="92" t="s">
        <v>438</v>
      </c>
      <c r="I328" s="46" t="s">
        <v>439</v>
      </c>
      <c r="J328" s="32"/>
      <c r="K328" s="26"/>
      <c r="L328" s="33"/>
    </row>
    <row r="329" spans="8:12" ht="30" x14ac:dyDescent="0.25">
      <c r="H329" s="92"/>
      <c r="I329" s="46" t="s">
        <v>440</v>
      </c>
      <c r="J329" s="32"/>
      <c r="K329" s="26"/>
      <c r="L329" s="33"/>
    </row>
    <row r="330" spans="8:12" ht="30" x14ac:dyDescent="0.25">
      <c r="H330" s="92"/>
      <c r="I330" s="46" t="s">
        <v>441</v>
      </c>
      <c r="J330" s="32"/>
      <c r="K330" s="26"/>
      <c r="L330" s="33"/>
    </row>
    <row r="331" spans="8:12" ht="30" x14ac:dyDescent="0.25">
      <c r="H331" s="92"/>
      <c r="I331" s="46" t="s">
        <v>442</v>
      </c>
      <c r="J331" s="32"/>
      <c r="K331" s="26"/>
      <c r="L331" s="33"/>
    </row>
    <row r="332" spans="8:12" ht="30" x14ac:dyDescent="0.25">
      <c r="H332" s="92"/>
      <c r="I332" s="46" t="s">
        <v>443</v>
      </c>
      <c r="J332" s="32"/>
      <c r="K332" s="26"/>
      <c r="L332" s="33"/>
    </row>
    <row r="333" spans="8:12" ht="30" x14ac:dyDescent="0.25">
      <c r="H333" s="92"/>
      <c r="I333" s="46" t="s">
        <v>444</v>
      </c>
      <c r="J333" s="32"/>
      <c r="K333" s="26"/>
      <c r="L333" s="33"/>
    </row>
    <row r="334" spans="8:12" x14ac:dyDescent="0.25">
      <c r="H334" s="92"/>
      <c r="I334" s="46" t="s">
        <v>445</v>
      </c>
      <c r="J334" s="32"/>
      <c r="K334" s="26"/>
      <c r="L334" s="33"/>
    </row>
    <row r="335" spans="8:12" x14ac:dyDescent="0.25">
      <c r="H335" s="92"/>
      <c r="I335" s="46" t="s">
        <v>446</v>
      </c>
      <c r="J335" s="32"/>
      <c r="K335" s="26"/>
      <c r="L335" s="33"/>
    </row>
    <row r="336" spans="8:12" x14ac:dyDescent="0.25">
      <c r="H336" s="92" t="s">
        <v>447</v>
      </c>
      <c r="I336" s="46" t="s">
        <v>448</v>
      </c>
      <c r="J336" s="32"/>
      <c r="K336" s="26"/>
      <c r="L336" s="33"/>
    </row>
    <row r="337" spans="8:12" x14ac:dyDescent="0.25">
      <c r="H337" s="92"/>
      <c r="I337" s="46" t="s">
        <v>449</v>
      </c>
      <c r="J337" s="32"/>
      <c r="K337" s="26"/>
      <c r="L337" s="33"/>
    </row>
    <row r="338" spans="8:12" ht="16.5" thickBot="1" x14ac:dyDescent="0.3">
      <c r="H338" s="93"/>
      <c r="I338" s="66" t="s">
        <v>450</v>
      </c>
      <c r="J338" s="34"/>
      <c r="K338" s="27"/>
      <c r="L338" s="35"/>
    </row>
    <row r="339" spans="8:12" x14ac:dyDescent="0.25">
      <c r="H339" s="81"/>
      <c r="I339" s="78"/>
      <c r="J339" s="79"/>
      <c r="K339" s="79"/>
      <c r="L339" s="80"/>
    </row>
    <row r="340" spans="8:12" ht="16.5" thickBot="1" x14ac:dyDescent="0.3">
      <c r="H340" s="42" t="s">
        <v>451</v>
      </c>
      <c r="I340" s="43"/>
      <c r="J340" s="44"/>
      <c r="K340" s="44"/>
      <c r="L340" s="45"/>
    </row>
    <row r="341" spans="8:12" x14ac:dyDescent="0.25">
      <c r="H341" s="94" t="s">
        <v>452</v>
      </c>
      <c r="I341" s="71" t="s">
        <v>453</v>
      </c>
      <c r="J341" s="72"/>
      <c r="K341" s="73"/>
      <c r="L341" s="74"/>
    </row>
    <row r="342" spans="8:12" x14ac:dyDescent="0.25">
      <c r="H342" s="92"/>
      <c r="I342" s="46" t="s">
        <v>454</v>
      </c>
      <c r="J342" s="32"/>
      <c r="K342" s="26"/>
      <c r="L342" s="33"/>
    </row>
    <row r="343" spans="8:12" x14ac:dyDescent="0.25">
      <c r="H343" s="92"/>
      <c r="I343" s="46" t="s">
        <v>455</v>
      </c>
      <c r="J343" s="32"/>
      <c r="K343" s="26"/>
      <c r="L343" s="33"/>
    </row>
    <row r="344" spans="8:12" x14ac:dyDescent="0.25">
      <c r="H344" s="92" t="s">
        <v>456</v>
      </c>
      <c r="I344" s="46" t="s">
        <v>457</v>
      </c>
      <c r="J344" s="32"/>
      <c r="K344" s="26"/>
      <c r="L344" s="33"/>
    </row>
    <row r="345" spans="8:12" x14ac:dyDescent="0.25">
      <c r="H345" s="92"/>
      <c r="I345" s="46" t="s">
        <v>554</v>
      </c>
      <c r="J345" s="32"/>
      <c r="K345" s="26"/>
      <c r="L345" s="33"/>
    </row>
    <row r="346" spans="8:12" x14ac:dyDescent="0.25">
      <c r="H346" s="92"/>
      <c r="I346" s="46" t="s">
        <v>555</v>
      </c>
      <c r="J346" s="32"/>
      <c r="K346" s="26"/>
      <c r="L346" s="33"/>
    </row>
    <row r="347" spans="8:12" x14ac:dyDescent="0.25">
      <c r="H347" s="92"/>
      <c r="I347" s="46" t="s">
        <v>556</v>
      </c>
      <c r="J347" s="32"/>
      <c r="K347" s="26"/>
      <c r="L347" s="33"/>
    </row>
    <row r="348" spans="8:12" x14ac:dyDescent="0.25">
      <c r="H348" s="92"/>
      <c r="I348" s="46" t="s">
        <v>557</v>
      </c>
      <c r="J348" s="32"/>
      <c r="K348" s="26"/>
      <c r="L348" s="33"/>
    </row>
    <row r="349" spans="8:12" x14ac:dyDescent="0.25">
      <c r="H349" s="92"/>
      <c r="I349" s="46" t="s">
        <v>458</v>
      </c>
      <c r="J349" s="32"/>
      <c r="K349" s="26"/>
      <c r="L349" s="33"/>
    </row>
    <row r="350" spans="8:12" x14ac:dyDescent="0.25">
      <c r="H350" s="92"/>
      <c r="I350" s="46" t="s">
        <v>459</v>
      </c>
      <c r="J350" s="32"/>
      <c r="K350" s="26"/>
      <c r="L350" s="33"/>
    </row>
    <row r="351" spans="8:12" ht="30" x14ac:dyDescent="0.25">
      <c r="H351" s="48" t="s">
        <v>460</v>
      </c>
      <c r="I351" s="46"/>
      <c r="J351" s="32"/>
      <c r="K351" s="26"/>
      <c r="L351" s="33"/>
    </row>
    <row r="352" spans="8:12" x14ac:dyDescent="0.25">
      <c r="H352" s="48" t="s">
        <v>461</v>
      </c>
      <c r="I352" s="46"/>
      <c r="J352" s="32"/>
      <c r="K352" s="26"/>
      <c r="L352" s="33"/>
    </row>
    <row r="353" spans="8:12" x14ac:dyDescent="0.25">
      <c r="H353" s="92" t="s">
        <v>462</v>
      </c>
      <c r="I353" s="46" t="s">
        <v>463</v>
      </c>
      <c r="J353" s="32"/>
      <c r="K353" s="26"/>
      <c r="L353" s="33"/>
    </row>
    <row r="354" spans="8:12" x14ac:dyDescent="0.25">
      <c r="H354" s="92"/>
      <c r="I354" s="46" t="s">
        <v>464</v>
      </c>
      <c r="J354" s="32"/>
      <c r="K354" s="26"/>
      <c r="L354" s="33"/>
    </row>
    <row r="355" spans="8:12" x14ac:dyDescent="0.25">
      <c r="H355" s="92"/>
      <c r="I355" s="46" t="s">
        <v>465</v>
      </c>
      <c r="J355" s="32"/>
      <c r="K355" s="26"/>
      <c r="L355" s="33"/>
    </row>
    <row r="356" spans="8:12" x14ac:dyDescent="0.25">
      <c r="H356" s="92"/>
      <c r="I356" s="46" t="s">
        <v>466</v>
      </c>
      <c r="J356" s="32"/>
      <c r="K356" s="26"/>
      <c r="L356" s="33"/>
    </row>
    <row r="357" spans="8:12" x14ac:dyDescent="0.25">
      <c r="H357" s="92"/>
      <c r="I357" s="46" t="s">
        <v>467</v>
      </c>
      <c r="J357" s="32"/>
      <c r="K357" s="26"/>
      <c r="L357" s="33"/>
    </row>
    <row r="358" spans="8:12" ht="30" x14ac:dyDescent="0.25">
      <c r="H358" s="48" t="s">
        <v>468</v>
      </c>
      <c r="I358" s="46"/>
      <c r="J358" s="32"/>
      <c r="K358" s="26"/>
      <c r="L358" s="33"/>
    </row>
    <row r="359" spans="8:12" x14ac:dyDescent="0.25">
      <c r="H359" s="48" t="s">
        <v>469</v>
      </c>
      <c r="I359" s="46"/>
      <c r="J359" s="32"/>
      <c r="K359" s="26"/>
      <c r="L359" s="33"/>
    </row>
    <row r="360" spans="8:12" x14ac:dyDescent="0.25">
      <c r="H360" s="92" t="s">
        <v>470</v>
      </c>
      <c r="I360" s="46" t="s">
        <v>471</v>
      </c>
      <c r="J360" s="32"/>
      <c r="K360" s="26"/>
      <c r="L360" s="33"/>
    </row>
    <row r="361" spans="8:12" x14ac:dyDescent="0.25">
      <c r="H361" s="92"/>
      <c r="I361" s="46" t="s">
        <v>472</v>
      </c>
      <c r="J361" s="32"/>
      <c r="K361" s="26"/>
      <c r="L361" s="33"/>
    </row>
    <row r="362" spans="8:12" x14ac:dyDescent="0.25">
      <c r="H362" s="92"/>
      <c r="I362" s="46" t="s">
        <v>473</v>
      </c>
      <c r="J362" s="32"/>
      <c r="K362" s="26"/>
      <c r="L362" s="33"/>
    </row>
    <row r="363" spans="8:12" x14ac:dyDescent="0.25">
      <c r="H363" s="48" t="s">
        <v>474</v>
      </c>
      <c r="I363" s="46"/>
      <c r="J363" s="32"/>
      <c r="K363" s="26"/>
      <c r="L363" s="33"/>
    </row>
    <row r="364" spans="8:12" x14ac:dyDescent="0.25">
      <c r="H364" s="48" t="s">
        <v>475</v>
      </c>
      <c r="I364" s="46"/>
      <c r="J364" s="32"/>
      <c r="K364" s="26"/>
      <c r="L364" s="33"/>
    </row>
    <row r="365" spans="8:12" x14ac:dyDescent="0.25">
      <c r="H365" s="48" t="s">
        <v>476</v>
      </c>
      <c r="I365" s="46"/>
      <c r="J365" s="32"/>
      <c r="K365" s="26"/>
      <c r="L365" s="33"/>
    </row>
    <row r="366" spans="8:12" x14ac:dyDescent="0.25">
      <c r="H366" s="92" t="s">
        <v>477</v>
      </c>
      <c r="I366" s="46" t="s">
        <v>478</v>
      </c>
      <c r="J366" s="32"/>
      <c r="K366" s="26"/>
      <c r="L366" s="33"/>
    </row>
    <row r="367" spans="8:12" x14ac:dyDescent="0.25">
      <c r="H367" s="92"/>
      <c r="I367" s="46" t="s">
        <v>479</v>
      </c>
      <c r="J367" s="32"/>
      <c r="K367" s="26"/>
      <c r="L367" s="33"/>
    </row>
    <row r="368" spans="8:12" x14ac:dyDescent="0.25">
      <c r="H368" s="92"/>
      <c r="I368" s="46" t="s">
        <v>480</v>
      </c>
      <c r="J368" s="32"/>
      <c r="K368" s="26"/>
      <c r="L368" s="33"/>
    </row>
    <row r="369" spans="8:12" ht="30" x14ac:dyDescent="0.25">
      <c r="H369" s="92"/>
      <c r="I369" s="46" t="s">
        <v>481</v>
      </c>
      <c r="J369" s="32"/>
      <c r="K369" s="26"/>
      <c r="L369" s="33"/>
    </row>
    <row r="370" spans="8:12" x14ac:dyDescent="0.25">
      <c r="H370" s="48" t="s">
        <v>482</v>
      </c>
      <c r="I370" s="46"/>
      <c r="J370" s="32"/>
      <c r="K370" s="26"/>
      <c r="L370" s="33"/>
    </row>
    <row r="371" spans="8:12" x14ac:dyDescent="0.25">
      <c r="H371" s="92" t="s">
        <v>483</v>
      </c>
      <c r="I371" s="46" t="s">
        <v>484</v>
      </c>
      <c r="J371" s="32"/>
      <c r="K371" s="26"/>
      <c r="L371" s="33"/>
    </row>
    <row r="372" spans="8:12" x14ac:dyDescent="0.25">
      <c r="H372" s="92"/>
      <c r="I372" s="46" t="s">
        <v>485</v>
      </c>
      <c r="J372" s="32"/>
      <c r="K372" s="26"/>
      <c r="L372" s="33"/>
    </row>
    <row r="373" spans="8:12" ht="16.5" thickBot="1" x14ac:dyDescent="0.3">
      <c r="H373" s="93"/>
      <c r="I373" s="66" t="s">
        <v>486</v>
      </c>
      <c r="J373" s="34"/>
      <c r="K373" s="27"/>
      <c r="L373" s="35"/>
    </row>
    <row r="374" spans="8:12" x14ac:dyDescent="0.25">
      <c r="H374" s="63"/>
      <c r="I374" s="60"/>
      <c r="J374" s="61"/>
      <c r="K374" s="61"/>
      <c r="L374" s="62"/>
    </row>
    <row r="375" spans="8:12" ht="16.5" thickBot="1" x14ac:dyDescent="0.3">
      <c r="H375" s="42" t="s">
        <v>487</v>
      </c>
      <c r="I375" s="43"/>
      <c r="J375" s="44"/>
      <c r="K375" s="44"/>
      <c r="L375" s="45"/>
    </row>
    <row r="376" spans="8:12" x14ac:dyDescent="0.25">
      <c r="H376" s="76" t="s">
        <v>488</v>
      </c>
      <c r="I376" s="71"/>
      <c r="J376" s="72"/>
      <c r="K376" s="73"/>
      <c r="L376" s="74"/>
    </row>
    <row r="377" spans="8:12" x14ac:dyDescent="0.25">
      <c r="H377" s="48" t="s">
        <v>489</v>
      </c>
      <c r="I377" s="46"/>
      <c r="J377" s="32"/>
      <c r="K377" s="26"/>
      <c r="L377" s="33"/>
    </row>
    <row r="378" spans="8:12" x14ac:dyDescent="0.25">
      <c r="H378" s="48" t="s">
        <v>497</v>
      </c>
      <c r="I378" s="46" t="s">
        <v>498</v>
      </c>
      <c r="J378" s="32"/>
      <c r="K378" s="26"/>
      <c r="L378" s="33"/>
    </row>
    <row r="379" spans="8:12" x14ac:dyDescent="0.25">
      <c r="H379" s="48" t="s">
        <v>499</v>
      </c>
      <c r="I379" s="46"/>
      <c r="J379" s="32"/>
      <c r="K379" s="26"/>
      <c r="L379" s="33"/>
    </row>
    <row r="380" spans="8:12" ht="15.75" customHeight="1" x14ac:dyDescent="0.25">
      <c r="H380" s="90" t="s">
        <v>500</v>
      </c>
      <c r="I380" s="46"/>
      <c r="J380" s="32"/>
      <c r="K380" s="26"/>
      <c r="L380" s="33"/>
    </row>
    <row r="381" spans="8:12" ht="30" x14ac:dyDescent="0.25">
      <c r="H381" s="48" t="s">
        <v>501</v>
      </c>
      <c r="I381" s="46"/>
      <c r="J381" s="32"/>
      <c r="K381" s="26"/>
      <c r="L381" s="33"/>
    </row>
    <row r="382" spans="8:12" x14ac:dyDescent="0.25">
      <c r="H382" s="92" t="s">
        <v>502</v>
      </c>
      <c r="I382" s="46" t="s">
        <v>503</v>
      </c>
      <c r="J382" s="32"/>
      <c r="K382" s="26"/>
      <c r="L382" s="33"/>
    </row>
    <row r="383" spans="8:12" x14ac:dyDescent="0.25">
      <c r="H383" s="92"/>
      <c r="I383" s="46" t="s">
        <v>504</v>
      </c>
      <c r="J383" s="32"/>
      <c r="K383" s="26"/>
      <c r="L383" s="33"/>
    </row>
    <row r="384" spans="8:12" x14ac:dyDescent="0.25">
      <c r="H384" s="92" t="s">
        <v>505</v>
      </c>
      <c r="I384" s="46" t="s">
        <v>512</v>
      </c>
      <c r="J384" s="32"/>
      <c r="K384" s="26"/>
      <c r="L384" s="33"/>
    </row>
    <row r="385" spans="8:12" x14ac:dyDescent="0.25">
      <c r="H385" s="92"/>
      <c r="I385" s="46" t="s">
        <v>513</v>
      </c>
      <c r="J385" s="32"/>
      <c r="K385" s="26"/>
      <c r="L385" s="33"/>
    </row>
    <row r="386" spans="8:12" ht="30" x14ac:dyDescent="0.25">
      <c r="H386" s="92"/>
      <c r="I386" s="46" t="s">
        <v>506</v>
      </c>
      <c r="J386" s="32"/>
      <c r="K386" s="26"/>
      <c r="L386" s="33"/>
    </row>
    <row r="387" spans="8:12" x14ac:dyDescent="0.25">
      <c r="H387" s="92"/>
      <c r="I387" s="46" t="s">
        <v>507</v>
      </c>
      <c r="J387" s="32"/>
      <c r="K387" s="26"/>
      <c r="L387" s="33"/>
    </row>
    <row r="388" spans="8:12" x14ac:dyDescent="0.25">
      <c r="H388" s="92"/>
      <c r="I388" s="46" t="s">
        <v>508</v>
      </c>
      <c r="J388" s="32"/>
      <c r="K388" s="26"/>
      <c r="L388" s="33"/>
    </row>
    <row r="389" spans="8:12" x14ac:dyDescent="0.25">
      <c r="H389" s="92"/>
      <c r="I389" s="64" t="s">
        <v>509</v>
      </c>
      <c r="J389" s="32"/>
      <c r="K389" s="26"/>
      <c r="L389" s="33"/>
    </row>
    <row r="390" spans="8:12" x14ac:dyDescent="0.25">
      <c r="H390" s="92"/>
      <c r="I390" s="64" t="s">
        <v>510</v>
      </c>
      <c r="J390" s="32"/>
      <c r="K390" s="26"/>
      <c r="L390" s="33"/>
    </row>
    <row r="391" spans="8:12" x14ac:dyDescent="0.25">
      <c r="H391" s="92"/>
      <c r="I391" s="46" t="s">
        <v>511</v>
      </c>
      <c r="J391" s="32"/>
      <c r="K391" s="26"/>
      <c r="L391" s="33"/>
    </row>
    <row r="392" spans="8:12" x14ac:dyDescent="0.25">
      <c r="H392" s="92" t="s">
        <v>514</v>
      </c>
      <c r="I392" s="46" t="s">
        <v>515</v>
      </c>
      <c r="J392" s="32"/>
      <c r="K392" s="26"/>
      <c r="L392" s="33"/>
    </row>
    <row r="393" spans="8:12" x14ac:dyDescent="0.25">
      <c r="H393" s="92"/>
      <c r="I393" s="46" t="s">
        <v>516</v>
      </c>
      <c r="J393" s="32"/>
      <c r="K393" s="26"/>
      <c r="L393" s="33"/>
    </row>
    <row r="394" spans="8:12" x14ac:dyDescent="0.25">
      <c r="H394" s="92" t="s">
        <v>517</v>
      </c>
      <c r="I394" s="46" t="s">
        <v>518</v>
      </c>
      <c r="J394" s="32"/>
      <c r="K394" s="26"/>
      <c r="L394" s="33"/>
    </row>
    <row r="395" spans="8:12" ht="15.75" customHeight="1" x14ac:dyDescent="0.25">
      <c r="H395" s="92"/>
      <c r="I395" s="46" t="s">
        <v>519</v>
      </c>
      <c r="J395" s="32"/>
      <c r="K395" s="26"/>
      <c r="L395" s="33"/>
    </row>
    <row r="396" spans="8:12" x14ac:dyDescent="0.25">
      <c r="H396" s="92"/>
      <c r="I396" s="46" t="s">
        <v>520</v>
      </c>
      <c r="J396" s="32"/>
      <c r="K396" s="26"/>
      <c r="L396" s="33"/>
    </row>
    <row r="397" spans="8:12" x14ac:dyDescent="0.25">
      <c r="H397" s="92"/>
      <c r="I397" s="46" t="s">
        <v>521</v>
      </c>
      <c r="J397" s="32"/>
      <c r="K397" s="26"/>
      <c r="L397" s="33"/>
    </row>
    <row r="398" spans="8:12" x14ac:dyDescent="0.25">
      <c r="H398" s="92"/>
      <c r="I398" s="46" t="s">
        <v>522</v>
      </c>
      <c r="J398" s="32"/>
      <c r="K398" s="26"/>
      <c r="L398" s="33"/>
    </row>
    <row r="399" spans="8:12" x14ac:dyDescent="0.25">
      <c r="H399" s="92" t="s">
        <v>523</v>
      </c>
      <c r="I399" s="46" t="s">
        <v>490</v>
      </c>
      <c r="J399" s="32"/>
      <c r="K399" s="26"/>
      <c r="L399" s="33"/>
    </row>
    <row r="400" spans="8:12" x14ac:dyDescent="0.25">
      <c r="H400" s="92"/>
      <c r="I400" s="46" t="s">
        <v>491</v>
      </c>
      <c r="J400" s="32"/>
      <c r="K400" s="26"/>
      <c r="L400" s="33"/>
    </row>
    <row r="401" spans="8:12" x14ac:dyDescent="0.25">
      <c r="H401" s="92" t="s">
        <v>492</v>
      </c>
      <c r="I401" s="46" t="s">
        <v>493</v>
      </c>
      <c r="J401" s="32"/>
      <c r="K401" s="26"/>
      <c r="L401" s="33"/>
    </row>
    <row r="402" spans="8:12" x14ac:dyDescent="0.25">
      <c r="H402" s="92"/>
      <c r="I402" s="46" t="s">
        <v>494</v>
      </c>
      <c r="J402" s="32"/>
      <c r="K402" s="26"/>
      <c r="L402" s="33"/>
    </row>
    <row r="403" spans="8:12" x14ac:dyDescent="0.25">
      <c r="H403" s="48" t="s">
        <v>495</v>
      </c>
      <c r="I403" s="46"/>
      <c r="J403" s="32"/>
      <c r="K403" s="26"/>
      <c r="L403" s="33"/>
    </row>
    <row r="404" spans="8:12" ht="16.5" thickBot="1" x14ac:dyDescent="0.3">
      <c r="H404" s="65" t="s">
        <v>496</v>
      </c>
      <c r="I404" s="66"/>
      <c r="J404" s="34"/>
      <c r="K404" s="27"/>
      <c r="L404" s="35"/>
    </row>
    <row r="405" spans="8:12" s="68" customFormat="1" ht="15" x14ac:dyDescent="0.25">
      <c r="H405" s="87"/>
      <c r="I405" s="61"/>
      <c r="J405" s="61"/>
      <c r="K405" s="61"/>
      <c r="L405" s="62"/>
    </row>
    <row r="406" spans="8:12" s="68" customFormat="1" ht="15" x14ac:dyDescent="0.25">
      <c r="H406" s="87"/>
      <c r="I406" s="61"/>
      <c r="J406" s="61"/>
      <c r="K406" s="61"/>
      <c r="L406" s="62"/>
    </row>
    <row r="407" spans="8:12" ht="16.5" thickBot="1" x14ac:dyDescent="0.3">
      <c r="H407" s="88" t="s">
        <v>524</v>
      </c>
      <c r="I407" s="43"/>
      <c r="J407" s="44"/>
      <c r="K407" s="44"/>
      <c r="L407" s="45"/>
    </row>
    <row r="408" spans="8:12" ht="30" x14ac:dyDescent="0.25">
      <c r="H408" s="76" t="s">
        <v>525</v>
      </c>
      <c r="I408" s="71"/>
      <c r="J408" s="72"/>
      <c r="K408" s="73"/>
      <c r="L408" s="74"/>
    </row>
    <row r="409" spans="8:12" x14ac:dyDescent="0.25">
      <c r="H409" s="92" t="s">
        <v>526</v>
      </c>
      <c r="I409" s="46" t="s">
        <v>527</v>
      </c>
      <c r="J409" s="32"/>
      <c r="K409" s="26"/>
      <c r="L409" s="33"/>
    </row>
    <row r="410" spans="8:12" x14ac:dyDescent="0.25">
      <c r="H410" s="92"/>
      <c r="I410" s="46" t="s">
        <v>528</v>
      </c>
      <c r="J410" s="32"/>
      <c r="K410" s="26"/>
      <c r="L410" s="33"/>
    </row>
    <row r="411" spans="8:12" x14ac:dyDescent="0.25">
      <c r="H411" s="48" t="s">
        <v>529</v>
      </c>
      <c r="I411" s="46"/>
      <c r="J411" s="32"/>
      <c r="K411" s="26"/>
      <c r="L411" s="33"/>
    </row>
    <row r="412" spans="8:12" ht="30" x14ac:dyDescent="0.25">
      <c r="H412" s="90" t="s">
        <v>530</v>
      </c>
      <c r="I412" s="46"/>
      <c r="J412" s="32"/>
      <c r="K412" s="26"/>
      <c r="L412" s="33"/>
    </row>
    <row r="413" spans="8:12" x14ac:dyDescent="0.25">
      <c r="H413" s="48" t="s">
        <v>531</v>
      </c>
      <c r="I413" s="46" t="s">
        <v>553</v>
      </c>
      <c r="J413" s="32"/>
      <c r="K413" s="26"/>
      <c r="L413" s="33"/>
    </row>
    <row r="414" spans="8:12" x14ac:dyDescent="0.25">
      <c r="H414" s="92" t="s">
        <v>532</v>
      </c>
      <c r="I414" s="46" t="s">
        <v>533</v>
      </c>
      <c r="J414" s="32"/>
      <c r="K414" s="26"/>
      <c r="L414" s="33"/>
    </row>
    <row r="415" spans="8:12" ht="15.75" customHeight="1" thickBot="1" x14ac:dyDescent="0.3">
      <c r="H415" s="93"/>
      <c r="I415" s="66" t="s">
        <v>534</v>
      </c>
      <c r="J415" s="34"/>
      <c r="K415" s="27"/>
      <c r="L415" s="35"/>
    </row>
    <row r="416" spans="8:12" x14ac:dyDescent="0.25">
      <c r="H416" s="63"/>
      <c r="I416" s="60"/>
      <c r="J416" s="61"/>
      <c r="K416" s="61"/>
      <c r="L416" s="62"/>
    </row>
    <row r="417" spans="8:12" x14ac:dyDescent="0.25">
      <c r="H417" s="42" t="s">
        <v>535</v>
      </c>
      <c r="I417" s="43"/>
      <c r="J417" s="44"/>
      <c r="K417" s="44"/>
      <c r="L417" s="45"/>
    </row>
    <row r="418" spans="8:12" ht="16.5" thickBot="1" x14ac:dyDescent="0.3">
      <c r="H418" s="65" t="s">
        <v>535</v>
      </c>
      <c r="I418" s="66"/>
      <c r="J418" s="34"/>
      <c r="K418" s="27"/>
      <c r="L418" s="35"/>
    </row>
    <row r="419" spans="8:12" x14ac:dyDescent="0.25">
      <c r="H419" s="81"/>
      <c r="I419" s="78"/>
      <c r="J419" s="79"/>
      <c r="K419" s="79"/>
      <c r="L419" s="80"/>
    </row>
    <row r="420" spans="8:12" ht="16.5" thickBot="1" x14ac:dyDescent="0.3">
      <c r="H420" s="42" t="s">
        <v>536</v>
      </c>
      <c r="I420" s="43"/>
      <c r="J420" s="44"/>
      <c r="K420" s="44"/>
      <c r="L420" s="45"/>
    </row>
    <row r="421" spans="8:12" ht="30" x14ac:dyDescent="0.25">
      <c r="H421" s="76" t="s">
        <v>537</v>
      </c>
      <c r="I421" s="71"/>
      <c r="J421" s="72"/>
      <c r="K421" s="73"/>
      <c r="L421" s="74"/>
    </row>
    <row r="422" spans="8:12" x14ac:dyDescent="0.25">
      <c r="H422" s="92" t="s">
        <v>538</v>
      </c>
      <c r="I422" s="46" t="s">
        <v>539</v>
      </c>
      <c r="J422" s="32"/>
      <c r="K422" s="26"/>
      <c r="L422" s="33"/>
    </row>
    <row r="423" spans="8:12" x14ac:dyDescent="0.25">
      <c r="H423" s="92"/>
      <c r="I423" s="46" t="s">
        <v>540</v>
      </c>
      <c r="J423" s="32"/>
      <c r="K423" s="26"/>
      <c r="L423" s="33"/>
    </row>
    <row r="424" spans="8:12" x14ac:dyDescent="0.25">
      <c r="H424" s="92"/>
      <c r="I424" s="46" t="s">
        <v>541</v>
      </c>
      <c r="J424" s="32"/>
      <c r="K424" s="26"/>
      <c r="L424" s="33"/>
    </row>
    <row r="425" spans="8:12" x14ac:dyDescent="0.25">
      <c r="H425" s="48" t="s">
        <v>542</v>
      </c>
      <c r="I425" s="46"/>
      <c r="J425" s="32"/>
      <c r="K425" s="26"/>
      <c r="L425" s="33"/>
    </row>
    <row r="426" spans="8:12" ht="16.5" thickBot="1" x14ac:dyDescent="0.3">
      <c r="H426" s="65" t="s">
        <v>543</v>
      </c>
      <c r="I426" s="66"/>
      <c r="J426" s="34"/>
      <c r="K426" s="27"/>
      <c r="L426" s="35"/>
    </row>
    <row r="427" spans="8:12" x14ac:dyDescent="0.25">
      <c r="H427" s="63"/>
      <c r="I427" s="60"/>
      <c r="J427" s="61"/>
      <c r="K427" s="61"/>
      <c r="L427" s="62"/>
    </row>
    <row r="428" spans="8:12" ht="15.75" customHeight="1" thickBot="1" x14ac:dyDescent="0.3">
      <c r="H428" s="63"/>
      <c r="I428" s="60"/>
      <c r="J428" s="61"/>
      <c r="K428" s="61"/>
      <c r="L428" s="62"/>
    </row>
    <row r="429" spans="8:12" x14ac:dyDescent="0.25">
      <c r="H429" s="38" t="s">
        <v>122</v>
      </c>
      <c r="I429" s="39"/>
      <c r="J429" s="40"/>
      <c r="K429" s="40"/>
      <c r="L429" s="41"/>
    </row>
    <row r="430" spans="8:12" x14ac:dyDescent="0.25">
      <c r="H430" s="42" t="s">
        <v>222</v>
      </c>
      <c r="I430" s="43"/>
      <c r="J430" s="44"/>
      <c r="K430" s="44"/>
      <c r="L430" s="45"/>
    </row>
    <row r="431" spans="8:12" ht="16.5" thickBot="1" x14ac:dyDescent="0.3">
      <c r="H431" s="65" t="s">
        <v>222</v>
      </c>
      <c r="I431" s="66"/>
      <c r="J431" s="34"/>
      <c r="K431" s="27"/>
      <c r="L431" s="35"/>
    </row>
    <row r="432" spans="8:12" x14ac:dyDescent="0.25">
      <c r="H432" s="81"/>
      <c r="I432" s="78"/>
      <c r="J432" s="79"/>
      <c r="K432" s="79"/>
      <c r="L432" s="80"/>
    </row>
    <row r="433" spans="8:12" x14ac:dyDescent="0.25">
      <c r="H433" s="42" t="s">
        <v>223</v>
      </c>
      <c r="I433" s="43"/>
      <c r="J433" s="44"/>
      <c r="K433" s="44"/>
      <c r="L433" s="45"/>
    </row>
    <row r="434" spans="8:12" ht="16.5" thickBot="1" x14ac:dyDescent="0.3">
      <c r="H434" s="65" t="s">
        <v>223</v>
      </c>
      <c r="I434" s="66"/>
      <c r="J434" s="34"/>
      <c r="K434" s="27"/>
      <c r="L434" s="35"/>
    </row>
    <row r="435" spans="8:12" x14ac:dyDescent="0.25">
      <c r="H435" s="81"/>
      <c r="I435" s="78"/>
      <c r="J435" s="79"/>
      <c r="K435" s="79"/>
      <c r="L435" s="80"/>
    </row>
    <row r="436" spans="8:12" x14ac:dyDescent="0.25">
      <c r="H436" s="42" t="s">
        <v>224</v>
      </c>
      <c r="I436" s="43"/>
      <c r="J436" s="44"/>
      <c r="K436" s="44"/>
      <c r="L436" s="45"/>
    </row>
    <row r="437" spans="8:12" x14ac:dyDescent="0.25">
      <c r="H437" s="48" t="s">
        <v>225</v>
      </c>
      <c r="I437" s="46"/>
      <c r="J437" s="32"/>
      <c r="K437" s="26"/>
      <c r="L437" s="33"/>
    </row>
    <row r="438" spans="8:12" ht="30" x14ac:dyDescent="0.25">
      <c r="H438" s="48" t="s">
        <v>277</v>
      </c>
      <c r="I438" s="46"/>
      <c r="J438" s="32"/>
      <c r="K438" s="26"/>
      <c r="L438" s="33"/>
    </row>
    <row r="439" spans="8:12" ht="30.75" thickBot="1" x14ac:dyDescent="0.3">
      <c r="H439" s="65" t="s">
        <v>278</v>
      </c>
      <c r="I439" s="66"/>
      <c r="J439" s="34"/>
      <c r="K439" s="27"/>
      <c r="L439" s="35"/>
    </row>
    <row r="440" spans="8:12" x14ac:dyDescent="0.25">
      <c r="H440" s="81"/>
      <c r="I440" s="78"/>
      <c r="J440" s="79"/>
      <c r="K440" s="79"/>
      <c r="L440" s="80"/>
    </row>
    <row r="441" spans="8:12" x14ac:dyDescent="0.25">
      <c r="H441" s="42" t="s">
        <v>226</v>
      </c>
      <c r="I441" s="43"/>
      <c r="J441" s="44"/>
      <c r="K441" s="44"/>
      <c r="L441" s="45"/>
    </row>
    <row r="442" spans="8:12" ht="30" x14ac:dyDescent="0.25">
      <c r="H442" s="48" t="s">
        <v>227</v>
      </c>
      <c r="I442" s="46"/>
      <c r="J442" s="32"/>
      <c r="K442" s="26"/>
      <c r="L442" s="33"/>
    </row>
    <row r="443" spans="8:12" ht="45.75" thickBot="1" x14ac:dyDescent="0.3">
      <c r="H443" s="65" t="s">
        <v>228</v>
      </c>
      <c r="I443" s="66"/>
      <c r="J443" s="34"/>
      <c r="K443" s="27"/>
      <c r="L443" s="35"/>
    </row>
    <row r="444" spans="8:12" x14ac:dyDescent="0.25">
      <c r="H444" s="81"/>
      <c r="I444" s="78"/>
      <c r="J444" s="79"/>
      <c r="K444" s="79"/>
      <c r="L444" s="80"/>
    </row>
    <row r="445" spans="8:12" x14ac:dyDescent="0.25">
      <c r="H445" s="42" t="s">
        <v>229</v>
      </c>
      <c r="I445" s="43"/>
      <c r="J445" s="44"/>
      <c r="K445" s="44"/>
      <c r="L445" s="45"/>
    </row>
    <row r="446" spans="8:12" ht="16.5" thickBot="1" x14ac:dyDescent="0.3">
      <c r="H446" s="65" t="s">
        <v>229</v>
      </c>
      <c r="I446" s="66"/>
      <c r="J446" s="34"/>
      <c r="K446" s="27"/>
      <c r="L446" s="35"/>
    </row>
    <row r="447" spans="8:12" x14ac:dyDescent="0.25">
      <c r="H447" s="81"/>
      <c r="I447" s="78"/>
      <c r="J447" s="79"/>
      <c r="K447" s="79"/>
      <c r="L447" s="80"/>
    </row>
    <row r="448" spans="8:12" ht="16.5" thickBot="1" x14ac:dyDescent="0.3">
      <c r="H448" s="42" t="s">
        <v>123</v>
      </c>
      <c r="I448" s="43"/>
      <c r="J448" s="44"/>
      <c r="K448" s="44"/>
      <c r="L448" s="45"/>
    </row>
    <row r="449" spans="8:12" x14ac:dyDescent="0.25">
      <c r="H449" s="76" t="s">
        <v>230</v>
      </c>
      <c r="I449" s="71"/>
      <c r="J449" s="72"/>
      <c r="K449" s="73"/>
      <c r="L449" s="74"/>
    </row>
    <row r="450" spans="8:12" ht="30" x14ac:dyDescent="0.25">
      <c r="H450" s="48" t="s">
        <v>231</v>
      </c>
      <c r="I450" s="46"/>
      <c r="J450" s="32"/>
      <c r="K450" s="26"/>
      <c r="L450" s="33"/>
    </row>
    <row r="451" spans="8:12" ht="30" x14ac:dyDescent="0.25">
      <c r="H451" s="48" t="s">
        <v>232</v>
      </c>
      <c r="I451" s="46"/>
      <c r="J451" s="32"/>
      <c r="K451" s="26"/>
      <c r="L451" s="33"/>
    </row>
    <row r="452" spans="8:12" ht="30.75" thickBot="1" x14ac:dyDescent="0.3">
      <c r="H452" s="65" t="s">
        <v>233</v>
      </c>
      <c r="I452" s="66"/>
      <c r="J452" s="34"/>
      <c r="K452" s="27"/>
      <c r="L452" s="35"/>
    </row>
    <row r="453" spans="8:12" x14ac:dyDescent="0.25">
      <c r="H453" s="63"/>
      <c r="I453" s="60"/>
      <c r="J453" s="61"/>
      <c r="K453" s="61"/>
      <c r="L453" s="62"/>
    </row>
    <row r="454" spans="8:12" ht="15.75" customHeight="1" x14ac:dyDescent="0.25">
      <c r="H454" s="42" t="s">
        <v>234</v>
      </c>
      <c r="I454" s="43"/>
      <c r="J454" s="44"/>
      <c r="K454" s="44"/>
      <c r="L454" s="45"/>
    </row>
    <row r="455" spans="8:12" x14ac:dyDescent="0.25">
      <c r="H455" s="48" t="s">
        <v>235</v>
      </c>
      <c r="I455" s="46"/>
      <c r="J455" s="32"/>
      <c r="K455" s="26"/>
      <c r="L455" s="33"/>
    </row>
    <row r="456" spans="8:12" x14ac:dyDescent="0.25">
      <c r="H456" s="48" t="s">
        <v>236</v>
      </c>
      <c r="I456" s="46"/>
      <c r="J456" s="32"/>
      <c r="K456" s="26"/>
      <c r="L456" s="33"/>
    </row>
    <row r="457" spans="8:12" x14ac:dyDescent="0.25">
      <c r="H457" s="48" t="s">
        <v>237</v>
      </c>
      <c r="I457" s="46"/>
      <c r="J457" s="32"/>
      <c r="K457" s="26"/>
      <c r="L457" s="33"/>
    </row>
    <row r="458" spans="8:12" ht="16.5" thickBot="1" x14ac:dyDescent="0.3">
      <c r="H458" s="65" t="s">
        <v>238</v>
      </c>
      <c r="I458" s="66"/>
      <c r="J458" s="34"/>
      <c r="K458" s="27"/>
      <c r="L458" s="35"/>
    </row>
    <row r="459" spans="8:12" x14ac:dyDescent="0.25">
      <c r="H459" s="63"/>
      <c r="I459" s="60"/>
      <c r="J459" s="61"/>
      <c r="K459" s="61"/>
      <c r="L459" s="62"/>
    </row>
    <row r="460" spans="8:12" x14ac:dyDescent="0.25">
      <c r="H460" s="42" t="s">
        <v>239</v>
      </c>
      <c r="I460" s="43"/>
      <c r="J460" s="44"/>
      <c r="K460" s="44"/>
      <c r="L460" s="45"/>
    </row>
    <row r="461" spans="8:12" ht="15.75" customHeight="1" thickBot="1" x14ac:dyDescent="0.3">
      <c r="H461" s="65" t="s">
        <v>239</v>
      </c>
      <c r="I461" s="66"/>
      <c r="J461" s="34"/>
      <c r="K461" s="27"/>
      <c r="L461" s="35"/>
    </row>
    <row r="462" spans="8:12" s="69" customFormat="1" ht="19.5" thickBot="1" x14ac:dyDescent="0.35">
      <c r="H462" s="81"/>
      <c r="I462" s="78"/>
      <c r="J462" s="79"/>
      <c r="K462" s="79"/>
      <c r="L462" s="80"/>
    </row>
    <row r="463" spans="8:12" s="69" customFormat="1" ht="18.75" x14ac:dyDescent="0.3">
      <c r="H463" s="38" t="s">
        <v>240</v>
      </c>
      <c r="I463" s="39"/>
      <c r="J463" s="40"/>
      <c r="K463" s="40"/>
      <c r="L463" s="41"/>
    </row>
    <row r="464" spans="8:12" s="69" customFormat="1" ht="18.75" x14ac:dyDescent="0.3">
      <c r="H464" s="42" t="s">
        <v>241</v>
      </c>
      <c r="I464" s="43"/>
      <c r="J464" s="44"/>
      <c r="K464" s="44"/>
      <c r="L464" s="45"/>
    </row>
    <row r="465" spans="8:12" s="69" customFormat="1" ht="19.5" thickBot="1" x14ac:dyDescent="0.35">
      <c r="H465" s="65" t="s">
        <v>242</v>
      </c>
      <c r="I465" s="66"/>
      <c r="J465" s="34"/>
      <c r="K465" s="27"/>
      <c r="L465" s="35"/>
    </row>
    <row r="466" spans="8:12" s="69" customFormat="1" ht="18.75" x14ac:dyDescent="0.3">
      <c r="H466" s="81"/>
      <c r="I466" s="78"/>
      <c r="J466" s="79"/>
      <c r="K466" s="79"/>
      <c r="L466" s="80"/>
    </row>
    <row r="467" spans="8:12" s="69" customFormat="1" ht="18.75" x14ac:dyDescent="0.3">
      <c r="H467" s="42" t="s">
        <v>243</v>
      </c>
      <c r="I467" s="43"/>
      <c r="J467" s="44"/>
      <c r="K467" s="44"/>
      <c r="L467" s="45"/>
    </row>
    <row r="468" spans="8:12" s="69" customFormat="1" ht="19.5" thickBot="1" x14ac:dyDescent="0.35">
      <c r="H468" s="65" t="s">
        <v>243</v>
      </c>
      <c r="I468" s="66"/>
      <c r="J468" s="34"/>
      <c r="K468" s="27"/>
      <c r="L468" s="35"/>
    </row>
    <row r="469" spans="8:12" s="69" customFormat="1" ht="18.75" x14ac:dyDescent="0.3">
      <c r="H469" s="81"/>
      <c r="I469" s="78"/>
      <c r="J469" s="79"/>
      <c r="K469" s="79"/>
      <c r="L469" s="80"/>
    </row>
    <row r="470" spans="8:12" s="69" customFormat="1" ht="18.75" x14ac:dyDescent="0.3">
      <c r="H470" s="88" t="s">
        <v>244</v>
      </c>
      <c r="I470" s="43"/>
      <c r="J470" s="44"/>
      <c r="K470" s="44"/>
      <c r="L470" s="45"/>
    </row>
    <row r="471" spans="8:12" s="69" customFormat="1" ht="46.5" thickBot="1" x14ac:dyDescent="0.35">
      <c r="H471" s="65" t="s">
        <v>244</v>
      </c>
      <c r="I471" s="66"/>
      <c r="J471" s="34"/>
      <c r="K471" s="27"/>
      <c r="L471" s="35"/>
    </row>
    <row r="472" spans="8:12" s="69" customFormat="1" ht="18.75" x14ac:dyDescent="0.3">
      <c r="H472" s="81"/>
      <c r="I472" s="78"/>
      <c r="J472" s="79"/>
      <c r="K472" s="79"/>
      <c r="L472" s="80"/>
    </row>
    <row r="473" spans="8:12" s="69" customFormat="1" ht="18.75" x14ac:dyDescent="0.3">
      <c r="H473" s="88" t="s">
        <v>279</v>
      </c>
      <c r="I473" s="43"/>
      <c r="J473" s="44"/>
      <c r="K473" s="44"/>
      <c r="L473" s="45"/>
    </row>
    <row r="474" spans="8:12" s="69" customFormat="1" ht="31.5" thickBot="1" x14ac:dyDescent="0.35">
      <c r="H474" s="65" t="s">
        <v>279</v>
      </c>
      <c r="I474" s="66"/>
      <c r="J474" s="34"/>
      <c r="K474" s="27"/>
      <c r="L474" s="35"/>
    </row>
    <row r="475" spans="8:12" s="69" customFormat="1" ht="18.75" x14ac:dyDescent="0.3">
      <c r="H475" s="81"/>
      <c r="I475" s="78"/>
      <c r="J475" s="79"/>
      <c r="K475" s="79"/>
      <c r="L475" s="80"/>
    </row>
    <row r="476" spans="8:12" s="69" customFormat="1" ht="18.75" x14ac:dyDescent="0.3">
      <c r="H476" s="88" t="s">
        <v>245</v>
      </c>
      <c r="I476" s="43"/>
      <c r="J476" s="44"/>
      <c r="K476" s="44"/>
      <c r="L476" s="45"/>
    </row>
    <row r="477" spans="8:12" s="69" customFormat="1" ht="18.75" x14ac:dyDescent="0.3">
      <c r="H477" s="48" t="s">
        <v>246</v>
      </c>
      <c r="I477" s="46"/>
      <c r="J477" s="32"/>
      <c r="K477" s="26"/>
      <c r="L477" s="33"/>
    </row>
    <row r="478" spans="8:12" s="69" customFormat="1" ht="18.75" x14ac:dyDescent="0.3">
      <c r="H478" s="48" t="s">
        <v>247</v>
      </c>
      <c r="I478" s="46"/>
      <c r="J478" s="32"/>
      <c r="K478" s="26"/>
      <c r="L478" s="33"/>
    </row>
    <row r="479" spans="8:12" s="69" customFormat="1" ht="18.75" x14ac:dyDescent="0.3">
      <c r="H479" s="48" t="s">
        <v>248</v>
      </c>
      <c r="I479" s="46"/>
      <c r="J479" s="32"/>
      <c r="K479" s="26"/>
      <c r="L479" s="33"/>
    </row>
    <row r="480" spans="8:12" s="69" customFormat="1" ht="18.75" x14ac:dyDescent="0.3">
      <c r="H480" s="48" t="s">
        <v>249</v>
      </c>
      <c r="I480" s="46"/>
      <c r="J480" s="32"/>
      <c r="K480" s="26"/>
      <c r="L480" s="33"/>
    </row>
    <row r="481" spans="8:12" s="69" customFormat="1" ht="18.75" x14ac:dyDescent="0.3">
      <c r="H481" s="48" t="s">
        <v>250</v>
      </c>
      <c r="I481" s="46"/>
      <c r="J481" s="32"/>
      <c r="K481" s="26"/>
      <c r="L481" s="33"/>
    </row>
    <row r="482" spans="8:12" s="69" customFormat="1" ht="19.5" thickBot="1" x14ac:dyDescent="0.35">
      <c r="H482" s="65" t="s">
        <v>251</v>
      </c>
      <c r="I482" s="66"/>
      <c r="J482" s="34"/>
      <c r="K482" s="27"/>
      <c r="L482" s="35"/>
    </row>
    <row r="483" spans="8:12" s="69" customFormat="1" ht="18.75" x14ac:dyDescent="0.3">
      <c r="H483" s="81"/>
      <c r="I483" s="78"/>
      <c r="J483" s="79"/>
      <c r="K483" s="79"/>
      <c r="L483" s="80"/>
    </row>
    <row r="484" spans="8:12" s="69" customFormat="1" ht="18.75" x14ac:dyDescent="0.3">
      <c r="H484" s="42" t="s">
        <v>252</v>
      </c>
      <c r="I484" s="43"/>
      <c r="J484" s="44"/>
      <c r="K484" s="44"/>
      <c r="L484" s="45"/>
    </row>
    <row r="485" spans="8:12" s="69" customFormat="1" ht="19.5" thickBot="1" x14ac:dyDescent="0.35">
      <c r="H485" s="65" t="s">
        <v>252</v>
      </c>
      <c r="I485" s="66"/>
      <c r="J485" s="34"/>
      <c r="K485" s="27"/>
      <c r="L485" s="35"/>
    </row>
    <row r="486" spans="8:12" s="69" customFormat="1" ht="18.75" x14ac:dyDescent="0.3">
      <c r="H486" s="81"/>
      <c r="I486" s="78"/>
      <c r="J486" s="79"/>
      <c r="K486" s="79"/>
      <c r="L486" s="80"/>
    </row>
    <row r="487" spans="8:12" s="69" customFormat="1" ht="18.75" x14ac:dyDescent="0.3">
      <c r="H487" s="88" t="s">
        <v>253</v>
      </c>
      <c r="I487" s="43"/>
      <c r="J487" s="44"/>
      <c r="K487" s="44"/>
      <c r="L487" s="45"/>
    </row>
    <row r="488" spans="8:12" s="69" customFormat="1" ht="31.5" thickBot="1" x14ac:dyDescent="0.35">
      <c r="H488" s="65" t="s">
        <v>253</v>
      </c>
      <c r="I488" s="66"/>
      <c r="J488" s="34"/>
      <c r="K488" s="27"/>
      <c r="L488" s="35"/>
    </row>
    <row r="489" spans="8:12" s="69" customFormat="1" ht="18.75" x14ac:dyDescent="0.3">
      <c r="H489" s="81"/>
      <c r="I489" s="78"/>
      <c r="J489" s="79"/>
      <c r="K489" s="79"/>
      <c r="L489" s="80"/>
    </row>
    <row r="490" spans="8:12" s="69" customFormat="1" ht="18.75" x14ac:dyDescent="0.3">
      <c r="H490" s="88" t="s">
        <v>280</v>
      </c>
      <c r="I490" s="43"/>
      <c r="J490" s="44"/>
      <c r="K490" s="44"/>
      <c r="L490" s="45"/>
    </row>
    <row r="491" spans="8:12" s="69" customFormat="1" ht="18.75" x14ac:dyDescent="0.3">
      <c r="H491" s="48" t="s">
        <v>281</v>
      </c>
      <c r="I491" s="46"/>
      <c r="J491" s="32"/>
      <c r="K491" s="26"/>
      <c r="L491" s="33"/>
    </row>
    <row r="492" spans="8:12" s="69" customFormat="1" ht="30.75" x14ac:dyDescent="0.3">
      <c r="H492" s="48" t="s">
        <v>282</v>
      </c>
      <c r="I492" s="46"/>
      <c r="J492" s="32"/>
      <c r="K492" s="26"/>
      <c r="L492" s="33"/>
    </row>
    <row r="493" spans="8:12" s="69" customFormat="1" ht="18.75" x14ac:dyDescent="0.3">
      <c r="H493" s="92" t="s">
        <v>283</v>
      </c>
      <c r="I493" s="46" t="s">
        <v>284</v>
      </c>
      <c r="J493" s="32"/>
      <c r="K493" s="26"/>
      <c r="L493" s="33"/>
    </row>
    <row r="494" spans="8:12" s="69" customFormat="1" ht="18.75" x14ac:dyDescent="0.3">
      <c r="H494" s="92"/>
      <c r="I494" s="46" t="s">
        <v>285</v>
      </c>
      <c r="J494" s="32"/>
      <c r="K494" s="26"/>
      <c r="L494" s="33"/>
    </row>
    <row r="495" spans="8:12" s="69" customFormat="1" ht="18.75" x14ac:dyDescent="0.3">
      <c r="H495" s="92"/>
      <c r="I495" s="46" t="s">
        <v>286</v>
      </c>
      <c r="J495" s="32"/>
      <c r="K495" s="26"/>
      <c r="L495" s="33"/>
    </row>
    <row r="496" spans="8:12" s="69" customFormat="1" ht="18.75" x14ac:dyDescent="0.3">
      <c r="H496" s="48" t="s">
        <v>287</v>
      </c>
      <c r="I496" s="46"/>
      <c r="J496" s="32"/>
      <c r="K496" s="26"/>
      <c r="L496" s="33"/>
    </row>
    <row r="497" spans="8:12" s="69" customFormat="1" ht="18.75" x14ac:dyDescent="0.3">
      <c r="H497" s="48" t="s">
        <v>551</v>
      </c>
      <c r="I497" s="46"/>
      <c r="J497" s="32"/>
      <c r="K497" s="26"/>
      <c r="L497" s="33"/>
    </row>
    <row r="498" spans="8:12" s="69" customFormat="1" ht="19.5" thickBot="1" x14ac:dyDescent="0.35">
      <c r="H498" s="65" t="s">
        <v>552</v>
      </c>
      <c r="I498" s="66"/>
      <c r="J498" s="34"/>
      <c r="K498" s="27"/>
      <c r="L498" s="35"/>
    </row>
    <row r="499" spans="8:12" s="69" customFormat="1" ht="18.75" x14ac:dyDescent="0.3">
      <c r="H499" s="60"/>
      <c r="I499" s="60"/>
      <c r="J499" s="61"/>
      <c r="K499" s="61"/>
      <c r="L499" s="61"/>
    </row>
    <row r="500" spans="8:12" s="69" customFormat="1" ht="37.5" customHeight="1" x14ac:dyDescent="0.3">
      <c r="H500" s="70"/>
      <c r="I500" s="70"/>
      <c r="K500" s="68"/>
    </row>
    <row r="501" spans="8:12" s="69" customFormat="1" ht="22.5" customHeight="1" x14ac:dyDescent="0.3">
      <c r="H501" s="70"/>
      <c r="I501" s="70"/>
      <c r="K501" s="68"/>
    </row>
    <row r="502" spans="8:12" s="69" customFormat="1" ht="18.75" customHeight="1" x14ac:dyDescent="0.3">
      <c r="H502" s="70"/>
      <c r="I502" s="70"/>
      <c r="K502" s="68"/>
    </row>
    <row r="503" spans="8:12" s="69" customFormat="1" ht="18.75" x14ac:dyDescent="0.3">
      <c r="H503" s="70"/>
      <c r="I503" s="70"/>
      <c r="K503" s="68"/>
    </row>
    <row r="504" spans="8:12" s="69" customFormat="1" ht="18.75" x14ac:dyDescent="0.3">
      <c r="H504" s="70"/>
      <c r="I504" s="70"/>
      <c r="K504" s="68"/>
    </row>
    <row r="505" spans="8:12" s="69" customFormat="1" ht="18.75" x14ac:dyDescent="0.3">
      <c r="H505" s="70"/>
      <c r="I505" s="70"/>
      <c r="K505" s="68"/>
    </row>
  </sheetData>
  <sheetProtection password="CAA9" sheet="1" objects="1" scenarios="1" formatCells="0" formatColumns="0" formatRows="0"/>
  <protectedRanges>
    <protectedRange sqref="J491:L498" name="Adverse weather oversight 6.8"/>
    <protectedRange sqref="J455:L458" name="Load sheet 5.7"/>
    <protectedRange sqref="J449:L452" name="Load planning 5.6"/>
    <protectedRange sqref="J446:L446" name="Information Exchange 5.5"/>
    <protectedRange sqref="J442:L443" name="Load control process flow 5.4"/>
    <protectedRange sqref="J437:L439" name="Regulatory reqs 5.3"/>
    <protectedRange sqref="J434:L434" name="Load control principles 5.2"/>
    <protectedRange sqref="J431:L431" name="Load control intro 5.1"/>
    <protectedRange sqref="J187:J190 L187:L190" name="Mishandled Baggage 2.6"/>
    <protectedRange sqref="J175:J184 L175:L184" name="Baggage Security 2.5"/>
    <protectedRange sqref="J144:J161 L144:L161" name="Special Baggage 2.3"/>
    <protectedRange sqref="J129:J133 L129:L133" name="Cabin Baggage 2.1"/>
    <protectedRange sqref="J69:J116 L69:L116" name="Special Categories 1.4"/>
    <protectedRange sqref="J48:J53 L48:L53" name="Passenger Security 1.2"/>
    <protectedRange sqref="J17:L46 K48:K53 K56:K66 K69:K116 K119:K125 K129:K133 K136:K141 K144:K161 K164:K172 K175:K184 K187:K190 K194:K207 K215:K219 K222:K279 K282:K287 K290:K293 K296:K303" name="Passenger Departure 1.1"/>
    <protectedRange sqref="J56:J66 L56:L66" name="Passenger Arrival Transfer 1.3"/>
    <protectedRange sqref="J119:J125 L119:L125" name="Passenger Irregularities"/>
    <protectedRange sqref="J136:J141 L136:L141" name="Checked Baggage 2.2"/>
    <protectedRange sqref="J164:J172 L164:L172" name="Baggage Handling"/>
    <protectedRange sqref="J194:J207 L194:L207" name="Cargo Acceptance 3.1"/>
    <protectedRange sqref="J210:L213" name="Cargo Acceptance 3.2"/>
    <protectedRange sqref="J215:J219 L215:L219" name="Mail 3.3"/>
    <protectedRange sqref="J222:J279 L222:L279" name="Cargo Forwarding 3.4"/>
    <protectedRange sqref="J304:L304 J296:J303 L296:L303" name="Cargo Surface transportation 3.7"/>
    <protectedRange sqref="J308:L312" name="Ramp safety 4.1"/>
    <protectedRange sqref="J315:L317" name="Potable water 4.2"/>
    <protectedRange sqref="J320:L324" name="Toilet Servicing 4.3"/>
    <protectedRange sqref="J327:L338" name="Aircraft Doors 4.10"/>
    <protectedRange sqref="J341:L373" name="Aircraft Loading 4.11"/>
    <protectedRange sqref="J415:L415 J383:L406" name="Aircraft Departure 4.12"/>
    <protectedRange sqref="J421:L426" name="Aircraft Towing 4.13"/>
    <protectedRange sqref="I465:L465" name="Airside safety 6.1"/>
    <protectedRange sqref="J468:L468" name="Supervision scope 6.2"/>
    <protectedRange sqref="J471:L471" name="Turnaround 6.3"/>
    <protectedRange sqref="J474:L474" name="Reporting incidents 6.4"/>
    <protectedRange sqref="J477:L482" name="Airside safety 6.5"/>
    <protectedRange sqref="J485:L485" name="Monitoring procedures 6.6"/>
    <protectedRange sqref="J488:L488" name="Emergency Response 6.7"/>
  </protectedRanges>
  <mergeCells count="60">
    <mergeCell ref="H422:H424"/>
    <mergeCell ref="H382:H383"/>
    <mergeCell ref="H384:H391"/>
    <mergeCell ref="H392:H393"/>
    <mergeCell ref="H394:H398"/>
    <mergeCell ref="H399:H400"/>
    <mergeCell ref="H401:H402"/>
    <mergeCell ref="H44:H45"/>
    <mergeCell ref="H48:H51"/>
    <mergeCell ref="H144:H145"/>
    <mergeCell ref="H154:H158"/>
    <mergeCell ref="H159:H161"/>
    <mergeCell ref="H59:H66"/>
    <mergeCell ref="H69:H73"/>
    <mergeCell ref="H74:H82"/>
    <mergeCell ref="H83:H85"/>
    <mergeCell ref="H86:H88"/>
    <mergeCell ref="H89:H94"/>
    <mergeCell ref="H95:H100"/>
    <mergeCell ref="H104:H112"/>
    <mergeCell ref="H113:H116"/>
    <mergeCell ref="H120:H122"/>
    <mergeCell ref="H129:H130"/>
    <mergeCell ref="H17:H18"/>
    <mergeCell ref="H20:H31"/>
    <mergeCell ref="H35:H37"/>
    <mergeCell ref="H38:H40"/>
    <mergeCell ref="H41:H43"/>
    <mergeCell ref="H33:H34"/>
    <mergeCell ref="H131:H133"/>
    <mergeCell ref="H136:H137"/>
    <mergeCell ref="H146:H147"/>
    <mergeCell ref="H360:H362"/>
    <mergeCell ref="H366:H369"/>
    <mergeCell ref="H250:H265"/>
    <mergeCell ref="H266:H273"/>
    <mergeCell ref="H274:H279"/>
    <mergeCell ref="H284:H287"/>
    <mergeCell ref="H292:H293"/>
    <mergeCell ref="H195:H198"/>
    <mergeCell ref="H199:H207"/>
    <mergeCell ref="H224:H240"/>
    <mergeCell ref="H241:H246"/>
    <mergeCell ref="H247:H249"/>
    <mergeCell ref="H371:H373"/>
    <mergeCell ref="H493:H495"/>
    <mergeCell ref="H149:H152"/>
    <mergeCell ref="H336:H338"/>
    <mergeCell ref="H341:H343"/>
    <mergeCell ref="H344:H350"/>
    <mergeCell ref="H353:H357"/>
    <mergeCell ref="H296:H300"/>
    <mergeCell ref="H309:H310"/>
    <mergeCell ref="H311:H312"/>
    <mergeCell ref="H328:H335"/>
    <mergeCell ref="H164:H165"/>
    <mergeCell ref="H170:H172"/>
    <mergeCell ref="H177:H180"/>
    <mergeCell ref="H409:H410"/>
    <mergeCell ref="H414:H415"/>
  </mergeCells>
  <conditionalFormatting sqref="L2">
    <cfRule type="containsText" dxfId="790" priority="2012" operator="containsText" text="Less">
      <formula>NOT(ISERROR(SEARCH("Less",L2)))</formula>
    </cfRule>
    <cfRule type="containsText" dxfId="789" priority="2013" operator="containsText" text="More">
      <formula>NOT(ISERROR(SEARCH("More",L2)))</formula>
    </cfRule>
    <cfRule type="containsText" dxfId="788" priority="2014" operator="containsText" text="Conformity">
      <formula>NOT(ISERROR(SEARCH("Conformity",L2)))</formula>
    </cfRule>
  </conditionalFormatting>
  <dataValidations count="1">
    <dataValidation type="list" allowBlank="1" showInputMessage="1" showErrorMessage="1" sqref="K421:K426 K491:K498 K119:K125 K129:K133 K136:K141 K144:K161 K164:K172 K175:K184 K210:K212 K194:K207 K215:K219 K290:K293 K308:K312 K315:K317 K320:K324 K327:K338 K431 K434 K437:K439 K442:K443 K446 K449:K452 K455:K458 K461 K465 K468 K471 K474 K477:K482 K485 K488 K69:K116 K17:K45 K48:K53 K187:K190 K341:K373 K408:K415 K376:K404 K418 K56:K66 K222:K279 K282:K287 K296:K304">
      <formula1>$X$3:$X$6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77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3" operator="containsText" id="{F233BE22-CF2F-4BDA-B0A3-F9312E2550D9}">
            <xm:f>NOT(ISERROR(SEARCH($X$6,K1)))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54" operator="containsText" id="{50810062-EF86-458F-9E57-5AA2EE6F699D}">
            <xm:f>NOT(ISERROR(SEARCH($X$5,K1)))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55" operator="containsText" id="{98F0E64B-B5F2-4A9C-BFB2-4B7660CE8CAB}">
            <xm:f>NOT(ISERROR(SEARCH($X$4,K1)))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56" operator="containsText" id="{49572841-0A7A-4C2F-96FB-B20DD6D5D11B}">
            <xm:f>NOT(ISERROR(SEARCH($X$3,K1)))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K500:K1048576 K1:K14 K496:K498 K17:K45 K56:K66 K69:K116 K119:K125</xm:sqref>
        </x14:conditionalFormatting>
        <x14:conditionalFormatting xmlns:xm="http://schemas.microsoft.com/office/excel/2006/main">
          <x14:cfRule type="containsText" priority="1729" operator="containsText" id="{80C57E70-C938-4983-AE1C-963AD460009F}">
            <xm:f>NOT(ISERROR(SEARCH($W$6,J128)))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30" operator="containsText" id="{22EA7B5F-8A81-407C-8753-A530E49841CB}">
            <xm:f>NOT(ISERROR(SEARCH($W$5,J128)))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31" operator="containsText" id="{D93DB382-BE07-48F0-8662-D1937E9FB4E0}">
            <xm:f>NOT(ISERROR(SEARCH($W$4,J128)))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32" operator="containsText" id="{07360050-502D-4439-8234-0B29C0034095}">
            <xm:f>NOT(ISERROR(SEARCH($W$3,J128)))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J128 L128</xm:sqref>
        </x14:conditionalFormatting>
        <x14:conditionalFormatting xmlns:xm="http://schemas.microsoft.com/office/excel/2006/main">
          <x14:cfRule type="containsText" priority="1749" operator="containsText" id="{FE66298C-BA2F-426B-A0AE-24860654614E}">
            <xm:f>NOT(ISERROR(SEARCH($W$6,J16)))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50" operator="containsText" id="{3ABC476E-A484-4E8B-92A5-5C62EB9B459E}">
            <xm:f>NOT(ISERROR(SEARCH($W$5,J16)))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51" operator="containsText" id="{6FA59BB5-F681-40F1-9D12-AEB239CE7193}">
            <xm:f>NOT(ISERROR(SEARCH($W$4,J16)))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52" operator="containsText" id="{DD8410DA-82F6-4C33-B1AB-D1090B9F9C16}">
            <xm:f>NOT(ISERROR(SEARCH($W$3,J16)))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 L16</xm:sqref>
        </x14:conditionalFormatting>
        <x14:conditionalFormatting xmlns:xm="http://schemas.microsoft.com/office/excel/2006/main">
          <x14:cfRule type="containsText" priority="1745" operator="containsText" id="{AFF4D8DC-EF76-4A46-9098-E2833E4686E8}">
            <xm:f>NOT(ISERROR(SEARCH($W$6,J47)))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46" operator="containsText" id="{E1423C81-340D-492B-A5D2-77EFE3E7DA4E}">
            <xm:f>NOT(ISERROR(SEARCH($W$5,J47)))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47" operator="containsText" id="{813051E7-CE7D-408C-AB17-AB0A30DB42BC}">
            <xm:f>NOT(ISERROR(SEARCH($W$4,J47)))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48" operator="containsText" id="{F0572063-E324-4FCD-97BE-74C1EF94501C}">
            <xm:f>NOT(ISERROR(SEARCH($W$3,J47)))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 L47</xm:sqref>
        </x14:conditionalFormatting>
        <x14:conditionalFormatting xmlns:xm="http://schemas.microsoft.com/office/excel/2006/main">
          <x14:cfRule type="containsText" priority="1741" operator="containsText" id="{72BFF0FE-3107-4278-BB4A-DD4D168ABB89}">
            <xm:f>NOT(ISERROR(SEARCH($W$6,J55)))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42" operator="containsText" id="{501B8A27-5838-4D17-8F05-A35EBCE3FFA9}">
            <xm:f>NOT(ISERROR(SEARCH($W$5,J55)))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43" operator="containsText" id="{FA896266-D750-4E99-9389-D2DD353B33A7}">
            <xm:f>NOT(ISERROR(SEARCH($W$4,J55)))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44" operator="containsText" id="{63AEDCCA-D10E-4EFE-9478-B40046D3ECC5}">
            <xm:f>NOT(ISERROR(SEARCH($W$3,J55)))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J55 L55</xm:sqref>
        </x14:conditionalFormatting>
        <x14:conditionalFormatting xmlns:xm="http://schemas.microsoft.com/office/excel/2006/main">
          <x14:cfRule type="containsText" priority="1737" operator="containsText" id="{FDEB8A16-E411-4030-9A96-844E681226B7}">
            <xm:f>NOT(ISERROR(SEARCH($W$6,J68)))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38" operator="containsText" id="{077CC90B-D199-4090-A4BC-4299770C3F6E}">
            <xm:f>NOT(ISERROR(SEARCH($W$5,J68)))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39" operator="containsText" id="{29E0279B-2648-49B8-9AC1-909387A0733A}">
            <xm:f>NOT(ISERROR(SEARCH($W$4,J68)))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40" operator="containsText" id="{B7E16853-C560-461D-AAC6-A4F8EC1BBB5C}">
            <xm:f>NOT(ISERROR(SEARCH($W$3,J68)))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J68 L68</xm:sqref>
        </x14:conditionalFormatting>
        <x14:conditionalFormatting xmlns:xm="http://schemas.microsoft.com/office/excel/2006/main">
          <x14:cfRule type="containsText" priority="1733" operator="containsText" id="{85FDBB30-030B-4923-8FBA-9E97D20B0A0B}">
            <xm:f>NOT(ISERROR(SEARCH($W$6,J118)))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34" operator="containsText" id="{B33C8BF9-C828-4986-B937-E6A5D4D3027C}">
            <xm:f>NOT(ISERROR(SEARCH($W$5,J118)))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35" operator="containsText" id="{D1239D11-8C30-4244-AD9B-E767514B9227}">
            <xm:f>NOT(ISERROR(SEARCH($W$4,J118)))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36" operator="containsText" id="{8A007675-5D38-417C-B5CA-D481DD84F333}">
            <xm:f>NOT(ISERROR(SEARCH($W$3,J118)))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J118 L118</xm:sqref>
        </x14:conditionalFormatting>
        <x14:conditionalFormatting xmlns:xm="http://schemas.microsoft.com/office/excel/2006/main">
          <x14:cfRule type="containsText" priority="1725" operator="containsText" id="{6F309438-75FA-4F18-8A0A-34FD3B4EE0CD}">
            <xm:f>NOT(ISERROR(SEARCH($W$6,J135)))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26" operator="containsText" id="{43295D74-17F7-4541-8165-6EBFDE4951CB}">
            <xm:f>NOT(ISERROR(SEARCH($W$5,J135)))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27" operator="containsText" id="{A31714BF-0DDB-403F-B84B-0F09C296E5CD}">
            <xm:f>NOT(ISERROR(SEARCH($W$4,J135)))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28" operator="containsText" id="{B86FA740-03E6-4610-B626-2411E767EA87}">
            <xm:f>NOT(ISERROR(SEARCH($W$3,J135)))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J135 L135</xm:sqref>
        </x14:conditionalFormatting>
        <x14:conditionalFormatting xmlns:xm="http://schemas.microsoft.com/office/excel/2006/main">
          <x14:cfRule type="containsText" priority="1721" operator="containsText" id="{ED88B18A-5ED5-4F65-A736-B6BA4AC620FC}">
            <xm:f>NOT(ISERROR(SEARCH($W$6,J143)))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22" operator="containsText" id="{8001EF00-5395-4BEC-ADF6-6D06E2E72990}">
            <xm:f>NOT(ISERROR(SEARCH($W$5,J143)))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23" operator="containsText" id="{8CE67E94-8366-4E4F-B76A-37AF7B59FD90}">
            <xm:f>NOT(ISERROR(SEARCH($W$4,J143)))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24" operator="containsText" id="{C1FA5942-BE57-463C-8E6D-7E1BD4AB1303}">
            <xm:f>NOT(ISERROR(SEARCH($W$3,J143)))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J143 L143</xm:sqref>
        </x14:conditionalFormatting>
        <x14:conditionalFormatting xmlns:xm="http://schemas.microsoft.com/office/excel/2006/main">
          <x14:cfRule type="containsText" priority="1717" operator="containsText" id="{A52C89B0-4900-40FD-B06D-DCE64246AB49}">
            <xm:f>NOT(ISERROR(SEARCH($W$6,J163)))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18" operator="containsText" id="{BDBDC8A3-5C09-46D2-AD0D-82AE3F09F398}">
            <xm:f>NOT(ISERROR(SEARCH($W$5,J163)))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19" operator="containsText" id="{9CF195D9-B88F-400F-874E-22337FC44D94}">
            <xm:f>NOT(ISERROR(SEARCH($W$4,J163)))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20" operator="containsText" id="{F86277BB-FC38-4667-9A6C-0BF0628953C7}">
            <xm:f>NOT(ISERROR(SEARCH($W$3,J163)))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J163 L163</xm:sqref>
        </x14:conditionalFormatting>
        <x14:conditionalFormatting xmlns:xm="http://schemas.microsoft.com/office/excel/2006/main">
          <x14:cfRule type="containsText" priority="1713" operator="containsText" id="{8B44AC96-C3B6-4806-B888-0CE959FB42DB}">
            <xm:f>NOT(ISERROR(SEARCH($W$6,J174)))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14" operator="containsText" id="{168DF6F9-B2A8-4D3C-AAAA-A187ADF7A9B6}">
            <xm:f>NOT(ISERROR(SEARCH($W$5,J174)))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15" operator="containsText" id="{5184D13F-AACB-4D95-81D3-4BA79D573F9B}">
            <xm:f>NOT(ISERROR(SEARCH($W$4,J174)))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16" operator="containsText" id="{42C76DEC-AA3C-4DEE-A709-E365E0AD69B7}">
            <xm:f>NOT(ISERROR(SEARCH($W$3,J174)))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J174 L174</xm:sqref>
        </x14:conditionalFormatting>
        <x14:conditionalFormatting xmlns:xm="http://schemas.microsoft.com/office/excel/2006/main">
          <x14:cfRule type="containsText" priority="1709" operator="containsText" id="{68FE0C9B-2267-4D81-A0D2-A66D6415DF88}">
            <xm:f>NOT(ISERROR(SEARCH($W$6,J186)))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10" operator="containsText" id="{AFE39DD6-EC87-4E6E-87A8-20BD86CC5079}">
            <xm:f>NOT(ISERROR(SEARCH($W$5,J186)))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11" operator="containsText" id="{D0EDE691-B67B-4B1D-8C1D-326870C24DC3}">
            <xm:f>NOT(ISERROR(SEARCH($W$4,J186)))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12" operator="containsText" id="{289F9959-2380-4D25-8D9C-61CAF3F8F6BB}">
            <xm:f>NOT(ISERROR(SEARCH($W$3,J186)))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J186 L186</xm:sqref>
        </x14:conditionalFormatting>
        <x14:conditionalFormatting xmlns:xm="http://schemas.microsoft.com/office/excel/2006/main">
          <x14:cfRule type="containsText" priority="1705" operator="containsText" id="{32F9CD66-1405-4856-95A4-8D0B672D0843}">
            <xm:f>NOT(ISERROR(SEARCH($W$6,J193)))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06" operator="containsText" id="{B8B1C983-E0BE-4B94-9D63-36D95BEDD324}">
            <xm:f>NOT(ISERROR(SEARCH($W$5,J193)))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07" operator="containsText" id="{C9619F70-4126-4903-BE4E-AF152E9D9A12}">
            <xm:f>NOT(ISERROR(SEARCH($W$4,J193)))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08" operator="containsText" id="{4C4E12A6-5521-400C-93C7-A0D3C667E201}">
            <xm:f>NOT(ISERROR(SEARCH($W$3,J193)))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J193 L193</xm:sqref>
        </x14:conditionalFormatting>
        <x14:conditionalFormatting xmlns:xm="http://schemas.microsoft.com/office/excel/2006/main">
          <x14:cfRule type="containsText" priority="1701" operator="containsText" id="{4D6D62AB-C1A3-4F5D-B4C8-1AC1CBB0410A}">
            <xm:f>NOT(ISERROR(SEARCH($W$6,J209)))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02" operator="containsText" id="{D24E72E0-17A7-4CB3-8172-05558FEB0868}">
            <xm:f>NOT(ISERROR(SEARCH($W$5,J209)))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03" operator="containsText" id="{9155F850-2E9F-48A2-96FF-9AD938A92F74}">
            <xm:f>NOT(ISERROR(SEARCH($W$4,J209)))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04" operator="containsText" id="{75B65BDA-1D4B-4D5F-BF41-B85D9AFA4C0F}">
            <xm:f>NOT(ISERROR(SEARCH($W$3,J209)))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J209 L209</xm:sqref>
        </x14:conditionalFormatting>
        <x14:conditionalFormatting xmlns:xm="http://schemas.microsoft.com/office/excel/2006/main">
          <x14:cfRule type="containsText" priority="1697" operator="containsText" id="{132215E0-8942-4305-B3C7-6BDE19B27A15}">
            <xm:f>NOT(ISERROR(SEARCH($W$6,J214)))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98" operator="containsText" id="{8482E870-E957-453A-BFF3-67A9D92B3C34}">
            <xm:f>NOT(ISERROR(SEARCH($W$5,J214)))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99" operator="containsText" id="{7A3DD8CA-53CE-4A19-9870-AFDEDFF7A9EA}">
            <xm:f>NOT(ISERROR(SEARCH($W$4,J214)))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00" operator="containsText" id="{9AC831D0-E1A8-4B79-ACCE-56B58360D425}">
            <xm:f>NOT(ISERROR(SEARCH($W$3,J214)))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J214 L214</xm:sqref>
        </x14:conditionalFormatting>
        <x14:conditionalFormatting xmlns:xm="http://schemas.microsoft.com/office/excel/2006/main">
          <x14:cfRule type="containsText" priority="1693" operator="containsText" id="{C3D9522E-72F0-44B2-938A-E0C1BF95E6D1}">
            <xm:f>NOT(ISERROR(SEARCH($W$6,J221)))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94" operator="containsText" id="{0C0CB57A-AF7F-4778-955D-504BA11E8361}">
            <xm:f>NOT(ISERROR(SEARCH($W$5,J221)))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95" operator="containsText" id="{E6B870DE-56EE-45CC-87ED-EE1975365437}">
            <xm:f>NOT(ISERROR(SEARCH($W$4,J221)))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96" operator="containsText" id="{EED59D92-1A1E-436B-A0B4-0DA3188030F7}">
            <xm:f>NOT(ISERROR(SEARCH($W$3,J221)))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J221 L221</xm:sqref>
        </x14:conditionalFormatting>
        <x14:conditionalFormatting xmlns:xm="http://schemas.microsoft.com/office/excel/2006/main">
          <x14:cfRule type="containsText" priority="1689" operator="containsText" id="{C4C90518-2902-4129-9755-E3EF5C5293DE}">
            <xm:f>NOT(ISERROR(SEARCH($W$6,J281)))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90" operator="containsText" id="{AFBFDB4C-E097-498B-B065-6A037C756445}">
            <xm:f>NOT(ISERROR(SEARCH($W$5,J281)))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91" operator="containsText" id="{709C7E9A-2650-4823-B2C1-601B61AEE7A4}">
            <xm:f>NOT(ISERROR(SEARCH($W$4,J281)))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92" operator="containsText" id="{810B7F14-D0A5-434A-8B2E-D5F4C92174FC}">
            <xm:f>NOT(ISERROR(SEARCH($W$3,J281)))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J281 L281</xm:sqref>
        </x14:conditionalFormatting>
        <x14:conditionalFormatting xmlns:xm="http://schemas.microsoft.com/office/excel/2006/main">
          <x14:cfRule type="containsText" priority="1685" operator="containsText" id="{96707D4F-1438-43D9-9602-0D2B108B828E}">
            <xm:f>NOT(ISERROR(SEARCH($W$6,J289)))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86" operator="containsText" id="{549DDB6F-BDB6-4E71-9A1E-CEC12E057F72}">
            <xm:f>NOT(ISERROR(SEARCH($W$5,J289)))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87" operator="containsText" id="{B400EF4A-7787-4438-B442-DD1BE8F63F61}">
            <xm:f>NOT(ISERROR(SEARCH($W$4,J289)))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88" operator="containsText" id="{BA90300B-4CA1-45AA-B4A6-A4D775E8D869}">
            <xm:f>NOT(ISERROR(SEARCH($W$3,J289)))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J289 L289</xm:sqref>
        </x14:conditionalFormatting>
        <x14:conditionalFormatting xmlns:xm="http://schemas.microsoft.com/office/excel/2006/main">
          <x14:cfRule type="containsText" priority="1681" operator="containsText" id="{FFCB775A-D7B9-4E70-9DAA-77F63B6A0C2E}">
            <xm:f>NOT(ISERROR(SEARCH($W$6,J295)))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82" operator="containsText" id="{88E048E6-9C4C-46EE-A8DB-A28E948B1906}">
            <xm:f>NOT(ISERROR(SEARCH($W$5,J295)))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83" operator="containsText" id="{567A89BA-71AB-4C58-8DFB-2EEF01CBB0FE}">
            <xm:f>NOT(ISERROR(SEARCH($W$4,J295)))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84" operator="containsText" id="{9A81D187-40FC-4542-9C13-8D5A9F33BB5A}">
            <xm:f>NOT(ISERROR(SEARCH($W$3,J295)))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J295 L295</xm:sqref>
        </x14:conditionalFormatting>
        <x14:conditionalFormatting xmlns:xm="http://schemas.microsoft.com/office/excel/2006/main">
          <x14:cfRule type="containsText" priority="1669" operator="containsText" id="{9B77852E-A23A-43C3-9DE7-3C9E9561CF43}">
            <xm:f>NOT(ISERROR(SEARCH($W$6,J314)))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70" operator="containsText" id="{B7019C41-16EF-4AAB-80AF-4E4D39B2F738}">
            <xm:f>NOT(ISERROR(SEARCH($W$5,J314)))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71" operator="containsText" id="{CEA5BB1A-488C-49E0-9BEB-D97973976B72}">
            <xm:f>NOT(ISERROR(SEARCH($W$4,J314)))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72" operator="containsText" id="{7517FF26-4DBE-47BE-918D-BE8EA76186D6}">
            <xm:f>NOT(ISERROR(SEARCH($W$3,J314)))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J314 L314</xm:sqref>
        </x14:conditionalFormatting>
        <x14:conditionalFormatting xmlns:xm="http://schemas.microsoft.com/office/excel/2006/main">
          <x14:cfRule type="containsText" priority="1673" operator="containsText" id="{431BC1AF-7DFE-4FA4-BAF7-F59C7D49AB7B}">
            <xm:f>NOT(ISERROR(SEARCH($W$6,J307)))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74" operator="containsText" id="{4A6DE673-8009-481D-85F4-23F0C750F01F}">
            <xm:f>NOT(ISERROR(SEARCH($W$5,J307)))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75" operator="containsText" id="{2ED50699-92FE-47F1-A118-742AD0803E12}">
            <xm:f>NOT(ISERROR(SEARCH($W$4,J307)))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76" operator="containsText" id="{8F2399A9-3E6D-42BE-B27A-8605E41F1A86}">
            <xm:f>NOT(ISERROR(SEARCH($W$3,J307)))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J307 L307</xm:sqref>
        </x14:conditionalFormatting>
        <x14:conditionalFormatting xmlns:xm="http://schemas.microsoft.com/office/excel/2006/main">
          <x14:cfRule type="containsText" priority="1665" operator="containsText" id="{B3553184-796C-4D2A-A8F8-A82DA145DFFC}">
            <xm:f>NOT(ISERROR(SEARCH($W$6,J319)))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66" operator="containsText" id="{EFB0081A-307F-4DE6-9E5E-BAFE8068B0E9}">
            <xm:f>NOT(ISERROR(SEARCH($W$5,J319)))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67" operator="containsText" id="{BDD4F657-1BDF-4FFF-ABA5-12FA4D1826E5}">
            <xm:f>NOT(ISERROR(SEARCH($W$4,J319)))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68" operator="containsText" id="{B6B3BCCB-7F16-4D4E-9FFD-308DC01574D5}">
            <xm:f>NOT(ISERROR(SEARCH($W$3,J319)))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J319 L319</xm:sqref>
        </x14:conditionalFormatting>
        <x14:conditionalFormatting xmlns:xm="http://schemas.microsoft.com/office/excel/2006/main">
          <x14:cfRule type="containsText" priority="1621" operator="containsText" id="{AFE16804-3421-4B6F-AF6E-B4FD77A4B883}">
            <xm:f>NOT(ISERROR(SEARCH($W$6,J430)))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22" operator="containsText" id="{BE10CA91-CB89-4920-B988-8F143CACDD51}">
            <xm:f>NOT(ISERROR(SEARCH($W$5,J430)))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23" operator="containsText" id="{6423549B-2648-4017-902F-EB3965F05BA6}">
            <xm:f>NOT(ISERROR(SEARCH($W$4,J430)))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24" operator="containsText" id="{90CDF698-4984-499C-A664-F764DA74B476}">
            <xm:f>NOT(ISERROR(SEARCH($W$3,J430)))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J430 L430</xm:sqref>
        </x14:conditionalFormatting>
        <x14:conditionalFormatting xmlns:xm="http://schemas.microsoft.com/office/excel/2006/main">
          <x14:cfRule type="containsText" priority="1617" operator="containsText" id="{B31E232A-10B6-4B9E-AB99-09E31AB45041}">
            <xm:f>NOT(ISERROR(SEARCH($W$6,J433)))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18" operator="containsText" id="{E5188081-528F-4BBD-99A0-2ED82EA72D92}">
            <xm:f>NOT(ISERROR(SEARCH($W$5,J433)))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19" operator="containsText" id="{C8A091DE-E5C0-417F-BEC5-9DCC23348BFE}">
            <xm:f>NOT(ISERROR(SEARCH($W$4,J433)))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20" operator="containsText" id="{CE53A17F-9D75-4A17-AD08-B8BCF0A7D902}">
            <xm:f>NOT(ISERROR(SEARCH($W$3,J433)))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J433 L433</xm:sqref>
        </x14:conditionalFormatting>
        <x14:conditionalFormatting xmlns:xm="http://schemas.microsoft.com/office/excel/2006/main">
          <x14:cfRule type="containsText" priority="1613" operator="containsText" id="{E94C7E3E-7D26-4BE3-BEB9-400ABFA7474C}">
            <xm:f>NOT(ISERROR(SEARCH($W$6,J436)))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14" operator="containsText" id="{E1DB2715-31C1-437F-B09A-206D7DB23B5A}">
            <xm:f>NOT(ISERROR(SEARCH($W$5,J436)))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15" operator="containsText" id="{93E24A37-5B09-4632-A71D-5E2CFBE7A09C}">
            <xm:f>NOT(ISERROR(SEARCH($W$4,J436)))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16" operator="containsText" id="{03CA81D6-28A7-4E56-8D85-332A6D3F3AB6}">
            <xm:f>NOT(ISERROR(SEARCH($W$3,J436)))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J436 L436</xm:sqref>
        </x14:conditionalFormatting>
        <x14:conditionalFormatting xmlns:xm="http://schemas.microsoft.com/office/excel/2006/main">
          <x14:cfRule type="containsText" priority="1609" operator="containsText" id="{5AB32FD1-B101-4561-B7A7-DB4CC6041848}">
            <xm:f>NOT(ISERROR(SEARCH($W$6,J441)))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10" operator="containsText" id="{9E711B36-8936-4B7C-A2EA-2EAC1EAAD4AA}">
            <xm:f>NOT(ISERROR(SEARCH($W$5,J441)))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11" operator="containsText" id="{34BD9B6F-A1EB-4D18-AE0B-42B7126DD613}">
            <xm:f>NOT(ISERROR(SEARCH($W$4,J441)))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12" operator="containsText" id="{04E03630-7E98-4EBB-8EBC-1ECD3AFD6E73}">
            <xm:f>NOT(ISERROR(SEARCH($W$3,J441)))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J441 L441</xm:sqref>
        </x14:conditionalFormatting>
        <x14:conditionalFormatting xmlns:xm="http://schemas.microsoft.com/office/excel/2006/main">
          <x14:cfRule type="containsText" priority="1605" operator="containsText" id="{797C1B11-7B13-4B92-877E-9C41F094E971}">
            <xm:f>NOT(ISERROR(SEARCH($W$6,J445)))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06" operator="containsText" id="{F8CC8333-0310-401D-9BC1-4BB9D7A17A3B}">
            <xm:f>NOT(ISERROR(SEARCH($W$5,J445)))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07" operator="containsText" id="{05147E30-BE57-4F84-8FC9-97DA775DFF76}">
            <xm:f>NOT(ISERROR(SEARCH($W$4,J445)))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08" operator="containsText" id="{1112A524-94D8-406C-B6F5-F1F681EDE785}">
            <xm:f>NOT(ISERROR(SEARCH($W$3,J445)))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J445 L445</xm:sqref>
        </x14:conditionalFormatting>
        <x14:conditionalFormatting xmlns:xm="http://schemas.microsoft.com/office/excel/2006/main">
          <x14:cfRule type="containsText" priority="1601" operator="containsText" id="{67887DF0-A36F-4572-9FDE-0440D62C5163}">
            <xm:f>NOT(ISERROR(SEARCH($W$6,J448)))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02" operator="containsText" id="{3E1D4C92-E95B-451A-A21B-7049993E5F34}">
            <xm:f>NOT(ISERROR(SEARCH($W$5,J448)))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03" operator="containsText" id="{ED701A4D-15B3-4CA2-83D1-C8328FB34981}">
            <xm:f>NOT(ISERROR(SEARCH($W$4,J448)))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04" operator="containsText" id="{82234F00-9A2B-448C-903E-EB846671FB7C}">
            <xm:f>NOT(ISERROR(SEARCH($W$3,J448)))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J448 L448</xm:sqref>
        </x14:conditionalFormatting>
        <x14:conditionalFormatting xmlns:xm="http://schemas.microsoft.com/office/excel/2006/main">
          <x14:cfRule type="containsText" priority="1597" operator="containsText" id="{BBB6E059-E939-4811-AF2F-7F96324B7B6B}">
            <xm:f>NOT(ISERROR(SEARCH($W$6,J454)))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98" operator="containsText" id="{4AD572B9-546B-4696-9257-7977A492D353}">
            <xm:f>NOT(ISERROR(SEARCH($W$5,J454)))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99" operator="containsText" id="{D09CF490-F691-4A40-A8B0-62D6F054219D}">
            <xm:f>NOT(ISERROR(SEARCH($W$4,J454)))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00" operator="containsText" id="{1E412146-F996-4456-9962-02CFED20B4FB}">
            <xm:f>NOT(ISERROR(SEARCH($W$3,J454)))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J454 L454</xm:sqref>
        </x14:conditionalFormatting>
        <x14:conditionalFormatting xmlns:xm="http://schemas.microsoft.com/office/excel/2006/main">
          <x14:cfRule type="containsText" priority="1593" operator="containsText" id="{8AA1EB73-5FE1-4EAF-8776-A2F3839E05C2}">
            <xm:f>NOT(ISERROR(SEARCH($W$6,J460)))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94" operator="containsText" id="{E35D6B71-8C23-4EDC-A7AB-DDA8724B930A}">
            <xm:f>NOT(ISERROR(SEARCH($W$5,J460)))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95" operator="containsText" id="{7874EE78-B6CC-421C-B7C1-671B1B70657E}">
            <xm:f>NOT(ISERROR(SEARCH($W$4,J460)))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96" operator="containsText" id="{CB01AB72-0FFB-4BB3-A646-C92152B660B7}">
            <xm:f>NOT(ISERROR(SEARCH($W$3,J460)))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J460 L460</xm:sqref>
        </x14:conditionalFormatting>
        <x14:conditionalFormatting xmlns:xm="http://schemas.microsoft.com/office/excel/2006/main">
          <x14:cfRule type="containsText" priority="1589" operator="containsText" id="{8D402240-388C-4752-BA7D-A6F48776943D}">
            <xm:f>NOT(ISERROR(SEARCH($W$6,J464)))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90" operator="containsText" id="{14684505-3C30-4E42-AF5A-6B1E896A79F4}">
            <xm:f>NOT(ISERROR(SEARCH($W$5,J464)))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91" operator="containsText" id="{7C46AEFA-E760-4B6C-A21C-D29EF03810DE}">
            <xm:f>NOT(ISERROR(SEARCH($W$4,J464)))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92" operator="containsText" id="{BEC9D1B0-4A5A-4D63-A9C3-9D24D34E0433}">
            <xm:f>NOT(ISERROR(SEARCH($W$3,J464)))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J464 L464</xm:sqref>
        </x14:conditionalFormatting>
        <x14:conditionalFormatting xmlns:xm="http://schemas.microsoft.com/office/excel/2006/main">
          <x14:cfRule type="containsText" priority="1585" operator="containsText" id="{5F27C726-3A4E-4961-879F-1EF5DA8EA88D}">
            <xm:f>NOT(ISERROR(SEARCH($W$6,J467)))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86" operator="containsText" id="{87C147D8-3EC4-44B2-B4E9-02673F2F484A}">
            <xm:f>NOT(ISERROR(SEARCH($W$5,J467)))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87" operator="containsText" id="{5B69E484-EC92-4C0B-A148-FCEF59E4590B}">
            <xm:f>NOT(ISERROR(SEARCH($W$4,J467)))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88" operator="containsText" id="{8E10FFC2-95F6-41AF-B39D-A4131FA1BFB9}">
            <xm:f>NOT(ISERROR(SEARCH($W$3,J467)))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J467 L467</xm:sqref>
        </x14:conditionalFormatting>
        <x14:conditionalFormatting xmlns:xm="http://schemas.microsoft.com/office/excel/2006/main">
          <x14:cfRule type="containsText" priority="1581" operator="containsText" id="{7A27646D-7F7F-45AA-BCAB-FC40612C0D63}">
            <xm:f>NOT(ISERROR(SEARCH($W$6,J470)))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82" operator="containsText" id="{E9D47548-6FD9-4010-8D7A-E8D7A4735C48}">
            <xm:f>NOT(ISERROR(SEARCH($W$5,J470)))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83" operator="containsText" id="{9EF3CC2D-A1B9-43B3-A030-2CFB19A1F975}">
            <xm:f>NOT(ISERROR(SEARCH($W$4,J470)))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84" operator="containsText" id="{87D841CE-F1E3-489D-B4CE-5D4B324BB2C9}">
            <xm:f>NOT(ISERROR(SEARCH($W$3,J470)))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J470 L470</xm:sqref>
        </x14:conditionalFormatting>
        <x14:conditionalFormatting xmlns:xm="http://schemas.microsoft.com/office/excel/2006/main">
          <x14:cfRule type="containsText" priority="1577" operator="containsText" id="{CA79598B-E4E1-4395-BE3F-C32685FD1DFA}">
            <xm:f>NOT(ISERROR(SEARCH($W$6,J473)))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8" operator="containsText" id="{0E140FC7-4739-4CDF-AAF0-61D7EF7A8B4D}">
            <xm:f>NOT(ISERROR(SEARCH($W$5,J473)))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79" operator="containsText" id="{B3B57BB5-06D1-42E7-975D-F7501B54250F}">
            <xm:f>NOT(ISERROR(SEARCH($W$4,J473)))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80" operator="containsText" id="{17CE8903-202D-4DE6-99D2-55EB54FC5CA7}">
            <xm:f>NOT(ISERROR(SEARCH($W$3,J473)))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J473 L473</xm:sqref>
        </x14:conditionalFormatting>
        <x14:conditionalFormatting xmlns:xm="http://schemas.microsoft.com/office/excel/2006/main">
          <x14:cfRule type="containsText" priority="1573" operator="containsText" id="{8B55E5DD-95BA-4360-A556-4493DD7176FB}">
            <xm:f>NOT(ISERROR(SEARCH($W$6,J476)))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4" operator="containsText" id="{150F45D5-6A12-4354-8C18-D40BC7451773}">
            <xm:f>NOT(ISERROR(SEARCH($W$5,J476)))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75" operator="containsText" id="{82147E3F-0B44-42EA-BF0F-7F6A772E05C7}">
            <xm:f>NOT(ISERROR(SEARCH($W$4,J476)))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76" operator="containsText" id="{C759F865-0AD9-422D-9549-EE1D070A404F}">
            <xm:f>NOT(ISERROR(SEARCH($W$3,J476)))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J476 L476</xm:sqref>
        </x14:conditionalFormatting>
        <x14:conditionalFormatting xmlns:xm="http://schemas.microsoft.com/office/excel/2006/main">
          <x14:cfRule type="containsText" priority="1569" operator="containsText" id="{98E14A4B-547C-4DFC-9356-7AC49331656C}">
            <xm:f>NOT(ISERROR(SEARCH($W$6,J484)))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0" operator="containsText" id="{5DF408DF-6C01-4440-9C3C-A740BC1D0470}">
            <xm:f>NOT(ISERROR(SEARCH($W$5,J484)))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71" operator="containsText" id="{8A453429-F7C5-42D7-BAEE-7D79E71B8DD5}">
            <xm:f>NOT(ISERROR(SEARCH($W$4,J484)))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72" operator="containsText" id="{C6B092B6-B2E2-40FF-97F9-A91EFDBD1AEE}">
            <xm:f>NOT(ISERROR(SEARCH($W$3,J484)))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J484 L484</xm:sqref>
        </x14:conditionalFormatting>
        <x14:conditionalFormatting xmlns:xm="http://schemas.microsoft.com/office/excel/2006/main">
          <x14:cfRule type="containsText" priority="1565" operator="containsText" id="{0A027AFB-E193-4BEE-BC72-D8B336A2E887}">
            <xm:f>NOT(ISERROR(SEARCH($W$6,J487)))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66" operator="containsText" id="{E7A73116-8A49-437F-8168-146FCDC59992}">
            <xm:f>NOT(ISERROR(SEARCH($W$5,J487)))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67" operator="containsText" id="{0BCD04ED-9ED0-4184-8F6F-5914068EA38C}">
            <xm:f>NOT(ISERROR(SEARCH($W$4,J487)))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68" operator="containsText" id="{6ECC6837-B9A5-4193-95C4-59EA0380233A}">
            <xm:f>NOT(ISERROR(SEARCH($W$3,J487)))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J487 L487</xm:sqref>
        </x14:conditionalFormatting>
        <x14:conditionalFormatting xmlns:xm="http://schemas.microsoft.com/office/excel/2006/main">
          <x14:cfRule type="containsText" priority="1561" operator="containsText" id="{3D4D6BA4-AE21-4BD0-8891-4C7E5482D95F}">
            <xm:f>NOT(ISERROR(SEARCH($W$6,J490)))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62" operator="containsText" id="{5D02E5FB-F6A1-42EB-B485-78EC0F295CCD}">
            <xm:f>NOT(ISERROR(SEARCH($W$5,J490)))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63" operator="containsText" id="{89578367-F417-44A7-9255-3A5CD8814FE1}">
            <xm:f>NOT(ISERROR(SEARCH($W$4,J490)))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64" operator="containsText" id="{CDC6C4C6-3FB6-4025-B54B-3C53092DE0CF}">
            <xm:f>NOT(ISERROR(SEARCH($W$3,J490)))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J490 L490</xm:sqref>
        </x14:conditionalFormatting>
        <x14:conditionalFormatting xmlns:xm="http://schemas.microsoft.com/office/excel/2006/main">
          <x14:cfRule type="containsText" priority="1553" operator="containsText" id="{87FB3FB0-AFE7-44D7-8329-3E3427F11E87}">
            <xm:f>NOT(ISERROR(SEARCH($W$6,J127)))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54" operator="containsText" id="{3CD9682C-BBCD-4188-85B2-11790321DF94}">
            <xm:f>NOT(ISERROR(SEARCH($W$5,J127)))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55" operator="containsText" id="{151FA4EF-8B84-4AFF-823C-FDA7CE39F9C3}">
            <xm:f>NOT(ISERROR(SEARCH($W$4,J127)))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56" operator="containsText" id="{BE630123-5DBB-4D6B-880A-D18606AE5E7A}">
            <xm:f>NOT(ISERROR(SEARCH($W$3,J127)))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J127 L127</xm:sqref>
        </x14:conditionalFormatting>
        <x14:conditionalFormatting xmlns:xm="http://schemas.microsoft.com/office/excel/2006/main">
          <x14:cfRule type="containsText" priority="1549" operator="containsText" id="{882333FF-67FF-4FA2-8B5D-9EEA2D7CE321}">
            <xm:f>NOT(ISERROR(SEARCH($W$6,J15)))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50" operator="containsText" id="{04F88173-F09B-4EA2-B6FC-00E7145501B3}">
            <xm:f>NOT(ISERROR(SEARCH($W$5,J15)))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51" operator="containsText" id="{7B283F09-0711-49E9-8574-B219F78F1CD7}">
            <xm:f>NOT(ISERROR(SEARCH($W$4,J15)))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52" operator="containsText" id="{3E8C06C9-249E-4CB4-9B09-A38D2CDB174B}">
            <xm:f>NOT(ISERROR(SEARCH($W$3,J15)))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J15 L15</xm:sqref>
        </x14:conditionalFormatting>
        <x14:conditionalFormatting xmlns:xm="http://schemas.microsoft.com/office/excel/2006/main">
          <x14:cfRule type="containsText" priority="1537" operator="containsText" id="{7DFF8923-808D-4ED6-BF8E-31C43CD3CBFC}">
            <xm:f>NOT(ISERROR(SEARCH($W$6,J429)))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38" operator="containsText" id="{0811C43E-919C-46C0-AA65-B12FFBC22CF4}">
            <xm:f>NOT(ISERROR(SEARCH($W$5,J429)))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39" operator="containsText" id="{BCC39F6B-C473-4DB1-BF0B-485CF320A391}">
            <xm:f>NOT(ISERROR(SEARCH($W$4,J429)))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40" operator="containsText" id="{A0DED95A-0B1E-4F6F-8D9B-5A9D475860F6}">
            <xm:f>NOT(ISERROR(SEARCH($W$3,J429)))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J429 L429</xm:sqref>
        </x14:conditionalFormatting>
        <x14:conditionalFormatting xmlns:xm="http://schemas.microsoft.com/office/excel/2006/main">
          <x14:cfRule type="containsText" priority="1545" operator="containsText" id="{A7745246-E007-4739-AF4D-6A3689A5B2B2}">
            <xm:f>NOT(ISERROR(SEARCH($W$6,J192)))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6" operator="containsText" id="{DFD7CDE6-0165-425E-9050-98FB68993734}">
            <xm:f>NOT(ISERROR(SEARCH($W$5,J192)))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47" operator="containsText" id="{67BA6CDA-32E5-41E4-92F1-941F43B9E725}">
            <xm:f>NOT(ISERROR(SEARCH($W$4,J192)))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48" operator="containsText" id="{C0A47070-AE61-4820-9CDD-C99F75B1009A}">
            <xm:f>NOT(ISERROR(SEARCH($W$3,J192)))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J192 L192</xm:sqref>
        </x14:conditionalFormatting>
        <x14:conditionalFormatting xmlns:xm="http://schemas.microsoft.com/office/excel/2006/main">
          <x14:cfRule type="containsText" priority="1541" operator="containsText" id="{7FB2A99C-E403-483F-81BA-51BE234CFB95}">
            <xm:f>NOT(ISERROR(SEARCH($W$6,J306)))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2" operator="containsText" id="{FF5C70F1-B890-4832-BA05-2E7EAED4AFE1}">
            <xm:f>NOT(ISERROR(SEARCH($W$5,J306)))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43" operator="containsText" id="{D0DB9724-F9E2-4E98-A32A-5DE7A7F914A8}">
            <xm:f>NOT(ISERROR(SEARCH($W$4,J306)))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44" operator="containsText" id="{95556096-3B4F-4768-BFA6-7CC311330E40}">
            <xm:f>NOT(ISERROR(SEARCH($W$3,J306)))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J306 L306</xm:sqref>
        </x14:conditionalFormatting>
        <x14:conditionalFormatting xmlns:xm="http://schemas.microsoft.com/office/excel/2006/main">
          <x14:cfRule type="containsText" priority="1533" operator="containsText" id="{800E3A44-9C2B-4343-9FE0-A1245FFDB406}">
            <xm:f>NOT(ISERROR(SEARCH($W$6,J463)))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34" operator="containsText" id="{9CCD9629-798A-4636-A85E-8D04BEFFF944}">
            <xm:f>NOT(ISERROR(SEARCH($W$5,J463)))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35" operator="containsText" id="{B69F54CB-9BB8-43E6-8FA4-3C1D20AD2B42}">
            <xm:f>NOT(ISERROR(SEARCH($W$4,J463)))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36" operator="containsText" id="{3BAE8C9B-8368-4002-8594-F662A49E2322}">
            <xm:f>NOT(ISERROR(SEARCH($W$3,J463)))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J463 L463</xm:sqref>
        </x14:conditionalFormatting>
        <x14:conditionalFormatting xmlns:xm="http://schemas.microsoft.com/office/excel/2006/main">
          <x14:cfRule type="containsText" priority="1437" operator="containsText" id="{8917C969-32D1-4A7C-94AB-5942F43FA123}">
            <xm:f>NOT(ISERROR(SEARCH($X$6,K210)))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8" operator="containsText" id="{DFE701D2-EF93-4399-AB9E-30EFB1C9F627}">
            <xm:f>NOT(ISERROR(SEARCH($X$5,K210)))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439" operator="containsText" id="{38386425-6794-485E-A33B-B2135CDE52F4}">
            <xm:f>NOT(ISERROR(SEARCH($X$4,K210)))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440" operator="containsText" id="{3DDEB0CF-2720-4E40-B97F-D4776A738E93}">
            <xm:f>NOT(ISERROR(SEARCH($X$3,K210)))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K210:K212</xm:sqref>
        </x14:conditionalFormatting>
        <x14:conditionalFormatting xmlns:xm="http://schemas.microsoft.com/office/excel/2006/main">
          <x14:cfRule type="containsText" priority="729" operator="containsText" id="{428E5E52-82EF-4A88-A00F-FA694861835D}">
            <xm:f>NOT(ISERROR(SEARCH($X$6,K304)))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730" operator="containsText" id="{6B3588F3-89D9-4796-828A-70217C027C0C}">
            <xm:f>NOT(ISERROR(SEARCH($X$5,K304)))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731" operator="containsText" id="{E9F69446-A64B-4833-9E8C-14B187EA2829}">
            <xm:f>NOT(ISERROR(SEARCH($X$4,K304)))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732" operator="containsText" id="{E87A5B4C-A794-45D0-959A-396F8554222B}">
            <xm:f>NOT(ISERROR(SEARCH($X$3,K304)))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K304</xm:sqref>
        </x14:conditionalFormatting>
        <x14:conditionalFormatting xmlns:xm="http://schemas.microsoft.com/office/excel/2006/main">
          <x14:cfRule type="containsText" priority="1357" operator="containsText" id="{32527B64-DB01-4E57-9487-0C936F7BECE7}">
            <xm:f>NOT(ISERROR(SEARCH($X$6,K431)))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58" operator="containsText" id="{C2AC1E10-C3A3-448E-BE38-356E58296850}">
            <xm:f>NOT(ISERROR(SEARCH($X$5,K431)))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59" operator="containsText" id="{A04CB333-C3BF-4D79-9D07-835B53D88E36}">
            <xm:f>NOT(ISERROR(SEARCH($X$4,K431)))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60" operator="containsText" id="{0A6A68FF-09C5-46D1-A501-A81B27EDB527}">
            <xm:f>NOT(ISERROR(SEARCH($X$3,K431)))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K431</xm:sqref>
        </x14:conditionalFormatting>
        <x14:conditionalFormatting xmlns:xm="http://schemas.microsoft.com/office/excel/2006/main">
          <x14:cfRule type="containsText" priority="1353" operator="containsText" id="{119FCE5A-D48D-4A3F-935C-FD167B284DD3}">
            <xm:f>NOT(ISERROR(SEARCH($X$6,K434)))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54" operator="containsText" id="{14FABFF9-E123-4DF4-9610-39942E0359E6}">
            <xm:f>NOT(ISERROR(SEARCH($X$5,K434)))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55" operator="containsText" id="{B05F77B0-4F81-47C8-A0D1-69F67D12134F}">
            <xm:f>NOT(ISERROR(SEARCH($X$4,K434)))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56" operator="containsText" id="{6D6DFFC4-A6B3-4556-B49A-5F1FAADD8641}">
            <xm:f>NOT(ISERROR(SEARCH($X$3,K434)))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K434</xm:sqref>
        </x14:conditionalFormatting>
        <x14:conditionalFormatting xmlns:xm="http://schemas.microsoft.com/office/excel/2006/main">
          <x14:cfRule type="containsText" priority="1349" operator="containsText" id="{84A606A6-0D00-426B-85BD-6F2156CAF39C}">
            <xm:f>NOT(ISERROR(SEARCH($X$6,K437)))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50" operator="containsText" id="{BCE4C7BC-F7DA-4A15-A263-EBA207FC3C6C}">
            <xm:f>NOT(ISERROR(SEARCH($X$5,K437)))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51" operator="containsText" id="{F6408386-7465-4EB0-88A2-DD3789246F22}">
            <xm:f>NOT(ISERROR(SEARCH($X$4,K437)))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52" operator="containsText" id="{D89AFF14-06E5-469B-8FEA-AD6422BBEE1F}">
            <xm:f>NOT(ISERROR(SEARCH($X$3,K437)))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K437:K439</xm:sqref>
        </x14:conditionalFormatting>
        <x14:conditionalFormatting xmlns:xm="http://schemas.microsoft.com/office/excel/2006/main">
          <x14:cfRule type="containsText" priority="1345" operator="containsText" id="{9059FBA5-7206-4206-BA51-807F6AD04963}">
            <xm:f>NOT(ISERROR(SEARCH($X$6,K442)))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46" operator="containsText" id="{F2843756-6CE1-4933-A1B6-FA4DC2FDFDF5}">
            <xm:f>NOT(ISERROR(SEARCH($X$5,K442)))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47" operator="containsText" id="{6614582F-1FF6-40FF-B001-1AB78D6C01EB}">
            <xm:f>NOT(ISERROR(SEARCH($X$4,K442)))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48" operator="containsText" id="{A6089F71-6E80-4519-9036-3D33836CC59F}">
            <xm:f>NOT(ISERROR(SEARCH($X$3,K442)))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K442:K443</xm:sqref>
        </x14:conditionalFormatting>
        <x14:conditionalFormatting xmlns:xm="http://schemas.microsoft.com/office/excel/2006/main">
          <x14:cfRule type="containsText" priority="1341" operator="containsText" id="{89ED8375-06AA-4B4E-B391-60DC285238EE}">
            <xm:f>NOT(ISERROR(SEARCH($X$6,K446)))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42" operator="containsText" id="{9806BC09-2425-4273-BDFF-3489739A7243}">
            <xm:f>NOT(ISERROR(SEARCH($X$5,K446)))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43" operator="containsText" id="{55339CB3-4725-40B1-9F2F-797B0AD7024C}">
            <xm:f>NOT(ISERROR(SEARCH($X$4,K446)))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44" operator="containsText" id="{A1F18F82-701F-4219-8804-DEFB217321EA}">
            <xm:f>NOT(ISERROR(SEARCH($X$3,K446)))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K446</xm:sqref>
        </x14:conditionalFormatting>
        <x14:conditionalFormatting xmlns:xm="http://schemas.microsoft.com/office/excel/2006/main">
          <x14:cfRule type="containsText" priority="1329" operator="containsText" id="{3FEDF3B3-7405-409D-8C21-1443A7FE2323}">
            <xm:f>NOT(ISERROR(SEARCH($X$6,K461)))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30" operator="containsText" id="{4163100E-2EFD-49AC-B2DE-09C55CBFE6F2}">
            <xm:f>NOT(ISERROR(SEARCH($X$5,K461)))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31" operator="containsText" id="{EB9AB97F-8F55-4935-8DDE-A997E82C0AF8}">
            <xm:f>NOT(ISERROR(SEARCH($X$4,K461)))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32" operator="containsText" id="{881DADC0-C8BC-46D7-AB1D-89F6B4FF9DB1}">
            <xm:f>NOT(ISERROR(SEARCH($X$3,K461)))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K461</xm:sqref>
        </x14:conditionalFormatting>
        <x14:conditionalFormatting xmlns:xm="http://schemas.microsoft.com/office/excel/2006/main">
          <x14:cfRule type="containsText" priority="1325" operator="containsText" id="{F8237495-E11B-4EDA-8B8C-306633D8F607}">
            <xm:f>NOT(ISERROR(SEARCH($X$6,K465)))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26" operator="containsText" id="{2E523108-C2AA-4397-9DEB-8A3AE51E96C9}">
            <xm:f>NOT(ISERROR(SEARCH($X$5,K465)))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27" operator="containsText" id="{672EE0DF-F473-497C-BFBA-DDE0920EF9C5}">
            <xm:f>NOT(ISERROR(SEARCH($X$4,K465)))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28" operator="containsText" id="{B25AD56A-C6D7-42A6-98E5-D00A41C6CCDE}">
            <xm:f>NOT(ISERROR(SEARCH($X$3,K465)))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K465</xm:sqref>
        </x14:conditionalFormatting>
        <x14:conditionalFormatting xmlns:xm="http://schemas.microsoft.com/office/excel/2006/main">
          <x14:cfRule type="containsText" priority="1321" operator="containsText" id="{81920962-B1CD-420C-A1CF-F3D1CBA9A67F}">
            <xm:f>NOT(ISERROR(SEARCH($X$6,K468)))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22" operator="containsText" id="{D9D13BF1-9FE0-43A8-83D1-CCBBCE4EFC49}">
            <xm:f>NOT(ISERROR(SEARCH($X$5,K468)))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23" operator="containsText" id="{DECEBC04-8F1E-41FC-9FE9-39334F1B4942}">
            <xm:f>NOT(ISERROR(SEARCH($X$4,K468)))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24" operator="containsText" id="{748EC0AD-9C0D-47D8-89BF-70F11700C502}">
            <xm:f>NOT(ISERROR(SEARCH($X$3,K468)))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K468</xm:sqref>
        </x14:conditionalFormatting>
        <x14:conditionalFormatting xmlns:xm="http://schemas.microsoft.com/office/excel/2006/main">
          <x14:cfRule type="containsText" priority="1317" operator="containsText" id="{E1D4B3A2-DDA8-4356-9F96-08ABE14E0483}">
            <xm:f>NOT(ISERROR(SEARCH($X$6,K471)))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18" operator="containsText" id="{0B4C200F-7B0D-49E7-BCC3-9E1D7EB59E7B}">
            <xm:f>NOT(ISERROR(SEARCH($X$5,K471)))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19" operator="containsText" id="{1890687C-955C-4847-8D09-221930317BDD}">
            <xm:f>NOT(ISERROR(SEARCH($X$4,K471)))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20" operator="containsText" id="{B1CE1B4C-90CB-415E-A5FA-0FC658CC0909}">
            <xm:f>NOT(ISERROR(SEARCH($X$3,K471)))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K471</xm:sqref>
        </x14:conditionalFormatting>
        <x14:conditionalFormatting xmlns:xm="http://schemas.microsoft.com/office/excel/2006/main">
          <x14:cfRule type="containsText" priority="1313" operator="containsText" id="{40B575E1-7022-41A1-A388-B6B083B0A586}">
            <xm:f>NOT(ISERROR(SEARCH($X$6,K474)))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14" operator="containsText" id="{23103234-5E2B-4DA6-8F1E-4FAF66377090}">
            <xm:f>NOT(ISERROR(SEARCH($X$5,K474)))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15" operator="containsText" id="{0D94B432-8670-4417-BD66-FF830C6A13DD}">
            <xm:f>NOT(ISERROR(SEARCH($X$4,K474)))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16" operator="containsText" id="{4CAF6238-B36D-4329-84B2-7CFA01A9A5FA}">
            <xm:f>NOT(ISERROR(SEARCH($X$3,K474)))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K474</xm:sqref>
        </x14:conditionalFormatting>
        <x14:conditionalFormatting xmlns:xm="http://schemas.microsoft.com/office/excel/2006/main">
          <x14:cfRule type="containsText" priority="1305" operator="containsText" id="{6EE4975A-64A8-448B-9FBA-D42A7E4734C7}">
            <xm:f>NOT(ISERROR(SEARCH($X$6,K485)))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06" operator="containsText" id="{72024D1F-28E9-40F0-B694-190DFB317B19}">
            <xm:f>NOT(ISERROR(SEARCH($X$5,K485)))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07" operator="containsText" id="{7E8254D6-B72A-4DCE-BACD-308317B4DD0E}">
            <xm:f>NOT(ISERROR(SEARCH($X$4,K485)))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08" operator="containsText" id="{85E3DF09-00FF-411E-86F1-93FBCB470103}">
            <xm:f>NOT(ISERROR(SEARCH($X$3,K485)))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K485</xm:sqref>
        </x14:conditionalFormatting>
        <x14:conditionalFormatting xmlns:xm="http://schemas.microsoft.com/office/excel/2006/main">
          <x14:cfRule type="containsText" priority="1301" operator="containsText" id="{97F438B2-CE37-4115-9D0B-3DADD3CC516A}">
            <xm:f>NOT(ISERROR(SEARCH($X$6,K488)))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02" operator="containsText" id="{5DB0495F-79A1-40F2-B816-E37E3317A2A1}">
            <xm:f>NOT(ISERROR(SEARCH($X$5,K488)))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03" operator="containsText" id="{C5BBF643-3388-4B0C-939F-A153F75EABE8}">
            <xm:f>NOT(ISERROR(SEARCH($X$4,K488)))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04" operator="containsText" id="{92C21353-A4CC-413C-8DCC-E916E7027113}">
            <xm:f>NOT(ISERROR(SEARCH($X$3,K488)))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K488</xm:sqref>
        </x14:conditionalFormatting>
        <x14:conditionalFormatting xmlns:xm="http://schemas.microsoft.com/office/excel/2006/main">
          <x14:cfRule type="containsText" priority="1273" operator="containsText" id="{168E13BB-CB5E-42E5-8E3D-F9861958185E}">
            <xm:f>NOT(ISERROR(SEARCH($W$6,J326)))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74" operator="containsText" id="{8A95504B-F359-41B1-AFE1-93E8CBDB1348}">
            <xm:f>NOT(ISERROR(SEARCH($W$5,J326)))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75" operator="containsText" id="{8F8F0A31-7009-4733-B8B8-BF1F3ACFB44B}">
            <xm:f>NOT(ISERROR(SEARCH($W$4,J326)))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76" operator="containsText" id="{92BDFD59-41F8-4E54-A35E-F4E3A77E13E0}">
            <xm:f>NOT(ISERROR(SEARCH($W$3,J326)))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J326 L326</xm:sqref>
        </x14:conditionalFormatting>
        <x14:conditionalFormatting xmlns:xm="http://schemas.microsoft.com/office/excel/2006/main">
          <x14:cfRule type="containsText" priority="1265" operator="containsText" id="{A497CCB9-1E1D-48AD-9637-24F9AD29F321}">
            <xm:f>NOT(ISERROR(SEARCH($W$6,J340)))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66" operator="containsText" id="{C76A7091-E4B7-4EC5-A337-6EAC097D5135}">
            <xm:f>NOT(ISERROR(SEARCH($W$5,J340)))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67" operator="containsText" id="{F75F3D4B-CFEB-4D43-BAB9-365004B8FAD0}">
            <xm:f>NOT(ISERROR(SEARCH($W$4,J340)))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68" operator="containsText" id="{843F2927-EF0D-4D37-9DF6-682060B5C9AF}">
            <xm:f>NOT(ISERROR(SEARCH($W$3,J340)))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J340 L340</xm:sqref>
        </x14:conditionalFormatting>
        <x14:conditionalFormatting xmlns:xm="http://schemas.microsoft.com/office/excel/2006/main">
          <x14:cfRule type="containsText" priority="1257" operator="containsText" id="{CA4290D9-43D3-4A81-9DC2-4F0559C80200}">
            <xm:f>NOT(ISERROR(SEARCH($W$6,J375)))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8" operator="containsText" id="{F8D07F25-7937-483F-8E64-ADA8F43E17D3}">
            <xm:f>NOT(ISERROR(SEARCH($W$5,J375)))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59" operator="containsText" id="{9EBA80DF-6416-48AC-B0A0-4666C174BE8E}">
            <xm:f>NOT(ISERROR(SEARCH($W$4,J375)))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60" operator="containsText" id="{7C091190-1C0A-4A2E-8FE3-FCEF26A3BE34}">
            <xm:f>NOT(ISERROR(SEARCH($W$3,J375)))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J375 L375</xm:sqref>
        </x14:conditionalFormatting>
        <x14:conditionalFormatting xmlns:xm="http://schemas.microsoft.com/office/excel/2006/main">
          <x14:cfRule type="containsText" priority="1245" operator="containsText" id="{1A2F7189-95FD-4950-A08E-5E5E13643A30}">
            <xm:f>NOT(ISERROR(SEARCH($W$6,J407)))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46" operator="containsText" id="{179139DA-FF48-4407-85F8-03E74821F5C9}">
            <xm:f>NOT(ISERROR(SEARCH($W$5,J407)))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47" operator="containsText" id="{D0C2CE33-BE94-42DF-A1E0-58C1B97C011E}">
            <xm:f>NOT(ISERROR(SEARCH($W$4,J407)))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48" operator="containsText" id="{0E990F55-6ADC-4475-8602-ADBD5743E68C}">
            <xm:f>NOT(ISERROR(SEARCH($W$3,J407)))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J407 L407</xm:sqref>
        </x14:conditionalFormatting>
        <x14:conditionalFormatting xmlns:xm="http://schemas.microsoft.com/office/excel/2006/main">
          <x14:cfRule type="containsText" priority="1241" operator="containsText" id="{B3B8C548-9403-4F54-AFCA-93DE09F5DC9D}">
            <xm:f>NOT(ISERROR(SEARCH($X$6,K418)))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42" operator="containsText" id="{EF58FA31-00D2-4A17-AE1B-C82A716F2929}">
            <xm:f>NOT(ISERROR(SEARCH($X$5,K418)))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43" operator="containsText" id="{16A3EC4D-68AE-4791-8FCE-462CB3BC7BC9}">
            <xm:f>NOT(ISERROR(SEARCH($X$4,K418)))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44" operator="containsText" id="{A912211C-AA46-48DF-B95A-E47A0ECAEB79}">
            <xm:f>NOT(ISERROR(SEARCH($X$3,K418)))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K418</xm:sqref>
        </x14:conditionalFormatting>
        <x14:conditionalFormatting xmlns:xm="http://schemas.microsoft.com/office/excel/2006/main">
          <x14:cfRule type="containsText" priority="1237" operator="containsText" id="{B5E159E1-9244-4D7E-8F33-29235F55C598}">
            <xm:f>NOT(ISERROR(SEARCH($W$6,J417)))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38" operator="containsText" id="{24911DE5-38D8-4698-BAE7-22842DFD731B}">
            <xm:f>NOT(ISERROR(SEARCH($W$5,J417)))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39" operator="containsText" id="{B4D6C49D-352B-47BB-AD7C-8C99B27342AD}">
            <xm:f>NOT(ISERROR(SEARCH($W$4,J417)))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40" operator="containsText" id="{AC792C1D-3C09-424F-9B91-CC857674F6C7}">
            <xm:f>NOT(ISERROR(SEARCH($W$3,J417)))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J417 L417</xm:sqref>
        </x14:conditionalFormatting>
        <x14:conditionalFormatting xmlns:xm="http://schemas.microsoft.com/office/excel/2006/main">
          <x14:cfRule type="containsText" priority="1233" operator="containsText" id="{5704BD14-FCC0-419E-A35D-CC2D9647E977}">
            <xm:f>NOT(ISERROR(SEARCH($W$6,J420)))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34" operator="containsText" id="{E3756F11-D746-4DE4-8480-A6928A3D4E6A}">
            <xm:f>NOT(ISERROR(SEARCH($W$5,J420)))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35" operator="containsText" id="{E00B4A13-74F0-41F2-83D0-88686154C174}">
            <xm:f>NOT(ISERROR(SEARCH($W$4,J420)))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36" operator="containsText" id="{D46617EC-0877-488B-8518-3E2592DBBB0D}">
            <xm:f>NOT(ISERROR(SEARCH($W$3,J420)))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J420 L420</xm:sqref>
        </x14:conditionalFormatting>
        <x14:conditionalFormatting xmlns:xm="http://schemas.microsoft.com/office/excel/2006/main">
          <x14:cfRule type="containsText" priority="593" operator="containsText" id="{92E5F7B4-6235-42F1-92A0-01284D1C1A9C}">
            <xm:f>NOT(ISERROR(SEARCH($X$6,K455)))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94" operator="containsText" id="{8CF72A4D-03C6-4A93-B9D2-5200C4A1F002}">
            <xm:f>NOT(ISERROR(SEARCH($X$5,K455)))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95" operator="containsText" id="{B5D6234E-97C3-41C2-9A7E-9418259D63F3}">
            <xm:f>NOT(ISERROR(SEARCH($X$4,K455)))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96" operator="containsText" id="{03E6139F-F45C-46C6-A90F-8DA6C5E598B5}">
            <xm:f>NOT(ISERROR(SEARCH($X$3,K455)))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K455:K458</xm:sqref>
        </x14:conditionalFormatting>
        <x14:conditionalFormatting xmlns:xm="http://schemas.microsoft.com/office/excel/2006/main">
          <x14:cfRule type="containsText" priority="589" operator="containsText" id="{778D1D67-1B09-4BF2-843A-34AC68B29009}">
            <xm:f>NOT(ISERROR(SEARCH($X$6,K477)))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90" operator="containsText" id="{EF57DEF8-08CC-40DF-84F2-39396177BB79}">
            <xm:f>NOT(ISERROR(SEARCH($X$5,K477)))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91" operator="containsText" id="{369712C6-C0ED-45D0-A696-CCFC3F9891D9}">
            <xm:f>NOT(ISERROR(SEARCH($X$4,K477)))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92" operator="containsText" id="{8C55E69B-1C0A-4A1A-AEB9-5F12AD262B6C}">
            <xm:f>NOT(ISERROR(SEARCH($X$3,K477)))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K477:K478</xm:sqref>
        </x14:conditionalFormatting>
        <x14:conditionalFormatting xmlns:xm="http://schemas.microsoft.com/office/excel/2006/main">
          <x14:cfRule type="containsText" priority="585" operator="containsText" id="{4CF3D3D4-29A1-41F9-BF89-AF8C00569081}">
            <xm:f>NOT(ISERROR(SEARCH($X$6,K479)))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86" operator="containsText" id="{7611F9A6-DE6B-4D9C-BAE5-D9AB3AFFE123}">
            <xm:f>NOT(ISERROR(SEARCH($X$5,K479)))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87" operator="containsText" id="{EE4AE373-C1A7-49E6-A47D-E127661636DE}">
            <xm:f>NOT(ISERROR(SEARCH($X$4,K479)))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88" operator="containsText" id="{5CD1E67C-2917-4210-8D64-B2B11D328D24}">
            <xm:f>NOT(ISERROR(SEARCH($X$3,K479)))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K479:K482</xm:sqref>
        </x14:conditionalFormatting>
        <x14:conditionalFormatting xmlns:xm="http://schemas.microsoft.com/office/excel/2006/main">
          <x14:cfRule type="containsText" priority="581" operator="containsText" id="{0031AE13-78A5-4635-B101-B6C80D2BAC18}">
            <xm:f>NOT(ISERROR(SEARCH($X$6,K491)))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82" operator="containsText" id="{1C06E073-C75B-4584-9F53-20FFA019FF48}">
            <xm:f>NOT(ISERROR(SEARCH($X$5,K491)))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83" operator="containsText" id="{D35C0E51-52D3-4463-86F0-91A9210C8467}">
            <xm:f>NOT(ISERROR(SEARCH($X$4,K491)))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84" operator="containsText" id="{BAE2DDD7-F99C-478E-B5B0-7E5EFF690476}">
            <xm:f>NOT(ISERROR(SEARCH($X$3,K491)))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K491:K493</xm:sqref>
        </x14:conditionalFormatting>
        <x14:conditionalFormatting xmlns:xm="http://schemas.microsoft.com/office/excel/2006/main">
          <x14:cfRule type="containsText" priority="577" operator="containsText" id="{4C305B94-0114-4208-911C-F1CA74FD63FF}">
            <xm:f>NOT(ISERROR(SEARCH($X$6,K494)))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78" operator="containsText" id="{98287434-23A5-411D-A395-4EC9DC7DEBD7}">
            <xm:f>NOT(ISERROR(SEARCH($X$5,K494)))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79" operator="containsText" id="{74125656-EDC6-4ACC-AF51-B34CCFC2D977}">
            <xm:f>NOT(ISERROR(SEARCH($X$4,K494)))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80" operator="containsText" id="{5B091710-6765-49AE-BF9B-00717BEA27C7}">
            <xm:f>NOT(ISERROR(SEARCH($X$3,K494)))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K494</xm:sqref>
        </x14:conditionalFormatting>
        <x14:conditionalFormatting xmlns:xm="http://schemas.microsoft.com/office/excel/2006/main">
          <x14:cfRule type="containsText" priority="573" operator="containsText" id="{BE91D52C-BE1B-4A8F-888C-195CDC11D6FA}">
            <xm:f>NOT(ISERROR(SEARCH($X$6,K495)))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74" operator="containsText" id="{FE7DB2AE-6110-4B9D-9E02-8FF23EF3F4D6}">
            <xm:f>NOT(ISERROR(SEARCH($X$5,K495)))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75" operator="containsText" id="{FE7ABA8C-FB81-47DC-95F9-E9339E8C7AC1}">
            <xm:f>NOT(ISERROR(SEARCH($X$4,K495)))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76" operator="containsText" id="{C0A9A8ED-72D8-42D5-B093-E3DD7B5C2E05}">
            <xm:f>NOT(ISERROR(SEARCH($X$3,K495)))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K495</xm:sqref>
        </x14:conditionalFormatting>
        <x14:conditionalFormatting xmlns:xm="http://schemas.microsoft.com/office/excel/2006/main">
          <x14:cfRule type="containsText" priority="549" operator="containsText" id="{50B32E2B-5A53-4272-8804-24974317DEF4}">
            <xm:f>NOT(ISERROR(SEARCH($X$6,K48)))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50" operator="containsText" id="{F75EF9C0-E638-42D7-8829-77F2C713EC3A}">
            <xm:f>NOT(ISERROR(SEARCH($X$5,K48)))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51" operator="containsText" id="{956F31D1-B2B0-4386-A382-946F03C6970D}">
            <xm:f>NOT(ISERROR(SEARCH($X$4,K48)))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52" operator="containsText" id="{02EE69BE-8125-42BB-8199-05292C2DAA2E}">
            <xm:f>NOT(ISERROR(SEARCH($X$3,K48)))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K48:K49</xm:sqref>
        </x14:conditionalFormatting>
        <x14:conditionalFormatting xmlns:xm="http://schemas.microsoft.com/office/excel/2006/main">
          <x14:cfRule type="containsText" priority="545" operator="containsText" id="{BB2EA067-E78A-49D5-AD3C-0604F0367193}">
            <xm:f>NOT(ISERROR(SEARCH($X$6,K50)))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46" operator="containsText" id="{A1F1852B-CC9C-47B0-A729-9DCCA0BA512C}">
            <xm:f>NOT(ISERROR(SEARCH($X$5,K50)))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47" operator="containsText" id="{5702AA86-ED78-4256-84B8-8451CE7DEEC3}">
            <xm:f>NOT(ISERROR(SEARCH($X$4,K50)))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48" operator="containsText" id="{B4BF72A5-4655-4316-933B-B2705DB9D5AE}">
            <xm:f>NOT(ISERROR(SEARCH($X$3,K50)))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K50:K53</xm:sqref>
        </x14:conditionalFormatting>
        <x14:conditionalFormatting xmlns:xm="http://schemas.microsoft.com/office/excel/2006/main">
          <x14:cfRule type="containsText" priority="541" operator="containsText" id="{BCD89AD4-87DD-436E-A0A4-057F4D41FE64}">
            <xm:f>NOT(ISERROR(SEARCH($X$6,K129)))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42" operator="containsText" id="{7ED1D8F7-5AE9-4086-A871-9DD432CCA96B}">
            <xm:f>NOT(ISERROR(SEARCH($X$5,K129)))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43" operator="containsText" id="{47DAA06A-76DF-4926-96D8-9E250DACF31B}">
            <xm:f>NOT(ISERROR(SEARCH($X$4,K129)))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44" operator="containsText" id="{EE1E0327-B1AA-4E5A-9BA1-F19E920DE7B9}">
            <xm:f>NOT(ISERROR(SEARCH($X$3,K129)))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K129</xm:sqref>
        </x14:conditionalFormatting>
        <x14:conditionalFormatting xmlns:xm="http://schemas.microsoft.com/office/excel/2006/main">
          <x14:cfRule type="containsText" priority="537" operator="containsText" id="{C0EFB089-324B-4EAD-9884-D868FE6C0FB6}">
            <xm:f>NOT(ISERROR(SEARCH($X$6,K130)))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38" operator="containsText" id="{A1753944-57F3-44B6-AD3D-99F13A99CE9B}">
            <xm:f>NOT(ISERROR(SEARCH($X$5,K130)))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39" operator="containsText" id="{AB1C1ED4-3BBF-41E1-84AF-3A03EE00FF2E}">
            <xm:f>NOT(ISERROR(SEARCH($X$4,K130)))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40" operator="containsText" id="{DF42A219-4187-440B-8768-DCF51F6E9261}">
            <xm:f>NOT(ISERROR(SEARCH($X$3,K130)))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K130:K133</xm:sqref>
        </x14:conditionalFormatting>
        <x14:conditionalFormatting xmlns:xm="http://schemas.microsoft.com/office/excel/2006/main">
          <x14:cfRule type="containsText" priority="533" operator="containsText" id="{BEAFA35E-DED3-431D-A28E-F6EEF9D49C98}">
            <xm:f>NOT(ISERROR(SEARCH($X$6,K136)))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34" operator="containsText" id="{70CC1433-E412-4A02-A14C-022FE77BA731}">
            <xm:f>NOT(ISERROR(SEARCH($X$5,K136)))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35" operator="containsText" id="{9A3907A4-8CF9-4C8B-B36A-4DD60B10698C}">
            <xm:f>NOT(ISERROR(SEARCH($X$4,K136)))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36" operator="containsText" id="{63B65BD2-F5DD-4F40-9CE7-9C8EE3E82247}">
            <xm:f>NOT(ISERROR(SEARCH($X$3,K136)))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K136:K137</xm:sqref>
        </x14:conditionalFormatting>
        <x14:conditionalFormatting xmlns:xm="http://schemas.microsoft.com/office/excel/2006/main">
          <x14:cfRule type="containsText" priority="529" operator="containsText" id="{FABBC7C7-1E29-41FA-AB6B-EC94590391A5}">
            <xm:f>NOT(ISERROR(SEARCH($X$6,K138)))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30" operator="containsText" id="{DC9B65C5-C454-4671-8B34-56D88B879152}">
            <xm:f>NOT(ISERROR(SEARCH($X$5,K138)))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31" operator="containsText" id="{5A179FF5-CED1-46CF-921C-8FE39CD6E8DC}">
            <xm:f>NOT(ISERROR(SEARCH($X$4,K138)))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32" operator="containsText" id="{B774364C-69A7-4FF5-A987-AD329AC74185}">
            <xm:f>NOT(ISERROR(SEARCH($X$3,K138)))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K138:K141</xm:sqref>
        </x14:conditionalFormatting>
        <x14:conditionalFormatting xmlns:xm="http://schemas.microsoft.com/office/excel/2006/main">
          <x14:cfRule type="containsText" priority="525" operator="containsText" id="{19555B11-DFC4-48B6-A68D-F956A23AC517}">
            <xm:f>NOT(ISERROR(SEARCH($X$6,K144)))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26" operator="containsText" id="{F8C72A78-5ABF-4186-A052-2A0574695EB5}">
            <xm:f>NOT(ISERROR(SEARCH($X$5,K144)))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27" operator="containsText" id="{0B1458B6-F2FC-44AF-9737-08F40178F2AE}">
            <xm:f>NOT(ISERROR(SEARCH($X$4,K144)))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28" operator="containsText" id="{3BC67AE2-9B4D-47E0-9194-171153F5C567}">
            <xm:f>NOT(ISERROR(SEARCH($X$3,K144)))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K144:K147</xm:sqref>
        </x14:conditionalFormatting>
        <x14:conditionalFormatting xmlns:xm="http://schemas.microsoft.com/office/excel/2006/main">
          <x14:cfRule type="containsText" priority="521" operator="containsText" id="{5F53DE9D-AB52-4080-B664-77D2E6FFD17C}">
            <xm:f>NOT(ISERROR(SEARCH($X$6,K148)))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22" operator="containsText" id="{92D65771-C79E-4DFE-93B3-839D01BFE663}">
            <xm:f>NOT(ISERROR(SEARCH($X$5,K148)))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23" operator="containsText" id="{9FA89A9A-9884-4398-803C-BEFBB6F3CDC3}">
            <xm:f>NOT(ISERROR(SEARCH($X$4,K148)))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24" operator="containsText" id="{12C21091-677C-403F-93B6-9AAACD28C202}">
            <xm:f>NOT(ISERROR(SEARCH($X$3,K148)))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K148:K151</xm:sqref>
        </x14:conditionalFormatting>
        <x14:conditionalFormatting xmlns:xm="http://schemas.microsoft.com/office/excel/2006/main">
          <x14:cfRule type="containsText" priority="517" operator="containsText" id="{3B40C59A-839D-4815-9B30-FC96CA10609B}">
            <xm:f>NOT(ISERROR(SEARCH($X$6,K159)))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18" operator="containsText" id="{C9959089-7C23-44C1-81D6-45530E4E656A}">
            <xm:f>NOT(ISERROR(SEARCH($X$5,K159)))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19" operator="containsText" id="{759FFEDC-33DA-4CD5-9E0C-C35C7F089A2A}">
            <xm:f>NOT(ISERROR(SEARCH($X$4,K159)))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20" operator="containsText" id="{87F3649B-22AB-47F8-A7FF-94A8A77469D4}">
            <xm:f>NOT(ISERROR(SEARCH($X$3,K159)))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K159:K161</xm:sqref>
        </x14:conditionalFormatting>
        <x14:conditionalFormatting xmlns:xm="http://schemas.microsoft.com/office/excel/2006/main">
          <x14:cfRule type="containsText" priority="513" operator="containsText" id="{6EAB8264-A62A-422A-8EEE-EC884EEC12AF}">
            <xm:f>NOT(ISERROR(SEARCH($X$6,K156)))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14" operator="containsText" id="{66DECC47-E8CE-4D5C-B9B5-3C056250AEBE}">
            <xm:f>NOT(ISERROR(SEARCH($X$5,K156)))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15" operator="containsText" id="{4CEEBB5E-D7ED-457A-8C20-0CC4AE2690C9}">
            <xm:f>NOT(ISERROR(SEARCH($X$4,K156)))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16" operator="containsText" id="{2F989251-5AF4-4CA2-8667-A7B34171C096}">
            <xm:f>NOT(ISERROR(SEARCH($X$3,K156)))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K156:K158</xm:sqref>
        </x14:conditionalFormatting>
        <x14:conditionalFormatting xmlns:xm="http://schemas.microsoft.com/office/excel/2006/main">
          <x14:cfRule type="containsText" priority="509" operator="containsText" id="{6C6CF4EC-DFF8-4227-8486-E2E33D14804E}">
            <xm:f>NOT(ISERROR(SEARCH($X$6,K152)))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10" operator="containsText" id="{BB7767DA-2AAC-4458-8684-5DE26D322AA8}">
            <xm:f>NOT(ISERROR(SEARCH($X$5,K152)))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11" operator="containsText" id="{D71EC28C-00CB-4062-9672-69FF31746708}">
            <xm:f>NOT(ISERROR(SEARCH($X$4,K152)))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12" operator="containsText" id="{2B646013-7FFD-401F-8F2D-FA2BCDE276D2}">
            <xm:f>NOT(ISERROR(SEARCH($X$3,K152)))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K152:K155</xm:sqref>
        </x14:conditionalFormatting>
        <x14:conditionalFormatting xmlns:xm="http://schemas.microsoft.com/office/excel/2006/main">
          <x14:cfRule type="containsText" priority="505" operator="containsText" id="{48230CE1-714F-49DB-98CC-AF4F06103DF7}">
            <xm:f>NOT(ISERROR(SEARCH($X$6,K164)))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06" operator="containsText" id="{7FF64255-F268-49DF-806D-D1C030E9ED76}">
            <xm:f>NOT(ISERROR(SEARCH($X$5,K164)))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07" operator="containsText" id="{7DFEC1BD-5561-4199-90BA-E8927ABE05B9}">
            <xm:f>NOT(ISERROR(SEARCH($X$4,K164)))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08" operator="containsText" id="{DEC4BB44-6227-41CA-8257-B5787AF4099D}">
            <xm:f>NOT(ISERROR(SEARCH($X$3,K164)))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K164:K167</xm:sqref>
        </x14:conditionalFormatting>
        <x14:conditionalFormatting xmlns:xm="http://schemas.microsoft.com/office/excel/2006/main">
          <x14:cfRule type="containsText" priority="501" operator="containsText" id="{408D6980-A04D-4659-A720-A9E79B217C11}">
            <xm:f>NOT(ISERROR(SEARCH($X$6,K168)))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02" operator="containsText" id="{970CCE44-CB66-4C78-952B-6A56CFBBFF25}">
            <xm:f>NOT(ISERROR(SEARCH($X$5,K168)))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03" operator="containsText" id="{82964852-6CFF-4282-8385-9D0973FF4987}">
            <xm:f>NOT(ISERROR(SEARCH($X$4,K168)))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04" operator="containsText" id="{8B094299-F424-469B-A29B-A34FAD52C8D7}">
            <xm:f>NOT(ISERROR(SEARCH($X$3,K168)))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K168</xm:sqref>
        </x14:conditionalFormatting>
        <x14:conditionalFormatting xmlns:xm="http://schemas.microsoft.com/office/excel/2006/main">
          <x14:cfRule type="containsText" priority="497" operator="containsText" id="{047AD11A-596E-4E6C-AB76-A7C391EA55B3}">
            <xm:f>NOT(ISERROR(SEARCH($X$6,K169)))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98" operator="containsText" id="{97B70E64-3340-4FC9-BE28-FFA9D4E32141}">
            <xm:f>NOT(ISERROR(SEARCH($X$5,K169)))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99" operator="containsText" id="{0B5FE698-4DA4-40E0-8207-DD328E84537A}">
            <xm:f>NOT(ISERROR(SEARCH($X$4,K169)))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00" operator="containsText" id="{3D041FFF-8005-46E2-9E23-1407D86F71D4}">
            <xm:f>NOT(ISERROR(SEARCH($X$3,K169)))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K169:K172</xm:sqref>
        </x14:conditionalFormatting>
        <x14:conditionalFormatting xmlns:xm="http://schemas.microsoft.com/office/excel/2006/main">
          <x14:cfRule type="containsText" priority="493" operator="containsText" id="{459F2D18-F579-4F4C-9FA4-8CB9855F660E}">
            <xm:f>NOT(ISERROR(SEARCH($X$6,K175)))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94" operator="containsText" id="{8E9FDF8E-7544-49D4-A6F2-5C15A5E797E2}">
            <xm:f>NOT(ISERROR(SEARCH($X$5,K175)))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95" operator="containsText" id="{CB3065AB-522D-4DA3-9F5F-241831AD419B}">
            <xm:f>NOT(ISERROR(SEARCH($X$4,K175)))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96" operator="containsText" id="{7D8439F9-26C5-403B-9551-6DC3020AC160}">
            <xm:f>NOT(ISERROR(SEARCH($X$3,K175)))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K175:K178</xm:sqref>
        </x14:conditionalFormatting>
        <x14:conditionalFormatting xmlns:xm="http://schemas.microsoft.com/office/excel/2006/main">
          <x14:cfRule type="containsText" priority="489" operator="containsText" id="{67BC27C8-4B07-4ACB-A432-D83F7EE3DAD7}">
            <xm:f>NOT(ISERROR(SEARCH($X$6,K179)))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90" operator="containsText" id="{0A7AE9A6-59F0-46CA-B709-C49592AFD0B0}">
            <xm:f>NOT(ISERROR(SEARCH($X$5,K179)))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91" operator="containsText" id="{FE90E3FF-2503-43B9-AB80-B25C4257BF77}">
            <xm:f>NOT(ISERROR(SEARCH($X$4,K179)))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92" operator="containsText" id="{8651DC7A-1AE4-41CB-A2FB-90EC72996E73}">
            <xm:f>NOT(ISERROR(SEARCH($X$3,K179)))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K179:K180</xm:sqref>
        </x14:conditionalFormatting>
        <x14:conditionalFormatting xmlns:xm="http://schemas.microsoft.com/office/excel/2006/main">
          <x14:cfRule type="containsText" priority="485" operator="containsText" id="{C143CD7C-6178-4683-8BC3-7907D5845C94}">
            <xm:f>NOT(ISERROR(SEARCH($X$6,K181)))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86" operator="containsText" id="{9994628B-2358-49E7-A446-0EE1A37A37C0}">
            <xm:f>NOT(ISERROR(SEARCH($X$5,K181)))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87" operator="containsText" id="{575AEEB2-99CC-46B3-AA8F-2D571E94D8BA}">
            <xm:f>NOT(ISERROR(SEARCH($X$4,K181)))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88" operator="containsText" id="{94D2E029-9F89-4B1A-A49D-4BC0C58ED431}">
            <xm:f>NOT(ISERROR(SEARCH($X$3,K181)))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K181:K184</xm:sqref>
        </x14:conditionalFormatting>
        <x14:conditionalFormatting xmlns:xm="http://schemas.microsoft.com/office/excel/2006/main">
          <x14:cfRule type="containsText" priority="481" operator="containsText" id="{1FD2B736-C4B3-4873-961A-C2B706DFED52}">
            <xm:f>NOT(ISERROR(SEARCH($X$6,K187)))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82" operator="containsText" id="{7E36DAF5-4710-497A-9F2C-161E88E5C032}">
            <xm:f>NOT(ISERROR(SEARCH($X$5,K187)))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83" operator="containsText" id="{A5AADAC2-E480-446F-8FDB-D0EE106DAEC5}">
            <xm:f>NOT(ISERROR(SEARCH($X$4,K187)))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84" operator="containsText" id="{AB708744-F299-4D14-8C03-F995842A5FEC}">
            <xm:f>NOT(ISERROR(SEARCH($X$3,K187)))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K187:K190</xm:sqref>
        </x14:conditionalFormatting>
        <x14:conditionalFormatting xmlns:xm="http://schemas.microsoft.com/office/excel/2006/main">
          <x14:cfRule type="containsText" priority="477" operator="containsText" id="{AA46B603-9FE6-4382-80CD-B17AE4C057CC}">
            <xm:f>NOT(ISERROR(SEARCH($X$6,K194)))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78" operator="containsText" id="{9DE4CA63-AE3B-425E-B434-88444A0D860E}">
            <xm:f>NOT(ISERROR(SEARCH($X$5,K194)))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79" operator="containsText" id="{D0AD4CEA-CFE7-4F3A-A95E-D6C5CB02CB73}">
            <xm:f>NOT(ISERROR(SEARCH($X$4,K194)))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80" operator="containsText" id="{48B55652-90A1-4640-BEAB-E2EABD345C08}">
            <xm:f>NOT(ISERROR(SEARCH($X$3,K194)))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K194:K197</xm:sqref>
        </x14:conditionalFormatting>
        <x14:conditionalFormatting xmlns:xm="http://schemas.microsoft.com/office/excel/2006/main">
          <x14:cfRule type="containsText" priority="473" operator="containsText" id="{A07DC4A3-6DAA-4B2B-BAB9-BE1139D4E260}">
            <xm:f>NOT(ISERROR(SEARCH($X$6,K198)))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74" operator="containsText" id="{04487145-42F4-4220-B6DA-4C19E2413D52}">
            <xm:f>NOT(ISERROR(SEARCH($X$5,K198)))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75" operator="containsText" id="{3597AD6F-0D7F-4C5A-909A-BEE69124212B}">
            <xm:f>NOT(ISERROR(SEARCH($X$4,K198)))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76" operator="containsText" id="{DED234A2-9ED0-41B2-8A27-E783AC2F16FF}">
            <xm:f>NOT(ISERROR(SEARCH($X$3,K198)))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K198:K201</xm:sqref>
        </x14:conditionalFormatting>
        <x14:conditionalFormatting xmlns:xm="http://schemas.microsoft.com/office/excel/2006/main">
          <x14:cfRule type="containsText" priority="469" operator="containsText" id="{732791C7-2B4E-46DB-AE19-3DF8EABE7E05}">
            <xm:f>NOT(ISERROR(SEARCH($X$6,K202)))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70" operator="containsText" id="{43AF6F0D-A6FD-4467-9B3F-E2F32282C9C6}">
            <xm:f>NOT(ISERROR(SEARCH($X$5,K202)))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71" operator="containsText" id="{4BC8788A-F9F2-4DCB-B146-4D2DCB82F8C9}">
            <xm:f>NOT(ISERROR(SEARCH($X$4,K202)))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72" operator="containsText" id="{8834758B-71B6-47F8-8737-2FC2C6BDA405}">
            <xm:f>NOT(ISERROR(SEARCH($X$3,K202)))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K202:K203</xm:sqref>
        </x14:conditionalFormatting>
        <x14:conditionalFormatting xmlns:xm="http://schemas.microsoft.com/office/excel/2006/main">
          <x14:cfRule type="containsText" priority="465" operator="containsText" id="{C3712D94-7385-4B54-BEF8-B6AFBEC19110}">
            <xm:f>NOT(ISERROR(SEARCH($X$6,K204)))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66" operator="containsText" id="{E82C4A38-4FBC-4B17-B931-0EE6510267E1}">
            <xm:f>NOT(ISERROR(SEARCH($X$5,K204)))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67" operator="containsText" id="{80EBF612-DA30-49EB-A021-F94A3083750F}">
            <xm:f>NOT(ISERROR(SEARCH($X$4,K204)))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68" operator="containsText" id="{0B6634E2-102E-4383-B613-BFE4EE747581}">
            <xm:f>NOT(ISERROR(SEARCH($X$3,K204)))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K204:K207</xm:sqref>
        </x14:conditionalFormatting>
        <x14:conditionalFormatting xmlns:xm="http://schemas.microsoft.com/office/excel/2006/main">
          <x14:cfRule type="containsText" priority="461" operator="containsText" id="{11D661A3-CBD2-474F-B63C-63BA29286BC0}">
            <xm:f>NOT(ISERROR(SEARCH($X$6,K215)))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62" operator="containsText" id="{EA06D944-B7CC-424F-BD80-890E802E72EC}">
            <xm:f>NOT(ISERROR(SEARCH($X$5,K215)))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63" operator="containsText" id="{9D113597-E6F1-4F3E-A581-97AACF06FA96}">
            <xm:f>NOT(ISERROR(SEARCH($X$4,K215)))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64" operator="containsText" id="{9CAEFD7F-E7B1-4B35-8756-24DB2582DD24}">
            <xm:f>NOT(ISERROR(SEARCH($X$3,K215)))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K215</xm:sqref>
        </x14:conditionalFormatting>
        <x14:conditionalFormatting xmlns:xm="http://schemas.microsoft.com/office/excel/2006/main">
          <x14:cfRule type="containsText" priority="457" operator="containsText" id="{19FAB203-DB45-4B11-BC66-167227AEB8C8}">
            <xm:f>NOT(ISERROR(SEARCH($X$6,K216)))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58" operator="containsText" id="{D7357BA6-E345-4857-B7CC-FBB63F3EA20C}">
            <xm:f>NOT(ISERROR(SEARCH($X$5,K216)))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59" operator="containsText" id="{B6B73218-2F52-47AE-967B-9A30B6C472E6}">
            <xm:f>NOT(ISERROR(SEARCH($X$4,K216)))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60" operator="containsText" id="{83A4D74F-91B0-4474-B370-542D63B7074E}">
            <xm:f>NOT(ISERROR(SEARCH($X$3,K216)))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K216:K219</xm:sqref>
        </x14:conditionalFormatting>
        <x14:conditionalFormatting xmlns:xm="http://schemas.microsoft.com/office/excel/2006/main">
          <x14:cfRule type="containsText" priority="453" operator="containsText" id="{7E25B71F-57EF-49C5-8EAF-889072FBBE48}">
            <xm:f>NOT(ISERROR(SEARCH($X$6,K222)))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54" operator="containsText" id="{CFB9CF12-A27B-4E8F-954F-DDC701B1B006}">
            <xm:f>NOT(ISERROR(SEARCH($X$5,K222)))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55" operator="containsText" id="{D98D577A-57A3-4CEE-98A0-10174B95B2AE}">
            <xm:f>NOT(ISERROR(SEARCH($X$4,K222)))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56" operator="containsText" id="{36F8E757-DC89-43E7-87C2-3BF58390E588}">
            <xm:f>NOT(ISERROR(SEARCH($X$3,K222)))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K222:K225</xm:sqref>
        </x14:conditionalFormatting>
        <x14:conditionalFormatting xmlns:xm="http://schemas.microsoft.com/office/excel/2006/main">
          <x14:cfRule type="containsText" priority="449" operator="containsText" id="{EC74D961-59A9-4BB7-B14D-EDF32CDBC65E}">
            <xm:f>NOT(ISERROR(SEARCH($X$6,K226)))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50" operator="containsText" id="{EB46F563-BB32-4239-97BE-06B36854681A}">
            <xm:f>NOT(ISERROR(SEARCH($X$5,K226)))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51" operator="containsText" id="{744B77C4-1F09-4BD7-83FA-1EF97279DABE}">
            <xm:f>NOT(ISERROR(SEARCH($X$4,K226)))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52" operator="containsText" id="{14FDAC8C-5AEB-420D-9E70-737D9076F919}">
            <xm:f>NOT(ISERROR(SEARCH($X$3,K226)))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K226:K229</xm:sqref>
        </x14:conditionalFormatting>
        <x14:conditionalFormatting xmlns:xm="http://schemas.microsoft.com/office/excel/2006/main">
          <x14:cfRule type="containsText" priority="445" operator="containsText" id="{B028136D-D0AE-4B98-A993-952190D0C0A8}">
            <xm:f>NOT(ISERROR(SEARCH($X$6,K230)))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46" operator="containsText" id="{FFAD9C12-0B57-4B94-80B9-49C3F34B092C}">
            <xm:f>NOT(ISERROR(SEARCH($X$5,K230)))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47" operator="containsText" id="{5343E5D4-CD6C-43E1-8497-BBEE9F60E4E5}">
            <xm:f>NOT(ISERROR(SEARCH($X$4,K230)))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48" operator="containsText" id="{B2CC2CFB-5E03-4F52-89D8-2BFA8AA1C6A8}">
            <xm:f>NOT(ISERROR(SEARCH($X$3,K230)))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K230:K233</xm:sqref>
        </x14:conditionalFormatting>
        <x14:conditionalFormatting xmlns:xm="http://schemas.microsoft.com/office/excel/2006/main">
          <x14:cfRule type="containsText" priority="441" operator="containsText" id="{058EA648-7673-4260-B451-073931426A1A}">
            <xm:f>NOT(ISERROR(SEARCH($X$6,K234)))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42" operator="containsText" id="{1CE0DC01-DC50-4B5C-B92F-B088184BB318}">
            <xm:f>NOT(ISERROR(SEARCH($X$5,K234)))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43" operator="containsText" id="{6B8DF277-7A53-45F0-9DB2-34B172EBB729}">
            <xm:f>NOT(ISERROR(SEARCH($X$4,K234)))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44" operator="containsText" id="{5C950A0D-574C-4806-ADEA-2568B0E14F0A}">
            <xm:f>NOT(ISERROR(SEARCH($X$3,K234)))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K234:K237</xm:sqref>
        </x14:conditionalFormatting>
        <x14:conditionalFormatting xmlns:xm="http://schemas.microsoft.com/office/excel/2006/main">
          <x14:cfRule type="containsText" priority="437" operator="containsText" id="{87A3ECA7-A233-4331-A94B-ECEE8F2A5186}">
            <xm:f>NOT(ISERROR(SEARCH($X$6,K238)))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38" operator="containsText" id="{AA79F433-A699-4FC3-A37C-93AACD27F7E2}">
            <xm:f>NOT(ISERROR(SEARCH($X$5,K238)))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39" operator="containsText" id="{505237D5-EE9D-4FDF-ABDA-EFC27E52126F}">
            <xm:f>NOT(ISERROR(SEARCH($X$4,K238)))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40" operator="containsText" id="{FC8F6058-45B5-4C0D-BF70-7E0B54D9B5A4}">
            <xm:f>NOT(ISERROR(SEARCH($X$3,K238)))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K238:K239</xm:sqref>
        </x14:conditionalFormatting>
        <x14:conditionalFormatting xmlns:xm="http://schemas.microsoft.com/office/excel/2006/main">
          <x14:cfRule type="containsText" priority="433" operator="containsText" id="{2435C297-E142-4CD7-9D02-B8575F3C3386}">
            <xm:f>NOT(ISERROR(SEARCH($X$6,K240)))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34" operator="containsText" id="{9BFCE3F3-D762-4C42-84B1-1310D8D1E278}">
            <xm:f>NOT(ISERROR(SEARCH($X$5,K240)))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35" operator="containsText" id="{0AFD8D12-2F3F-4BF1-A2EB-55F074804171}">
            <xm:f>NOT(ISERROR(SEARCH($X$4,K240)))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36" operator="containsText" id="{4C0183A1-3EBF-4B25-BD0B-B71620B3E76C}">
            <xm:f>NOT(ISERROR(SEARCH($X$3,K240)))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K240</xm:sqref>
        </x14:conditionalFormatting>
        <x14:conditionalFormatting xmlns:xm="http://schemas.microsoft.com/office/excel/2006/main">
          <x14:cfRule type="containsText" priority="429" operator="containsText" id="{BCD27C1C-B887-4A65-AB2C-89CD3F4138B7}">
            <xm:f>NOT(ISERROR(SEARCH($X$6,K241)))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30" operator="containsText" id="{19584B94-F16E-45AF-B343-88ECF5DD15DD}">
            <xm:f>NOT(ISERROR(SEARCH($X$5,K241)))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31" operator="containsText" id="{90478EE4-C809-497D-94FD-61329056026A}">
            <xm:f>NOT(ISERROR(SEARCH($X$4,K241)))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32" operator="containsText" id="{64FDB35F-4B45-483C-A522-D0384E2A62F7}">
            <xm:f>NOT(ISERROR(SEARCH($X$3,K241)))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K241:K242</xm:sqref>
        </x14:conditionalFormatting>
        <x14:conditionalFormatting xmlns:xm="http://schemas.microsoft.com/office/excel/2006/main">
          <x14:cfRule type="containsText" priority="425" operator="containsText" id="{0F071B3D-7680-48E5-99E5-401DC65878E1}">
            <xm:f>NOT(ISERROR(SEARCH($X$6,K243)))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26" operator="containsText" id="{25EEF181-E471-44FC-B347-80CC950D9E67}">
            <xm:f>NOT(ISERROR(SEARCH($X$5,K243)))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27" operator="containsText" id="{73A52EEB-9311-4D15-B765-75452D9AEEAE}">
            <xm:f>NOT(ISERROR(SEARCH($X$4,K243)))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28" operator="containsText" id="{2ADB8136-185A-4B94-BED8-0464F2C0EDD5}">
            <xm:f>NOT(ISERROR(SEARCH($X$3,K243)))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K243:K244</xm:sqref>
        </x14:conditionalFormatting>
        <x14:conditionalFormatting xmlns:xm="http://schemas.microsoft.com/office/excel/2006/main">
          <x14:cfRule type="containsText" priority="421" operator="containsText" id="{701A0840-313D-476A-89DE-F96C35229D1D}">
            <xm:f>NOT(ISERROR(SEARCH($X$6,K245)))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22" operator="containsText" id="{E9CBAAFF-B8ED-40D9-83BF-D3591D192252}">
            <xm:f>NOT(ISERROR(SEARCH($X$5,K245)))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23" operator="containsText" id="{495237D1-B48A-4F1A-8255-32B6D3F1C1D7}">
            <xm:f>NOT(ISERROR(SEARCH($X$4,K245)))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24" operator="containsText" id="{920B1700-C277-4B69-B69B-5BA2B1548F27}">
            <xm:f>NOT(ISERROR(SEARCH($X$3,K245)))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K245:K246</xm:sqref>
        </x14:conditionalFormatting>
        <x14:conditionalFormatting xmlns:xm="http://schemas.microsoft.com/office/excel/2006/main">
          <x14:cfRule type="containsText" priority="417" operator="containsText" id="{B86028EA-F7A6-40BC-86BB-C90A84A69CF6}">
            <xm:f>NOT(ISERROR(SEARCH($X$6,K247)))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18" operator="containsText" id="{F0FB7BD6-0DA9-4330-8DE0-A08516E970F5}">
            <xm:f>NOT(ISERROR(SEARCH($X$5,K247)))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19" operator="containsText" id="{B7B4E047-F159-4214-99FD-6DF86F33B68B}">
            <xm:f>NOT(ISERROR(SEARCH($X$4,K247)))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20" operator="containsText" id="{212EC8E8-70BC-48E9-BE31-AD1C2E12CD69}">
            <xm:f>NOT(ISERROR(SEARCH($X$3,K247)))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K247:K248</xm:sqref>
        </x14:conditionalFormatting>
        <x14:conditionalFormatting xmlns:xm="http://schemas.microsoft.com/office/excel/2006/main">
          <x14:cfRule type="containsText" priority="413" operator="containsText" id="{14370A82-FE4F-4D4A-A06F-41F5A6019C61}">
            <xm:f>NOT(ISERROR(SEARCH($X$6,K249)))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14" operator="containsText" id="{254BAA15-6D50-4FB6-87FF-3F701F7F2622}">
            <xm:f>NOT(ISERROR(SEARCH($X$5,K249)))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15" operator="containsText" id="{ED1F6940-AA88-481A-B219-883E815EFEA9}">
            <xm:f>NOT(ISERROR(SEARCH($X$4,K249)))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16" operator="containsText" id="{D754379E-595A-4FE4-97BF-F94519457F03}">
            <xm:f>NOT(ISERROR(SEARCH($X$3,K249)))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K249:K250</xm:sqref>
        </x14:conditionalFormatting>
        <x14:conditionalFormatting xmlns:xm="http://schemas.microsoft.com/office/excel/2006/main">
          <x14:cfRule type="containsText" priority="409" operator="containsText" id="{7422CE17-1257-4475-9448-D4481D4B1DF5}">
            <xm:f>NOT(ISERROR(SEARCH($X$6,K251)))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10" operator="containsText" id="{97E876E1-539D-41EB-85BC-A34D4A54D5F7}">
            <xm:f>NOT(ISERROR(SEARCH($X$5,K251)))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11" operator="containsText" id="{98F734F1-451A-4CC5-B726-E9C10AFBE799}">
            <xm:f>NOT(ISERROR(SEARCH($X$4,K251)))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12" operator="containsText" id="{1B9FE0A5-1C7D-405A-9817-71832ACA7B22}">
            <xm:f>NOT(ISERROR(SEARCH($X$3,K251)))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K251:K252</xm:sqref>
        </x14:conditionalFormatting>
        <x14:conditionalFormatting xmlns:xm="http://schemas.microsoft.com/office/excel/2006/main">
          <x14:cfRule type="containsText" priority="405" operator="containsText" id="{6A05E0A5-5A65-4B5F-BEF8-D9F382673256}">
            <xm:f>NOT(ISERROR(SEARCH($X$6,K253)))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06" operator="containsText" id="{F6161598-37B5-44D6-8A3D-2AD51CB52DFA}">
            <xm:f>NOT(ISERROR(SEARCH($X$5,K253)))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07" operator="containsText" id="{07EEEEA4-13C5-40F1-B401-40967A95E813}">
            <xm:f>NOT(ISERROR(SEARCH($X$4,K253)))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08" operator="containsText" id="{3E7B86DB-050C-4F6E-BAF5-363AEEBE58F7}">
            <xm:f>NOT(ISERROR(SEARCH($X$3,K253)))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K253:K254</xm:sqref>
        </x14:conditionalFormatting>
        <x14:conditionalFormatting xmlns:xm="http://schemas.microsoft.com/office/excel/2006/main">
          <x14:cfRule type="containsText" priority="401" operator="containsText" id="{DDBBF630-1EFD-4FE5-961B-B5548623257A}">
            <xm:f>NOT(ISERROR(SEARCH($X$6,K255)))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02" operator="containsText" id="{18296AD6-A2FC-4A00-82A2-7971E8DEAA3E}">
            <xm:f>NOT(ISERROR(SEARCH($X$5,K255)))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03" operator="containsText" id="{2CFE2416-BF10-4365-8134-6B5BA503D405}">
            <xm:f>NOT(ISERROR(SEARCH($X$4,K255)))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04" operator="containsText" id="{5E5964C1-D47A-4020-8B24-18E906379D6D}">
            <xm:f>NOT(ISERROR(SEARCH($X$3,K255)))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K255:K256</xm:sqref>
        </x14:conditionalFormatting>
        <x14:conditionalFormatting xmlns:xm="http://schemas.microsoft.com/office/excel/2006/main">
          <x14:cfRule type="containsText" priority="397" operator="containsText" id="{77611A34-2CE1-44DF-892A-9857F1CB4A1D}">
            <xm:f>NOT(ISERROR(SEARCH($X$6,K257)))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98" operator="containsText" id="{AEBE6C30-2FB2-4B3A-9D11-FCD46BA510CE}">
            <xm:f>NOT(ISERROR(SEARCH($X$5,K257)))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99" operator="containsText" id="{E68D260B-0083-428D-8F95-04DC03330335}">
            <xm:f>NOT(ISERROR(SEARCH($X$4,K257)))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00" operator="containsText" id="{FCD4F563-B231-45D6-9220-0F30550624B2}">
            <xm:f>NOT(ISERROR(SEARCH($X$3,K257)))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393" operator="containsText" id="{DA993791-B3E5-44D9-A412-A92D42518602}">
            <xm:f>NOT(ISERROR(SEARCH($X$6,K259)))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94" operator="containsText" id="{624447A1-4AB2-4C25-A03D-38E01D431A08}">
            <xm:f>NOT(ISERROR(SEARCH($X$5,K259)))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95" operator="containsText" id="{D4747063-B922-487C-907C-A05795459EE8}">
            <xm:f>NOT(ISERROR(SEARCH($X$4,K259)))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96" operator="containsText" id="{5AAD1B49-7D1C-4ECE-A63E-DC8FFC0327FA}">
            <xm:f>NOT(ISERROR(SEARCH($X$3,K259)))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K259:K260</xm:sqref>
        </x14:conditionalFormatting>
        <x14:conditionalFormatting xmlns:xm="http://schemas.microsoft.com/office/excel/2006/main">
          <x14:cfRule type="containsText" priority="389" operator="containsText" id="{685654DB-4657-407E-BDCF-36EFDEC05EEF}">
            <xm:f>NOT(ISERROR(SEARCH($X$6,K261)))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90" operator="containsText" id="{0595476B-4F93-43A6-BDE8-300B84DC276E}">
            <xm:f>NOT(ISERROR(SEARCH($X$5,K261)))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91" operator="containsText" id="{15B3AF76-2EDA-4D73-B26B-7A19FF643B0A}">
            <xm:f>NOT(ISERROR(SEARCH($X$4,K261)))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92" operator="containsText" id="{919A3BAE-1E3A-4D93-B14C-EA8873763A17}">
            <xm:f>NOT(ISERROR(SEARCH($X$3,K261)))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K261:K262</xm:sqref>
        </x14:conditionalFormatting>
        <x14:conditionalFormatting xmlns:xm="http://schemas.microsoft.com/office/excel/2006/main">
          <x14:cfRule type="containsText" priority="385" operator="containsText" id="{5EC82B7C-209A-4F14-9C5C-FAFC9A31F852}">
            <xm:f>NOT(ISERROR(SEARCH($X$6,K263)))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86" operator="containsText" id="{AED98F12-AA83-44F6-AB25-6C967964C6A4}">
            <xm:f>NOT(ISERROR(SEARCH($X$5,K263)))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87" operator="containsText" id="{8B72A384-2AE6-45FC-AD4D-4DD4B37393CE}">
            <xm:f>NOT(ISERROR(SEARCH($X$4,K263)))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88" operator="containsText" id="{C3485396-A8EA-4E4C-AE75-B28CD67AA3AE}">
            <xm:f>NOT(ISERROR(SEARCH($X$3,K263)))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381" operator="containsText" id="{79AC5EF2-7E09-4223-80BA-5FE4EB038829}">
            <xm:f>NOT(ISERROR(SEARCH($X$6,K265)))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82" operator="containsText" id="{F49916E8-0076-4F57-8C53-0C7F7BFFC72F}">
            <xm:f>NOT(ISERROR(SEARCH($X$5,K265)))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83" operator="containsText" id="{4AE87977-7FCA-43A4-BB27-03728A2771F4}">
            <xm:f>NOT(ISERROR(SEARCH($X$4,K265)))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84" operator="containsText" id="{89BA95B0-B94A-4038-A389-7F7158EE4569}">
            <xm:f>NOT(ISERROR(SEARCH($X$3,K265)))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K265:K266</xm:sqref>
        </x14:conditionalFormatting>
        <x14:conditionalFormatting xmlns:xm="http://schemas.microsoft.com/office/excel/2006/main">
          <x14:cfRule type="containsText" priority="377" operator="containsText" id="{238B5D4E-CDAD-4378-B5A4-BBF906C11EC8}">
            <xm:f>NOT(ISERROR(SEARCH($X$6,K267)))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78" operator="containsText" id="{5AFB745B-16C5-45D1-A328-7C2D73CA9352}">
            <xm:f>NOT(ISERROR(SEARCH($X$5,K267)))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79" operator="containsText" id="{590A0B7D-A6E3-439B-8D18-2FDF88E5BC86}">
            <xm:f>NOT(ISERROR(SEARCH($X$4,K267)))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80" operator="containsText" id="{131EA4A8-4931-431C-825E-9C0F962A6132}">
            <xm:f>NOT(ISERROR(SEARCH($X$3,K267)))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K267:K268</xm:sqref>
        </x14:conditionalFormatting>
        <x14:conditionalFormatting xmlns:xm="http://schemas.microsoft.com/office/excel/2006/main">
          <x14:cfRule type="containsText" priority="373" operator="containsText" id="{F8C5EA18-BC40-42ED-B833-C4077C4FDB7F}">
            <xm:f>NOT(ISERROR(SEARCH($X$6,K269)))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74" operator="containsText" id="{81B5D8E7-F89E-4117-ADA2-66F477EA7A94}">
            <xm:f>NOT(ISERROR(SEARCH($X$5,K269)))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75" operator="containsText" id="{ACB08BE4-8554-403B-9E37-1E1CDCA324DA}">
            <xm:f>NOT(ISERROR(SEARCH($X$4,K269)))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76" operator="containsText" id="{EB3E4915-593A-4BBE-AC3A-8A1639D09DF4}">
            <xm:f>NOT(ISERROR(SEARCH($X$3,K269)))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K269:K270</xm:sqref>
        </x14:conditionalFormatting>
        <x14:conditionalFormatting xmlns:xm="http://schemas.microsoft.com/office/excel/2006/main">
          <x14:cfRule type="containsText" priority="369" operator="containsText" id="{8E1E3033-F8B0-404D-B3BC-E04FE7A5D6DA}">
            <xm:f>NOT(ISERROR(SEARCH($X$6,K271)))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70" operator="containsText" id="{994118D1-0ADC-4B75-A141-958D39378E4E}">
            <xm:f>NOT(ISERROR(SEARCH($X$5,K271)))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71" operator="containsText" id="{9A1FFFF9-DF64-4FA8-BB13-4D29EC151344}">
            <xm:f>NOT(ISERROR(SEARCH($X$4,K271)))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72" operator="containsText" id="{047EB6AE-7E89-44F8-BCDC-A69E84AADEC6}">
            <xm:f>NOT(ISERROR(SEARCH($X$3,K271)))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K271:K272</xm:sqref>
        </x14:conditionalFormatting>
        <x14:conditionalFormatting xmlns:xm="http://schemas.microsoft.com/office/excel/2006/main">
          <x14:cfRule type="containsText" priority="365" operator="containsText" id="{36E0E5E8-ED44-472C-AB85-1B42F1B4FE35}">
            <xm:f>NOT(ISERROR(SEARCH($X$6,K273)))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66" operator="containsText" id="{26CC4E77-AFC3-421F-9072-9B15CDD69A50}">
            <xm:f>NOT(ISERROR(SEARCH($X$5,K273)))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67" operator="containsText" id="{E02806D8-CA96-4C78-8D75-9AE6B6F57E41}">
            <xm:f>NOT(ISERROR(SEARCH($X$4,K273)))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68" operator="containsText" id="{51B18048-D00E-44DB-81F6-F909C3A5CD40}">
            <xm:f>NOT(ISERROR(SEARCH($X$3,K273)))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K273:K274</xm:sqref>
        </x14:conditionalFormatting>
        <x14:conditionalFormatting xmlns:xm="http://schemas.microsoft.com/office/excel/2006/main">
          <x14:cfRule type="containsText" priority="361" operator="containsText" id="{B8A8FA88-0549-4423-BE6C-0530D7E97511}">
            <xm:f>NOT(ISERROR(SEARCH($X$6,K275)))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62" operator="containsText" id="{C16D5124-229A-4A11-BD86-3BCDF16594F9}">
            <xm:f>NOT(ISERROR(SEARCH($X$5,K275)))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63" operator="containsText" id="{979550A1-0D23-4E85-8149-4919419DDEA8}">
            <xm:f>NOT(ISERROR(SEARCH($X$4,K275)))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64" operator="containsText" id="{5395FEC9-C096-4F45-99AB-93844AEE7DFC}">
            <xm:f>NOT(ISERROR(SEARCH($X$3,K275)))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K275</xm:sqref>
        </x14:conditionalFormatting>
        <x14:conditionalFormatting xmlns:xm="http://schemas.microsoft.com/office/excel/2006/main">
          <x14:cfRule type="containsText" priority="357" operator="containsText" id="{FF85654B-34B0-429C-BACE-7EE2BF42E572}">
            <xm:f>NOT(ISERROR(SEARCH($X$6,K276)))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58" operator="containsText" id="{4852A07E-DCDB-43E7-BA3D-2771974F0D71}">
            <xm:f>NOT(ISERROR(SEARCH($X$5,K276)))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59" operator="containsText" id="{518D8702-308A-43BF-A68F-36101DEF63E3}">
            <xm:f>NOT(ISERROR(SEARCH($X$4,K276)))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60" operator="containsText" id="{A2EA2B5C-9460-44C8-8CD3-090F9BC91B8C}">
            <xm:f>NOT(ISERROR(SEARCH($X$3,K276)))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K276:K277</xm:sqref>
        </x14:conditionalFormatting>
        <x14:conditionalFormatting xmlns:xm="http://schemas.microsoft.com/office/excel/2006/main">
          <x14:cfRule type="containsText" priority="353" operator="containsText" id="{0004D5C9-1D9B-45A3-AF3E-0283B5F2020D}">
            <xm:f>NOT(ISERROR(SEARCH($X$6,K278)))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54" operator="containsText" id="{670AA2B1-14FE-4C87-88E6-716D023EDA70}">
            <xm:f>NOT(ISERROR(SEARCH($X$5,K278)))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55" operator="containsText" id="{A9FD4CC0-4AE2-4B16-8204-D3ECFDA37F5E}">
            <xm:f>NOT(ISERROR(SEARCH($X$4,K278)))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56" operator="containsText" id="{EBBF0353-8811-4B23-8041-1863A83E0640}">
            <xm:f>NOT(ISERROR(SEARCH($X$3,K278)))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K278:K279</xm:sqref>
        </x14:conditionalFormatting>
        <x14:conditionalFormatting xmlns:xm="http://schemas.microsoft.com/office/excel/2006/main">
          <x14:cfRule type="containsText" priority="349" operator="containsText" id="{619FC7E2-115E-4461-830B-37917FB6F3B2}">
            <xm:f>NOT(ISERROR(SEARCH($X$6,K282)))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50" operator="containsText" id="{D5AD9BB6-7459-4EB3-80D2-B04B9E543B20}">
            <xm:f>NOT(ISERROR(SEARCH($X$5,K282)))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51" operator="containsText" id="{7A0A76A4-8622-4F86-BFA5-B201A944111E}">
            <xm:f>NOT(ISERROR(SEARCH($X$4,K282)))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52" operator="containsText" id="{6959F47F-57AA-480D-8674-A1B5FD114C7A}">
            <xm:f>NOT(ISERROR(SEARCH($X$3,K282)))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K282:K283</xm:sqref>
        </x14:conditionalFormatting>
        <x14:conditionalFormatting xmlns:xm="http://schemas.microsoft.com/office/excel/2006/main">
          <x14:cfRule type="containsText" priority="341" operator="containsText" id="{477A5F07-2B1D-47D0-9AC9-16FCBB44155A}">
            <xm:f>NOT(ISERROR(SEARCH($X$6,K284)))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42" operator="containsText" id="{9D8B664D-6CD7-4C74-9023-9AB442029940}">
            <xm:f>NOT(ISERROR(SEARCH($X$5,K284)))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43" operator="containsText" id="{49607FC2-46F2-4091-A4EA-4106BEC1DB5F}">
            <xm:f>NOT(ISERROR(SEARCH($X$4,K284)))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44" operator="containsText" id="{8DB8F53F-E55D-48B9-98BE-11FF1BBB31BE}">
            <xm:f>NOT(ISERROR(SEARCH($X$3,K284)))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K284:K285</xm:sqref>
        </x14:conditionalFormatting>
        <x14:conditionalFormatting xmlns:xm="http://schemas.microsoft.com/office/excel/2006/main">
          <x14:cfRule type="containsText" priority="337" operator="containsText" id="{0626B765-1742-4D8C-9B50-57AE1E3C7EAF}">
            <xm:f>NOT(ISERROR(SEARCH($X$6,K286)))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38" operator="containsText" id="{B53AA26E-320B-4CFC-813D-193BA4DC295C}">
            <xm:f>NOT(ISERROR(SEARCH($X$5,K286)))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39" operator="containsText" id="{75F0CC0E-D2E1-407B-9894-C857F242BD22}">
            <xm:f>NOT(ISERROR(SEARCH($X$4,K286)))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40" operator="containsText" id="{D3540F7E-F5DB-4ED7-B053-E7C80A875936}">
            <xm:f>NOT(ISERROR(SEARCH($X$3,K286)))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K286:K287</xm:sqref>
        </x14:conditionalFormatting>
        <x14:conditionalFormatting xmlns:xm="http://schemas.microsoft.com/office/excel/2006/main">
          <x14:cfRule type="containsText" priority="333" operator="containsText" id="{3AF2879D-BD16-4C82-801D-7E1C1537D153}">
            <xm:f>NOT(ISERROR(SEARCH($X$6,K290)))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34" operator="containsText" id="{EC77659E-C541-42B2-AB53-E1CB21AE0B7D}">
            <xm:f>NOT(ISERROR(SEARCH($X$5,K290)))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35" operator="containsText" id="{43B54DE4-9C51-4EC6-85A3-FB9F0C6107C6}">
            <xm:f>NOT(ISERROR(SEARCH($X$4,K290)))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36" operator="containsText" id="{86A628DA-F4F8-4A5D-AAA6-E8E35C8FC199}">
            <xm:f>NOT(ISERROR(SEARCH($X$3,K290)))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K290:K291</xm:sqref>
        </x14:conditionalFormatting>
        <x14:conditionalFormatting xmlns:xm="http://schemas.microsoft.com/office/excel/2006/main">
          <x14:cfRule type="containsText" priority="329" operator="containsText" id="{54F09F60-39C9-4F44-89F3-716A8B24ACAF}">
            <xm:f>NOT(ISERROR(SEARCH($X$6,K292)))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30" operator="containsText" id="{2F1DF147-9F26-4836-AA93-59DA94D7B8FD}">
            <xm:f>NOT(ISERROR(SEARCH($X$5,K292)))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31" operator="containsText" id="{902F4B2E-EF18-4291-A26A-20056E15FD52}">
            <xm:f>NOT(ISERROR(SEARCH($X$4,K292)))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32" operator="containsText" id="{DAE7FAAB-CDF2-4E49-B883-C530E67C55DD}">
            <xm:f>NOT(ISERROR(SEARCH($X$3,K292)))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K292:K293</xm:sqref>
        </x14:conditionalFormatting>
        <x14:conditionalFormatting xmlns:xm="http://schemas.microsoft.com/office/excel/2006/main">
          <x14:cfRule type="containsText" priority="325" operator="containsText" id="{796C0608-42E0-4987-A5B7-B79BCF1B6891}">
            <xm:f>NOT(ISERROR(SEARCH($X$6,K296)))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26" operator="containsText" id="{0AB4C3ED-2E95-4A1D-B875-EADC8CC85D4E}">
            <xm:f>NOT(ISERROR(SEARCH($X$5,K296)))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27" operator="containsText" id="{05805C4E-B7B2-4687-A936-BA71B8208EAB}">
            <xm:f>NOT(ISERROR(SEARCH($X$4,K296)))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28" operator="containsText" id="{E3702DB2-11C8-4DFC-A1EA-596CF1471E8A}">
            <xm:f>NOT(ISERROR(SEARCH($X$3,K296)))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K296:K297</xm:sqref>
        </x14:conditionalFormatting>
        <x14:conditionalFormatting xmlns:xm="http://schemas.microsoft.com/office/excel/2006/main">
          <x14:cfRule type="containsText" priority="321" operator="containsText" id="{49EF6048-34B4-4624-9138-D6F4F3005BC2}">
            <xm:f>NOT(ISERROR(SEARCH($X$6,K298)))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22" operator="containsText" id="{2E2D418F-E0DD-4E22-8734-09D402266B7C}">
            <xm:f>NOT(ISERROR(SEARCH($X$5,K298)))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23" operator="containsText" id="{F7FA9884-F3B5-40C3-860C-7AAA2C66858D}">
            <xm:f>NOT(ISERROR(SEARCH($X$4,K298)))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24" operator="containsText" id="{0774D6CF-E5A5-45D7-82D5-F2B2A0C760CD}">
            <xm:f>NOT(ISERROR(SEARCH($X$3,K298)))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K298</xm:sqref>
        </x14:conditionalFormatting>
        <x14:conditionalFormatting xmlns:xm="http://schemas.microsoft.com/office/excel/2006/main">
          <x14:cfRule type="containsText" priority="309" operator="containsText" id="{73460C04-D85E-470A-9D9E-4395CCF490DC}">
            <xm:f>NOT(ISERROR(SEARCH($X$6,K299)))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10" operator="containsText" id="{46F14458-3B9C-4953-B6DF-FE0CA78552B3}">
            <xm:f>NOT(ISERROR(SEARCH($X$5,K299)))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11" operator="containsText" id="{47C1BA7E-D11F-4E86-89C4-604E666F7893}">
            <xm:f>NOT(ISERROR(SEARCH($X$4,K299)))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12" operator="containsText" id="{B9A000A7-B836-4B0A-981B-64F9BBA92C1C}">
            <xm:f>NOT(ISERROR(SEARCH($X$3,K299)))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K299</xm:sqref>
        </x14:conditionalFormatting>
        <x14:conditionalFormatting xmlns:xm="http://schemas.microsoft.com/office/excel/2006/main">
          <x14:cfRule type="containsText" priority="301" operator="containsText" id="{B8584022-78F4-4AF7-8408-688B7AC22054}">
            <xm:f>NOT(ISERROR(SEARCH($X$6,K300)))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02" operator="containsText" id="{DA192235-FAA1-446E-8759-5E9021AB382B}">
            <xm:f>NOT(ISERROR(SEARCH($X$5,K300)))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03" operator="containsText" id="{52734C84-CC05-4CA2-B9D4-348047E7692E}">
            <xm:f>NOT(ISERROR(SEARCH($X$4,K300)))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04" operator="containsText" id="{126367B1-FF74-487D-98A6-271B83C3BEDC}">
            <xm:f>NOT(ISERROR(SEARCH($X$3,K300)))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K300:K301</xm:sqref>
        </x14:conditionalFormatting>
        <x14:conditionalFormatting xmlns:xm="http://schemas.microsoft.com/office/excel/2006/main">
          <x14:cfRule type="containsText" priority="297" operator="containsText" id="{B8A79BB1-663A-454C-B6EC-823EA81341E4}">
            <xm:f>NOT(ISERROR(SEARCH($X$6,K302)))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98" operator="containsText" id="{190AB58D-18AD-409E-A39F-A4A66C1C6955}">
            <xm:f>NOT(ISERROR(SEARCH($X$5,K302)))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99" operator="containsText" id="{EC302EA1-7E0D-4426-A84C-495AE5CC2CC5}">
            <xm:f>NOT(ISERROR(SEARCH($X$4,K302)))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00" operator="containsText" id="{AF9B5D42-F236-4F2A-8CE3-1FDDFFE9A0E7}">
            <xm:f>NOT(ISERROR(SEARCH($X$3,K302)))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K302:K303</xm:sqref>
        </x14:conditionalFormatting>
        <x14:conditionalFormatting xmlns:xm="http://schemas.microsoft.com/office/excel/2006/main">
          <x14:cfRule type="containsText" priority="293" operator="containsText" id="{DB86FDF5-FC5A-4B5C-BD7D-B81F477B1A6F}">
            <xm:f>NOT(ISERROR(SEARCH($X$6,K301)))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94" operator="containsText" id="{F37FAFE3-3746-46DF-ADA8-5CB2EFE3F3AE}">
            <xm:f>NOT(ISERROR(SEARCH($X$5,K301)))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95" operator="containsText" id="{E545AEBD-82DB-4191-82DB-91CA5D9A1CEE}">
            <xm:f>NOT(ISERROR(SEARCH($X$4,K301)))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96" operator="containsText" id="{AF75862E-0C97-4139-A2E7-C711BC3843C4}">
            <xm:f>NOT(ISERROR(SEARCH($X$3,K301)))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K301</xm:sqref>
        </x14:conditionalFormatting>
        <x14:conditionalFormatting xmlns:xm="http://schemas.microsoft.com/office/excel/2006/main">
          <x14:cfRule type="containsText" priority="289" operator="containsText" id="{E23AFB5D-BA80-4291-9477-8F53DE614CC5}">
            <xm:f>NOT(ISERROR(SEARCH($X$6,K302)))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90" operator="containsText" id="{2E18F499-65D5-4861-B165-4C08F0D0AEFB}">
            <xm:f>NOT(ISERROR(SEARCH($X$5,K302)))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91" operator="containsText" id="{82ACAE56-8166-4A7C-9D6C-78EBA0449EC1}">
            <xm:f>NOT(ISERROR(SEARCH($X$4,K302)))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92" operator="containsText" id="{F5FF1004-E56D-4C25-B2ED-3C87139DCA6E}">
            <xm:f>NOT(ISERROR(SEARCH($X$3,K302)))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K302</xm:sqref>
        </x14:conditionalFormatting>
        <x14:conditionalFormatting xmlns:xm="http://schemas.microsoft.com/office/excel/2006/main">
          <x14:cfRule type="containsText" priority="285" operator="containsText" id="{9D6A6030-512F-438C-A0DC-8972E3EEFCCA}">
            <xm:f>NOT(ISERROR(SEARCH($X$6,K303)))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86" operator="containsText" id="{BCA5DBF3-878D-4705-B5F1-8DE59ACCFD6A}">
            <xm:f>NOT(ISERROR(SEARCH($X$5,K303)))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87" operator="containsText" id="{4049A4F5-BB8E-403F-B497-394ADA0C5051}">
            <xm:f>NOT(ISERROR(SEARCH($X$4,K303)))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88" operator="containsText" id="{F6CFE7FA-A4BA-425B-A64B-4E851363471B}">
            <xm:f>NOT(ISERROR(SEARCH($X$3,K303)))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K303:K304</xm:sqref>
        </x14:conditionalFormatting>
        <x14:conditionalFormatting xmlns:xm="http://schemas.microsoft.com/office/excel/2006/main">
          <x14:cfRule type="containsText" priority="277" operator="containsText" id="{110A2FD9-7062-481B-B121-56E5D812AF7A}">
            <xm:f>NOT(ISERROR(SEARCH($X$6,K308)))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78" operator="containsText" id="{B98BF35B-06E5-4970-8900-BC68EE2E210F}">
            <xm:f>NOT(ISERROR(SEARCH($X$5,K308)))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79" operator="containsText" id="{1AB8E650-CB1D-48F4-B3F2-F94D66DF468B}">
            <xm:f>NOT(ISERROR(SEARCH($X$4,K308)))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80" operator="containsText" id="{35F788C7-C9E6-403D-A72A-E0EC61F95B29}">
            <xm:f>NOT(ISERROR(SEARCH($X$3,K308)))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K308</xm:sqref>
        </x14:conditionalFormatting>
        <x14:conditionalFormatting xmlns:xm="http://schemas.microsoft.com/office/excel/2006/main">
          <x14:cfRule type="containsText" priority="269" operator="containsText" id="{05AA6BEB-9F77-42FD-BDF6-7C2DAFD0EC4A}">
            <xm:f>NOT(ISERROR(SEARCH($X$6,K308)))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70" operator="containsText" id="{51969682-B5E9-4C8F-AA0C-E29C62C6A291}">
            <xm:f>NOT(ISERROR(SEARCH($X$5,K308)))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71" operator="containsText" id="{35A197F6-F009-48F8-85D7-2959C65CDB0A}">
            <xm:f>NOT(ISERROR(SEARCH($X$4,K308)))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72" operator="containsText" id="{8B5483A0-7B35-4107-AF68-03C5ABD43231}">
            <xm:f>NOT(ISERROR(SEARCH($X$3,K308)))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K308</xm:sqref>
        </x14:conditionalFormatting>
        <x14:conditionalFormatting xmlns:xm="http://schemas.microsoft.com/office/excel/2006/main">
          <x14:cfRule type="containsText" priority="257" operator="containsText" id="{8076532F-635C-445E-9978-FEA3F0A44632}">
            <xm:f>NOT(ISERROR(SEARCH($X$6,K312)))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58" operator="containsText" id="{21246D45-6CC4-4C47-8FDE-48DA172155AA}">
            <xm:f>NOT(ISERROR(SEARCH($X$5,K312)))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59" operator="containsText" id="{F9A9A2E1-3785-43B4-A9D6-A22DD49DEA75}">
            <xm:f>NOT(ISERROR(SEARCH($X$4,K312)))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60" operator="containsText" id="{7058105C-9706-465E-A0AC-82470EE67970}">
            <xm:f>NOT(ISERROR(SEARCH($X$3,K312)))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K312</xm:sqref>
        </x14:conditionalFormatting>
        <x14:conditionalFormatting xmlns:xm="http://schemas.microsoft.com/office/excel/2006/main">
          <x14:cfRule type="containsText" priority="253" operator="containsText" id="{A2675B2B-C962-48C4-877F-257F1BF84894}">
            <xm:f>NOT(ISERROR(SEARCH($X$6,K309)))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54" operator="containsText" id="{BECD9A9C-1850-48C5-88DA-94D5AA830189}">
            <xm:f>NOT(ISERROR(SEARCH($X$5,K309)))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55" operator="containsText" id="{0FC18961-B9C2-44C3-9195-99C9D629A3F3}">
            <xm:f>NOT(ISERROR(SEARCH($X$4,K309)))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56" operator="containsText" id="{99E95EE0-3887-4766-93B2-70A4B906CC6A}">
            <xm:f>NOT(ISERROR(SEARCH($X$3,K309)))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K309</xm:sqref>
        </x14:conditionalFormatting>
        <x14:conditionalFormatting xmlns:xm="http://schemas.microsoft.com/office/excel/2006/main">
          <x14:cfRule type="containsText" priority="249" operator="containsText" id="{242ADECC-AFCC-47FF-9209-EF4C2AD19E63}">
            <xm:f>NOT(ISERROR(SEARCH($X$6,K310)))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50" operator="containsText" id="{460C04D9-392A-45C2-9D42-F9AE30B088EA}">
            <xm:f>NOT(ISERROR(SEARCH($X$5,K310)))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51" operator="containsText" id="{69544FD6-C56F-45E3-806C-B0A47BB6E2BA}">
            <xm:f>NOT(ISERROR(SEARCH($X$4,K310)))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52" operator="containsText" id="{9CF18C37-2EE2-4899-8A6E-7E62778ABE97}">
            <xm:f>NOT(ISERROR(SEARCH($X$3,K310)))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K310:K311</xm:sqref>
        </x14:conditionalFormatting>
        <x14:conditionalFormatting xmlns:xm="http://schemas.microsoft.com/office/excel/2006/main">
          <x14:cfRule type="containsText" priority="245" operator="containsText" id="{C0DD5E60-BF10-46A4-BC02-89454289D582}">
            <xm:f>NOT(ISERROR(SEARCH($X$6,K309)))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46" operator="containsText" id="{C6C63166-6D61-4E51-9A58-B4CC138F9CD8}">
            <xm:f>NOT(ISERROR(SEARCH($X$5,K309)))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47" operator="containsText" id="{CF06ECAD-8C5F-478F-B967-B47648ED7A5E}">
            <xm:f>NOT(ISERROR(SEARCH($X$4,K309)))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48" operator="containsText" id="{E26747AA-2FC6-4838-BE29-9CE224EB2F1E}">
            <xm:f>NOT(ISERROR(SEARCH($X$3,K309)))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K309</xm:sqref>
        </x14:conditionalFormatting>
        <x14:conditionalFormatting xmlns:xm="http://schemas.microsoft.com/office/excel/2006/main">
          <x14:cfRule type="containsText" priority="241" operator="containsText" id="{E4610ABF-EE84-4C37-814A-0AAE3478CE68}">
            <xm:f>NOT(ISERROR(SEARCH($X$6,K310)))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42" operator="containsText" id="{16E247B0-66C6-49DF-9B23-BF55B6F816E9}">
            <xm:f>NOT(ISERROR(SEARCH($X$5,K310)))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43" operator="containsText" id="{ACEA47A0-C693-4C36-BD76-89B1CB35607B}">
            <xm:f>NOT(ISERROR(SEARCH($X$4,K310)))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44" operator="containsText" id="{DB5D4620-C0BB-4BA2-A99C-6C07888C9F22}">
            <xm:f>NOT(ISERROR(SEARCH($X$3,K310)))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K310</xm:sqref>
        </x14:conditionalFormatting>
        <x14:conditionalFormatting xmlns:xm="http://schemas.microsoft.com/office/excel/2006/main">
          <x14:cfRule type="containsText" priority="237" operator="containsText" id="{234DCE1A-9037-4BD2-BEB4-23EB3900711B}">
            <xm:f>NOT(ISERROR(SEARCH($X$6,K311)))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38" operator="containsText" id="{8F34A8C1-8059-4318-90B3-520FA0F0080E}">
            <xm:f>NOT(ISERROR(SEARCH($X$5,K311)))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39" operator="containsText" id="{96CE38FE-34AC-45AA-9EAC-0F434879FACE}">
            <xm:f>NOT(ISERROR(SEARCH($X$4,K311)))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40" operator="containsText" id="{2AE51EC4-2B88-402E-B481-4E81FC8C51AF}">
            <xm:f>NOT(ISERROR(SEARCH($X$3,K311)))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K311:K312</xm:sqref>
        </x14:conditionalFormatting>
        <x14:conditionalFormatting xmlns:xm="http://schemas.microsoft.com/office/excel/2006/main">
          <x14:cfRule type="containsText" priority="233" operator="containsText" id="{4E595830-3F1F-4DDF-A0F3-1471E3A53430}">
            <xm:f>NOT(ISERROR(SEARCH($X$6,K315)))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34" operator="containsText" id="{9E813235-AD8B-48C1-BA3A-14B0EF53547A}">
            <xm:f>NOT(ISERROR(SEARCH($X$5,K315)))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35" operator="containsText" id="{4729DA72-DB41-488B-B9CA-368F3A65A5A2}">
            <xm:f>NOT(ISERROR(SEARCH($X$4,K315)))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36" operator="containsText" id="{C5C3948D-A06F-4E9B-A8E0-FD4128130AB7}">
            <xm:f>NOT(ISERROR(SEARCH($X$3,K315)))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K315</xm:sqref>
        </x14:conditionalFormatting>
        <x14:conditionalFormatting xmlns:xm="http://schemas.microsoft.com/office/excel/2006/main">
          <x14:cfRule type="containsText" priority="229" operator="containsText" id="{2C6AA174-EF93-48A9-9504-B9C1426A6AAD}">
            <xm:f>NOT(ISERROR(SEARCH($X$6,K316)))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30" operator="containsText" id="{68B6DDC3-3D12-4BB7-A9C8-4E2A0016E9C9}">
            <xm:f>NOT(ISERROR(SEARCH($X$5,K316)))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31" operator="containsText" id="{6DA612B5-621C-4699-9A35-EF6898A7B2ED}">
            <xm:f>NOT(ISERROR(SEARCH($X$4,K316)))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32" operator="containsText" id="{E3A8AF19-E009-4FE0-9AE3-1AC57F429D64}">
            <xm:f>NOT(ISERROR(SEARCH($X$3,K316)))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K316:K317</xm:sqref>
        </x14:conditionalFormatting>
        <x14:conditionalFormatting xmlns:xm="http://schemas.microsoft.com/office/excel/2006/main">
          <x14:cfRule type="containsText" priority="225" operator="containsText" id="{57AEF4AA-A4E4-417A-B0D6-5127965606F2}">
            <xm:f>NOT(ISERROR(SEARCH($X$6,K315)))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26" operator="containsText" id="{56899DBB-3D53-46C3-A401-6504AA3472C2}">
            <xm:f>NOT(ISERROR(SEARCH($X$5,K315)))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27" operator="containsText" id="{4413BB03-38C4-484B-8E9D-42326558CA56}">
            <xm:f>NOT(ISERROR(SEARCH($X$4,K315)))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" operator="containsText" id="{18BEC6B6-57F4-45E9-A714-F61C4B3BA79C}">
            <xm:f>NOT(ISERROR(SEARCH($X$3,K315)))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K315</xm:sqref>
        </x14:conditionalFormatting>
        <x14:conditionalFormatting xmlns:xm="http://schemas.microsoft.com/office/excel/2006/main">
          <x14:cfRule type="containsText" priority="221" operator="containsText" id="{1694E8B5-B949-4DBF-A3C1-6E7DBDBCCBBD}">
            <xm:f>NOT(ISERROR(SEARCH($X$6,K316)))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22" operator="containsText" id="{FFB143E0-B256-4CB1-8E26-F35B9246E30A}">
            <xm:f>NOT(ISERROR(SEARCH($X$5,K316)))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23" operator="containsText" id="{AE6B572F-5AA4-40EB-BECC-D5D97BDBAC70}">
            <xm:f>NOT(ISERROR(SEARCH($X$4,K316)))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24" operator="containsText" id="{AB0832FA-E83C-4660-A94C-24B9BFB8B73D}">
            <xm:f>NOT(ISERROR(SEARCH($X$3,K316)))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K316</xm:sqref>
        </x14:conditionalFormatting>
        <x14:conditionalFormatting xmlns:xm="http://schemas.microsoft.com/office/excel/2006/main">
          <x14:cfRule type="containsText" priority="217" operator="containsText" id="{E9D5C4DF-9C6F-4F38-8B14-4CF8EC098345}">
            <xm:f>NOT(ISERROR(SEARCH($X$6,K317)))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18" operator="containsText" id="{E2DDDE66-2A7F-4FFD-9A40-30DCEF87BB20}">
            <xm:f>NOT(ISERROR(SEARCH($X$5,K317)))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19" operator="containsText" id="{15AD6593-08A9-41A8-9CF7-B9EB685227C4}">
            <xm:f>NOT(ISERROR(SEARCH($X$4,K317)))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20" operator="containsText" id="{401CDEE0-EC88-4CED-97EC-F14607EA26F1}">
            <xm:f>NOT(ISERROR(SEARCH($X$3,K317)))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K317</xm:sqref>
        </x14:conditionalFormatting>
        <x14:conditionalFormatting xmlns:xm="http://schemas.microsoft.com/office/excel/2006/main">
          <x14:cfRule type="containsText" priority="213" operator="containsText" id="{88DCA211-1327-449F-B314-F813694A9B42}">
            <xm:f>NOT(ISERROR(SEARCH($X$6,K320)))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14" operator="containsText" id="{BB4A8022-D1A2-49E3-8C8A-CFF80D5F551A}">
            <xm:f>NOT(ISERROR(SEARCH($X$5,K320)))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15" operator="containsText" id="{B9A6D46A-4651-499C-8A86-9529D40BFF07}">
            <xm:f>NOT(ISERROR(SEARCH($X$4,K320)))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16" operator="containsText" id="{ECB143A7-FD65-449D-8E51-B9B347C009D7}">
            <xm:f>NOT(ISERROR(SEARCH($X$3,K320)))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K320</xm:sqref>
        </x14:conditionalFormatting>
        <x14:conditionalFormatting xmlns:xm="http://schemas.microsoft.com/office/excel/2006/main">
          <x14:cfRule type="containsText" priority="205" operator="containsText" id="{0F803E54-44F7-40A9-8149-1025DCD5B759}">
            <xm:f>NOT(ISERROR(SEARCH($X$6,K321)))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6" operator="containsText" id="{5403D29C-1B88-415D-BF1F-6157CF655195}">
            <xm:f>NOT(ISERROR(SEARCH($X$5,K321)))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7" operator="containsText" id="{2912EF11-9ABA-40E5-B851-46DC2C88844F}">
            <xm:f>NOT(ISERROR(SEARCH($X$4,K321)))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8" operator="containsText" id="{562C28F3-DB35-4F49-B141-CE768742ADA3}">
            <xm:f>NOT(ISERROR(SEARCH($X$3,K321)))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K321:K322</xm:sqref>
        </x14:conditionalFormatting>
        <x14:conditionalFormatting xmlns:xm="http://schemas.microsoft.com/office/excel/2006/main">
          <x14:cfRule type="containsText" priority="201" operator="containsText" id="{C5D5594F-A70F-41BE-BB17-153BBB78EC6F}">
            <xm:f>NOT(ISERROR(SEARCH($X$6,K323)))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2" operator="containsText" id="{2EEDEBE2-E0F6-4EA6-8AE7-624E11882C87}">
            <xm:f>NOT(ISERROR(SEARCH($X$5,K323)))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3" operator="containsText" id="{FD4B8226-3568-4B11-B179-BB88E8336B33}">
            <xm:f>NOT(ISERROR(SEARCH($X$4,K323)))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4" operator="containsText" id="{7C4F8A64-8538-4139-981F-608D57159159}">
            <xm:f>NOT(ISERROR(SEARCH($X$3,K323)))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K323:K324</xm:sqref>
        </x14:conditionalFormatting>
        <x14:conditionalFormatting xmlns:xm="http://schemas.microsoft.com/office/excel/2006/main">
          <x14:cfRule type="containsText" priority="197" operator="containsText" id="{B8CF02AB-24D8-4AC3-A3A6-4DEB9C95356C}">
            <xm:f>NOT(ISERROR(SEARCH($X$6,K327)))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" operator="containsText" id="{2F4A08B5-8D8E-41F9-8326-3BFC0988A949}">
            <xm:f>NOT(ISERROR(SEARCH($X$5,K327)))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9" operator="containsText" id="{1CC068E5-CC50-474E-98BA-E4F0DA3FF8CF}">
            <xm:f>NOT(ISERROR(SEARCH($X$4,K327)))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0" operator="containsText" id="{F7CF0B87-D35C-4B96-99CC-A81B96F3D952}">
            <xm:f>NOT(ISERROR(SEARCH($X$3,K327)))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K327:K328</xm:sqref>
        </x14:conditionalFormatting>
        <x14:conditionalFormatting xmlns:xm="http://schemas.microsoft.com/office/excel/2006/main">
          <x14:cfRule type="containsText" priority="193" operator="containsText" id="{1B48501D-0811-4DAB-848F-FB756BA8E043}">
            <xm:f>NOT(ISERROR(SEARCH($X$6,K329)))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4" operator="containsText" id="{9BE01F30-F57B-4D94-A2C5-22B5F681F7E7}">
            <xm:f>NOT(ISERROR(SEARCH($X$5,K329)))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5" operator="containsText" id="{12BB5C6A-0618-4C0A-B412-9522700B4446}">
            <xm:f>NOT(ISERROR(SEARCH($X$4,K329)))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6" operator="containsText" id="{2B6C9358-6569-46CA-8699-9AE2DC0A0317}">
            <xm:f>NOT(ISERROR(SEARCH($X$3,K329)))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K329:K330</xm:sqref>
        </x14:conditionalFormatting>
        <x14:conditionalFormatting xmlns:xm="http://schemas.microsoft.com/office/excel/2006/main">
          <x14:cfRule type="containsText" priority="189" operator="containsText" id="{D05CAFA5-6F0B-4957-B694-58FAE4C5E7A2}">
            <xm:f>NOT(ISERROR(SEARCH($X$6,K331)))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0" operator="containsText" id="{9AFC516A-E617-450F-92BD-36F2CE214B89}">
            <xm:f>NOT(ISERROR(SEARCH($X$5,K331)))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1" operator="containsText" id="{8815A104-5E06-4DDF-A687-3792E2E0635A}">
            <xm:f>NOT(ISERROR(SEARCH($X$4,K331)))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2" operator="containsText" id="{AAE48F89-AC01-43F9-A6F4-75947B5AC620}">
            <xm:f>NOT(ISERROR(SEARCH($X$3,K331)))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K331:K332</xm:sqref>
        </x14:conditionalFormatting>
        <x14:conditionalFormatting xmlns:xm="http://schemas.microsoft.com/office/excel/2006/main">
          <x14:cfRule type="containsText" priority="185" operator="containsText" id="{385DB446-89B5-4E09-940F-303D8C652508}">
            <xm:f>NOT(ISERROR(SEARCH($X$6,K333)))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" operator="containsText" id="{5B3D0BE8-9F23-4885-B6ED-BA922D8A429E}">
            <xm:f>NOT(ISERROR(SEARCH($X$5,K333)))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7" operator="containsText" id="{CBDB57E4-BE55-43B5-AFC2-137B8915622C}">
            <xm:f>NOT(ISERROR(SEARCH($X$4,K333)))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8" operator="containsText" id="{DFB1BA9B-E9FA-4382-BFA5-C4161A3CF97A}">
            <xm:f>NOT(ISERROR(SEARCH($X$3,K333)))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K333:K334</xm:sqref>
        </x14:conditionalFormatting>
        <x14:conditionalFormatting xmlns:xm="http://schemas.microsoft.com/office/excel/2006/main">
          <x14:cfRule type="containsText" priority="181" operator="containsText" id="{527D70E0-089E-4721-B222-5A43E7C22B77}">
            <xm:f>NOT(ISERROR(SEARCH($X$6,K335)))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2" operator="containsText" id="{39A141C7-2629-47DF-9E6F-D49620F2750E}">
            <xm:f>NOT(ISERROR(SEARCH($X$5,K335)))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3" operator="containsText" id="{2459F609-991E-4A46-8524-36A8522778BC}">
            <xm:f>NOT(ISERROR(SEARCH($X$4,K335)))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4" operator="containsText" id="{C5DFDB2C-3BC0-4DD3-A465-8B7B9214443C}">
            <xm:f>NOT(ISERROR(SEARCH($X$3,K335)))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77" operator="containsText" id="{C382C6E5-252A-499C-9238-981395DA815E}">
            <xm:f>NOT(ISERROR(SEARCH($X$6,K337)))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8" operator="containsText" id="{6B1FAF38-3F77-474B-95C0-29CE6E954B25}">
            <xm:f>NOT(ISERROR(SEARCH($X$5,K337)))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9" operator="containsText" id="{2912DC54-3F3D-440C-82F0-564D2F4F61BA}">
            <xm:f>NOT(ISERROR(SEARCH($X$4,K337)))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" operator="containsText" id="{AA70DAE0-CE75-439E-94B2-0B5CD332BC9A}">
            <xm:f>NOT(ISERROR(SEARCH($X$3,K337)))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K337:K338</xm:sqref>
        </x14:conditionalFormatting>
        <x14:conditionalFormatting xmlns:xm="http://schemas.microsoft.com/office/excel/2006/main">
          <x14:cfRule type="containsText" priority="173" operator="containsText" id="{1245ED99-6594-4483-8A74-8280E390878C}">
            <xm:f>NOT(ISERROR(SEARCH($X$6,K341)))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4" operator="containsText" id="{8CC9546F-91C5-4FE1-89A2-13F511DA4F09}">
            <xm:f>NOT(ISERROR(SEARCH($X$5,K341)))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5" operator="containsText" id="{705C5E0C-9218-4646-95BC-3476BFA84637}">
            <xm:f>NOT(ISERROR(SEARCH($X$4,K341)))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6" operator="containsText" id="{0E9C693A-203E-4BCA-9879-D4BC4DB1A155}">
            <xm:f>NOT(ISERROR(SEARCH($X$3,K341)))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K341:K342</xm:sqref>
        </x14:conditionalFormatting>
        <x14:conditionalFormatting xmlns:xm="http://schemas.microsoft.com/office/excel/2006/main">
          <x14:cfRule type="containsText" priority="169" operator="containsText" id="{E25BF971-A62F-4314-8D6C-067FB5CAB951}">
            <xm:f>NOT(ISERROR(SEARCH($X$6,K343)))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70" operator="containsText" id="{DE67FB4E-DF20-4A3F-942B-9185C0F922D0}">
            <xm:f>NOT(ISERROR(SEARCH($X$5,K343)))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71" operator="containsText" id="{6B386098-43B4-4A06-824C-78C1AB7389D6}">
            <xm:f>NOT(ISERROR(SEARCH($X$4,K343)))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72" operator="containsText" id="{C340C407-3633-4D50-A72C-36DE18E2FCF8}">
            <xm:f>NOT(ISERROR(SEARCH($X$3,K343)))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K343:K344</xm:sqref>
        </x14:conditionalFormatting>
        <x14:conditionalFormatting xmlns:xm="http://schemas.microsoft.com/office/excel/2006/main">
          <x14:cfRule type="containsText" priority="165" operator="containsText" id="{4B7DCCD2-860C-4225-B705-96EAB037D173}">
            <xm:f>NOT(ISERROR(SEARCH($X$6,K345)))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6" operator="containsText" id="{B6E45733-76D9-43E5-8050-CDAE0FA5F50F}">
            <xm:f>NOT(ISERROR(SEARCH($X$5,K345)))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7" operator="containsText" id="{7AF616C5-45C4-4E16-9A19-C058AB01852F}">
            <xm:f>NOT(ISERROR(SEARCH($X$4,K345)))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8" operator="containsText" id="{11A684DC-E560-449C-A010-1452EEAF84E3}">
            <xm:f>NOT(ISERROR(SEARCH($X$3,K345)))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61" operator="containsText" id="{868F78E3-E829-4DC4-8B40-A758F9E59773}">
            <xm:f>NOT(ISERROR(SEARCH($X$6,K347)))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62" operator="containsText" id="{C749FA05-3ED8-40F8-98B0-DC1B47550DD0}">
            <xm:f>NOT(ISERROR(SEARCH($X$5,K347)))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63" operator="containsText" id="{3914BCA2-6DE9-4E07-A030-77CF93C0E027}">
            <xm:f>NOT(ISERROR(SEARCH($X$4,K347)))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4" operator="containsText" id="{69B89D62-B01F-43D0-8FF1-E6CFE35B0889}">
            <xm:f>NOT(ISERROR(SEARCH($X$3,K347)))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K347:K348</xm:sqref>
        </x14:conditionalFormatting>
        <x14:conditionalFormatting xmlns:xm="http://schemas.microsoft.com/office/excel/2006/main">
          <x14:cfRule type="containsText" priority="157" operator="containsText" id="{02E7C635-A672-4FA6-B993-076EB2B5CBBF}">
            <xm:f>NOT(ISERROR(SEARCH($X$6,K349)))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8" operator="containsText" id="{1101864E-342E-4C36-8230-0BABFC8E550A}">
            <xm:f>NOT(ISERROR(SEARCH($X$5,K349)))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9" operator="containsText" id="{DA1BEC9A-C98B-471A-9F1D-79388B9E444C}">
            <xm:f>NOT(ISERROR(SEARCH($X$4,K349)))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0" operator="containsText" id="{4842B325-0151-4D9E-866A-21EF7F3D3086}">
            <xm:f>NOT(ISERROR(SEARCH($X$3,K349)))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K349:K350</xm:sqref>
        </x14:conditionalFormatting>
        <x14:conditionalFormatting xmlns:xm="http://schemas.microsoft.com/office/excel/2006/main">
          <x14:cfRule type="containsText" priority="153" operator="containsText" id="{594ED43D-580C-4815-9742-14C160CC3EB3}">
            <xm:f>NOT(ISERROR(SEARCH($X$6,K351)))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" operator="containsText" id="{DC7789A4-34D3-484E-8DBA-33251C1897EC}">
            <xm:f>NOT(ISERROR(SEARCH($X$5,K351)))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5" operator="containsText" id="{C18E4CBF-D69E-4038-9E55-B8BACA9BDC5A}">
            <xm:f>NOT(ISERROR(SEARCH($X$4,K351)))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6" operator="containsText" id="{0C9D4520-DF53-4A29-B615-0AB39402C7D3}">
            <xm:f>NOT(ISERROR(SEARCH($X$3,K351)))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K351:K352</xm:sqref>
        </x14:conditionalFormatting>
        <x14:conditionalFormatting xmlns:xm="http://schemas.microsoft.com/office/excel/2006/main">
          <x14:cfRule type="containsText" priority="149" operator="containsText" id="{96AA3E4D-0C9E-4C7C-B794-5F939BEB28BF}">
            <xm:f>NOT(ISERROR(SEARCH($X$6,K353)))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0" operator="containsText" id="{0CFE7976-1996-49A1-B0C1-962A7CE47274}">
            <xm:f>NOT(ISERROR(SEARCH($X$5,K353)))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1" operator="containsText" id="{5C2AAA98-5243-4333-94BD-F246BCF13062}">
            <xm:f>NOT(ISERROR(SEARCH($X$4,K353)))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2" operator="containsText" id="{8EABB2DA-5D88-4956-93DC-D0DD697CD588}">
            <xm:f>NOT(ISERROR(SEARCH($X$3,K353)))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K353:K354</xm:sqref>
        </x14:conditionalFormatting>
        <x14:conditionalFormatting xmlns:xm="http://schemas.microsoft.com/office/excel/2006/main">
          <x14:cfRule type="containsText" priority="145" operator="containsText" id="{90B4ADA2-98F5-40EF-AA34-BC1D20F39403}">
            <xm:f>NOT(ISERROR(SEARCH($X$6,K355)))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46" operator="containsText" id="{399E1B46-9836-4DD3-9602-3520FFA3F8C3}">
            <xm:f>NOT(ISERROR(SEARCH($X$5,K355)))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47" operator="containsText" id="{92745D9D-0C2D-4444-8A3F-91C2FEFF6D28}">
            <xm:f>NOT(ISERROR(SEARCH($X$4,K355)))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48" operator="containsText" id="{A65BB8D9-56BC-46B3-A2D2-83AD3CB32282}">
            <xm:f>NOT(ISERROR(SEARCH($X$3,K355)))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K355:K356</xm:sqref>
        </x14:conditionalFormatting>
        <x14:conditionalFormatting xmlns:xm="http://schemas.microsoft.com/office/excel/2006/main">
          <x14:cfRule type="containsText" priority="141" operator="containsText" id="{50F81B23-584B-4A4D-BD3D-4499A8A6B6E3}">
            <xm:f>NOT(ISERROR(SEARCH($X$6,K357)))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42" operator="containsText" id="{71E31627-5C2F-466C-8CB6-002B19A5E6D9}">
            <xm:f>NOT(ISERROR(SEARCH($X$5,K357)))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43" operator="containsText" id="{8EF520BA-E745-4DF4-9FA1-B1EA72018AC6}">
            <xm:f>NOT(ISERROR(SEARCH($X$4,K357)))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44" operator="containsText" id="{1B55EF36-8DDA-439F-BE34-C3F09C98D27E}">
            <xm:f>NOT(ISERROR(SEARCH($X$3,K357)))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K357:K358</xm:sqref>
        </x14:conditionalFormatting>
        <x14:conditionalFormatting xmlns:xm="http://schemas.microsoft.com/office/excel/2006/main">
          <x14:cfRule type="containsText" priority="137" operator="containsText" id="{818DCA25-CAAC-47F4-9F0F-A928A05BB3B2}">
            <xm:f>NOT(ISERROR(SEARCH($X$6,K359)))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8" operator="containsText" id="{01A8FA6A-9F67-451B-965C-6C52053A6A18}">
            <xm:f>NOT(ISERROR(SEARCH($X$5,K359)))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9" operator="containsText" id="{7C872D38-56BC-4A38-B5D3-D4BCCD8CE0F2}">
            <xm:f>NOT(ISERROR(SEARCH($X$4,K359)))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40" operator="containsText" id="{00E2CE99-11CF-447B-B83C-ACAF9C759D51}">
            <xm:f>NOT(ISERROR(SEARCH($X$3,K359)))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K359:K360</xm:sqref>
        </x14:conditionalFormatting>
        <x14:conditionalFormatting xmlns:xm="http://schemas.microsoft.com/office/excel/2006/main">
          <x14:cfRule type="containsText" priority="133" operator="containsText" id="{36D56D6F-29BC-4895-8C52-57AABA668D70}">
            <xm:f>NOT(ISERROR(SEARCH($X$6,K361)))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4" operator="containsText" id="{EFEEAB14-4D33-42FA-8253-30288193A203}">
            <xm:f>NOT(ISERROR(SEARCH($X$5,K361)))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5" operator="containsText" id="{C3403E88-BFC8-43CA-9EA1-F4014AB44434}">
            <xm:f>NOT(ISERROR(SEARCH($X$4,K361)))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6" operator="containsText" id="{C3E0E920-4B85-4D30-B629-765D0BC9E556}">
            <xm:f>NOT(ISERROR(SEARCH($X$3,K361)))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K361:K362</xm:sqref>
        </x14:conditionalFormatting>
        <x14:conditionalFormatting xmlns:xm="http://schemas.microsoft.com/office/excel/2006/main">
          <x14:cfRule type="containsText" priority="129" operator="containsText" id="{D7FE0A2A-2043-4AB2-A214-79293675B98F}">
            <xm:f>NOT(ISERROR(SEARCH($X$6,K363)))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30" operator="containsText" id="{0B534650-2698-4A90-8DD3-62CA9E749180}">
            <xm:f>NOT(ISERROR(SEARCH($X$5,K363)))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31" operator="containsText" id="{9ED60613-6280-4D3C-BA1E-78E8784CF6A9}">
            <xm:f>NOT(ISERROR(SEARCH($X$4,K363)))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32" operator="containsText" id="{6A482B38-F0C8-4347-B733-E369E8E6BA2F}">
            <xm:f>NOT(ISERROR(SEARCH($X$3,K363)))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K363:K364</xm:sqref>
        </x14:conditionalFormatting>
        <x14:conditionalFormatting xmlns:xm="http://schemas.microsoft.com/office/excel/2006/main">
          <x14:cfRule type="containsText" priority="125" operator="containsText" id="{6D2A2E95-78F5-42DF-9D48-F45E4D864111}">
            <xm:f>NOT(ISERROR(SEARCH($X$6,K365)))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26" operator="containsText" id="{442227CD-6D4C-4564-A3A7-996A3A9A9004}">
            <xm:f>NOT(ISERROR(SEARCH($X$5,K365)))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27" operator="containsText" id="{16685120-93D5-4AC7-B94E-EF16DB4A5CE8}">
            <xm:f>NOT(ISERROR(SEARCH($X$4,K365)))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8" operator="containsText" id="{99D84BFE-A5D6-40F4-8C4C-893DA98EE323}">
            <xm:f>NOT(ISERROR(SEARCH($X$3,K365)))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K365</xm:sqref>
        </x14:conditionalFormatting>
        <x14:conditionalFormatting xmlns:xm="http://schemas.microsoft.com/office/excel/2006/main">
          <x14:cfRule type="containsText" priority="117" operator="containsText" id="{A6611CE7-1AD4-420D-8A82-2D46B80BDAE5}">
            <xm:f>NOT(ISERROR(SEARCH($X$6,K370)))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18" operator="containsText" id="{BC6934F1-DF82-4FDB-8832-C536C4CC16A7}">
            <xm:f>NOT(ISERROR(SEARCH($X$5,K370)))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19" operator="containsText" id="{ACBAC3BD-99FC-493A-9698-6063A8BAC423}">
            <xm:f>NOT(ISERROR(SEARCH($X$4,K370)))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0" operator="containsText" id="{4C8F321B-B02A-42FC-883A-138656AD1859}">
            <xm:f>NOT(ISERROR(SEARCH($X$3,K370)))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K370:K371</xm:sqref>
        </x14:conditionalFormatting>
        <x14:conditionalFormatting xmlns:xm="http://schemas.microsoft.com/office/excel/2006/main">
          <x14:cfRule type="containsText" priority="113" operator="containsText" id="{276C5432-AACD-44D9-8A77-909D24B577F2}">
            <xm:f>NOT(ISERROR(SEARCH($X$6,K372)))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14" operator="containsText" id="{956A2B25-43BB-4919-9313-1FE8A6246158}">
            <xm:f>NOT(ISERROR(SEARCH($X$5,K372)))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15" operator="containsText" id="{CDBFA645-B672-42C7-B190-A1A991907C1A}">
            <xm:f>NOT(ISERROR(SEARCH($X$4,K372)))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16" operator="containsText" id="{B6D420B4-9B85-4C0A-901E-037DA4E43ACA}">
            <xm:f>NOT(ISERROR(SEARCH($X$3,K372)))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K372:K373</xm:sqref>
        </x14:conditionalFormatting>
        <x14:conditionalFormatting xmlns:xm="http://schemas.microsoft.com/office/excel/2006/main">
          <x14:cfRule type="containsText" priority="109" operator="containsText" id="{35D3466A-7B25-4C7F-AD50-322F6BB7BF2E}">
            <xm:f>NOT(ISERROR(SEARCH($X$6,K366)))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10" operator="containsText" id="{4ADA2EB6-45F9-4DFF-8D0C-0C05FF7D0A29}">
            <xm:f>NOT(ISERROR(SEARCH($X$5,K366)))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11" operator="containsText" id="{93774125-0041-4CB1-8258-ED238FAE9A54}">
            <xm:f>NOT(ISERROR(SEARCH($X$4,K366)))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12" operator="containsText" id="{7E02AE4F-920C-4C3C-8302-95F92DBF2E05}">
            <xm:f>NOT(ISERROR(SEARCH($X$3,K366)))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K366:K367</xm:sqref>
        </x14:conditionalFormatting>
        <x14:conditionalFormatting xmlns:xm="http://schemas.microsoft.com/office/excel/2006/main">
          <x14:cfRule type="containsText" priority="105" operator="containsText" id="{D22912BA-1DBE-412E-98E2-2B8B4F09EEB9}">
            <xm:f>NOT(ISERROR(SEARCH($X$6,K368)))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06" operator="containsText" id="{456A287D-40E6-4E05-B52F-70DB178E7227}">
            <xm:f>NOT(ISERROR(SEARCH($X$5,K368)))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07" operator="containsText" id="{A38DAD5C-66FF-4AF3-B695-A07F52AB6563}">
            <xm:f>NOT(ISERROR(SEARCH($X$4,K368)))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08" operator="containsText" id="{C9193025-6CC3-491D-BA4A-481A6BA9D6C1}">
            <xm:f>NOT(ISERROR(SEARCH($X$3,K368)))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K368:K369</xm:sqref>
        </x14:conditionalFormatting>
        <x14:conditionalFormatting xmlns:xm="http://schemas.microsoft.com/office/excel/2006/main">
          <x14:cfRule type="containsText" priority="101" operator="containsText" id="{B30E0513-F157-4B8C-B039-DFBCCD654D67}">
            <xm:f>NOT(ISERROR(SEARCH($X$6,K376)))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02" operator="containsText" id="{02EA3A25-085A-40ED-AB99-1D7B8F37795D}">
            <xm:f>NOT(ISERROR(SEARCH($X$5,K376)))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03" operator="containsText" id="{C7228C15-C37D-475C-AADD-81DFC05CD5D7}">
            <xm:f>NOT(ISERROR(SEARCH($X$4,K376)))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04" operator="containsText" id="{DD5853FC-6B46-4E24-AF34-9E34D93CAC0D}">
            <xm:f>NOT(ISERROR(SEARCH($X$3,K376)))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K376:K377</xm:sqref>
        </x14:conditionalFormatting>
        <x14:conditionalFormatting xmlns:xm="http://schemas.microsoft.com/office/excel/2006/main">
          <x14:cfRule type="containsText" priority="97" operator="containsText" id="{C757D471-A634-4D5B-90A8-8C30E923D5A8}">
            <xm:f>NOT(ISERROR(SEARCH($X$6,K378)))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98" operator="containsText" id="{F371199B-49A0-468F-9FB0-DBFEEAB56E84}">
            <xm:f>NOT(ISERROR(SEARCH($X$5,K378)))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99" operator="containsText" id="{5A6C27E8-5A93-4E75-9481-801AE512F10F}">
            <xm:f>NOT(ISERROR(SEARCH($X$4,K378)))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00" operator="containsText" id="{02280DA3-4E5C-451E-850F-731DF6BE9BEB}">
            <xm:f>NOT(ISERROR(SEARCH($X$3,K378)))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K378:K379</xm:sqref>
        </x14:conditionalFormatting>
        <x14:conditionalFormatting xmlns:xm="http://schemas.microsoft.com/office/excel/2006/main">
          <x14:cfRule type="containsText" priority="93" operator="containsText" id="{DA8CA68C-F7EB-4A1A-8058-382976F63B6F}">
            <xm:f>NOT(ISERROR(SEARCH($X$6,K380)))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94" operator="containsText" id="{2595BB37-982F-48F7-9F56-0B7A6349926F}">
            <xm:f>NOT(ISERROR(SEARCH($X$5,K380)))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95" operator="containsText" id="{B1FF8FE6-3BD2-472A-903A-5F095EAFE60C}">
            <xm:f>NOT(ISERROR(SEARCH($X$4,K380)))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96" operator="containsText" id="{F266D98D-2D48-4879-BF9E-ACED5CA7FB66}">
            <xm:f>NOT(ISERROR(SEARCH($X$3,K380)))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K380:K381</xm:sqref>
        </x14:conditionalFormatting>
        <x14:conditionalFormatting xmlns:xm="http://schemas.microsoft.com/office/excel/2006/main">
          <x14:cfRule type="containsText" priority="89" operator="containsText" id="{70C1EA26-947B-4A21-AC3C-46AB0262FB29}">
            <xm:f>NOT(ISERROR(SEARCH($X$6,K382)))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90" operator="containsText" id="{F0185E1C-DA88-445B-93E2-B2050846453D}">
            <xm:f>NOT(ISERROR(SEARCH($X$5,K382)))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91" operator="containsText" id="{FD9D5DBC-C3D9-4DEE-9F64-CD3A542CBB86}">
            <xm:f>NOT(ISERROR(SEARCH($X$4,K382)))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92" operator="containsText" id="{CE0FD299-1D5E-4402-8296-22808A56C36D}">
            <xm:f>NOT(ISERROR(SEARCH($X$3,K382)))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K382:K383</xm:sqref>
        </x14:conditionalFormatting>
        <x14:conditionalFormatting xmlns:xm="http://schemas.microsoft.com/office/excel/2006/main">
          <x14:cfRule type="containsText" priority="85" operator="containsText" id="{9C8B5AA1-F29E-494A-AAEA-1D02FBA16C14}">
            <xm:f>NOT(ISERROR(SEARCH($X$6,K384)))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86" operator="containsText" id="{CBB1083D-95FA-47BD-829D-FDBACD7E79E9}">
            <xm:f>NOT(ISERROR(SEARCH($X$5,K384)))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87" operator="containsText" id="{2E009192-BCAB-4CF9-A632-D7FF64D1BC8B}">
            <xm:f>NOT(ISERROR(SEARCH($X$4,K384)))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88" operator="containsText" id="{BAFE7C12-3587-4FCC-9DCD-A220D4131251}">
            <xm:f>NOT(ISERROR(SEARCH($X$3,K384)))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K384:K385</xm:sqref>
        </x14:conditionalFormatting>
        <x14:conditionalFormatting xmlns:xm="http://schemas.microsoft.com/office/excel/2006/main">
          <x14:cfRule type="containsText" priority="81" operator="containsText" id="{8177BD24-47C7-4ED1-BD01-36D2609217A4}">
            <xm:f>NOT(ISERROR(SEARCH($X$6,K386)))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82" operator="containsText" id="{27627EDE-C383-4C4C-B9C4-C21C51EEFCC5}">
            <xm:f>NOT(ISERROR(SEARCH($X$5,K386)))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83" operator="containsText" id="{79E685D0-CC14-40A0-9F0E-C569804889CD}">
            <xm:f>NOT(ISERROR(SEARCH($X$4,K386)))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84" operator="containsText" id="{D5D2F2AB-E849-4A1A-9024-2C26DF360B78}">
            <xm:f>NOT(ISERROR(SEARCH($X$3,K386)))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K386:K387</xm:sqref>
        </x14:conditionalFormatting>
        <x14:conditionalFormatting xmlns:xm="http://schemas.microsoft.com/office/excel/2006/main">
          <x14:cfRule type="containsText" priority="77" operator="containsText" id="{F6A832CB-EFAF-4AE5-A189-2BFD756B6C10}">
            <xm:f>NOT(ISERROR(SEARCH($X$6,K388)))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78" operator="containsText" id="{288F9D2D-AE90-430D-9F8F-0DB1B977FF74}">
            <xm:f>NOT(ISERROR(SEARCH($X$5,K388)))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79" operator="containsText" id="{707E77DC-4C3B-4D68-B73F-5FF4F451982E}">
            <xm:f>NOT(ISERROR(SEARCH($X$4,K388)))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80" operator="containsText" id="{B551C7F9-E232-4AF1-A62D-BC7F9C89F436}">
            <xm:f>NOT(ISERROR(SEARCH($X$3,K388)))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K388:K389</xm:sqref>
        </x14:conditionalFormatting>
        <x14:conditionalFormatting xmlns:xm="http://schemas.microsoft.com/office/excel/2006/main">
          <x14:cfRule type="containsText" priority="73" operator="containsText" id="{F4AC8C25-1ACF-4D07-99BE-4111BAC850DC}">
            <xm:f>NOT(ISERROR(SEARCH($X$6,K390)))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74" operator="containsText" id="{EFC53D97-263A-4840-9118-B5A93A0A8B29}">
            <xm:f>NOT(ISERROR(SEARCH($X$5,K390)))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75" operator="containsText" id="{A73BF7E3-49C0-42E7-B85F-0A498CE3D5DE}">
            <xm:f>NOT(ISERROR(SEARCH($X$4,K390)))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76" operator="containsText" id="{49796707-2CA6-4FF7-BDA9-B1942FE5FABC}">
            <xm:f>NOT(ISERROR(SEARCH($X$3,K390)))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K390:K391</xm:sqref>
        </x14:conditionalFormatting>
        <x14:conditionalFormatting xmlns:xm="http://schemas.microsoft.com/office/excel/2006/main">
          <x14:cfRule type="containsText" priority="69" operator="containsText" id="{EE1EF1D1-0450-4A5E-8924-14D60C112268}">
            <xm:f>NOT(ISERROR(SEARCH($X$6,K392)))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70" operator="containsText" id="{B9F5AA52-F380-42F4-9AF0-702E1CADF032}">
            <xm:f>NOT(ISERROR(SEARCH($X$5,K392)))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71" operator="containsText" id="{78625AD3-9738-4A58-BD0A-A7BE3FF245D7}">
            <xm:f>NOT(ISERROR(SEARCH($X$4,K392)))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72" operator="containsText" id="{20DB4E81-FBE6-40E6-BC12-86BC2EAB924E}">
            <xm:f>NOT(ISERROR(SEARCH($X$3,K392)))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K392:K393</xm:sqref>
        </x14:conditionalFormatting>
        <x14:conditionalFormatting xmlns:xm="http://schemas.microsoft.com/office/excel/2006/main">
          <x14:cfRule type="containsText" priority="65" operator="containsText" id="{3F4D50B7-A7F7-4018-89C3-E0AF7A82FF34}">
            <xm:f>NOT(ISERROR(SEARCH($X$6,K394)))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66" operator="containsText" id="{197C1508-5604-4FB0-A896-E13227059C60}">
            <xm:f>NOT(ISERROR(SEARCH($X$5,K394)))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67" operator="containsText" id="{DAB71F5A-9043-4F12-92C5-C3FA31A56CCC}">
            <xm:f>NOT(ISERROR(SEARCH($X$4,K394)))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68" operator="containsText" id="{42CF5ABD-8D05-4BBE-9B9B-E2F3F5B591DD}">
            <xm:f>NOT(ISERROR(SEARCH($X$3,K394)))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K394</xm:sqref>
        </x14:conditionalFormatting>
        <x14:conditionalFormatting xmlns:xm="http://schemas.microsoft.com/office/excel/2006/main">
          <x14:cfRule type="containsText" priority="61" operator="containsText" id="{18957BB8-AA9B-48CE-8ABA-958310D0896D}">
            <xm:f>NOT(ISERROR(SEARCH($X$6,K401)))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62" operator="containsText" id="{A2E89197-AABF-429F-8BDD-C8F0DDD25C5B}">
            <xm:f>NOT(ISERROR(SEARCH($X$5,K401)))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63" operator="containsText" id="{40E2D843-F4B8-4A48-A9F0-B47B8C562E1F}">
            <xm:f>NOT(ISERROR(SEARCH($X$4,K401)))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64" operator="containsText" id="{BB49214C-AA48-48B9-AEE0-C4465260C7CC}">
            <xm:f>NOT(ISERROR(SEARCH($X$3,K401)))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K401:K402</xm:sqref>
        </x14:conditionalFormatting>
        <x14:conditionalFormatting xmlns:xm="http://schemas.microsoft.com/office/excel/2006/main">
          <x14:cfRule type="containsText" priority="57" operator="containsText" id="{B145D141-ED94-4E91-9736-06B21E9DC0DC}">
            <xm:f>NOT(ISERROR(SEARCH($X$6,K403)))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8" operator="containsText" id="{03A7C29E-D3CC-4C51-A25B-E7509A8420B2}">
            <xm:f>NOT(ISERROR(SEARCH($X$5,K403)))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9" operator="containsText" id="{A7D43E8D-C9FE-4522-B324-0BFD1582DA23}">
            <xm:f>NOT(ISERROR(SEARCH($X$4,K403)))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60" operator="containsText" id="{3C56E7FD-AAD0-4A36-BB4F-73278AC8867B}">
            <xm:f>NOT(ISERROR(SEARCH($X$3,K403)))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K403:K404</xm:sqref>
        </x14:conditionalFormatting>
        <x14:conditionalFormatting xmlns:xm="http://schemas.microsoft.com/office/excel/2006/main">
          <x14:cfRule type="containsText" priority="53" operator="containsText" id="{837C9252-DBC8-4A12-8DB2-99E9F76D88AB}">
            <xm:f>NOT(ISERROR(SEARCH($X$6,K395)))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54" operator="containsText" id="{F464D015-71B2-4FDC-987C-52262BFBD986}">
            <xm:f>NOT(ISERROR(SEARCH($X$5,K395)))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55" operator="containsText" id="{5A2DC207-976C-4D0E-9776-292918495BFD}">
            <xm:f>NOT(ISERROR(SEARCH($X$4,K395)))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56" operator="containsText" id="{9D2CCE96-A6E8-4437-A586-F32C4E9A0A0C}">
            <xm:f>NOT(ISERROR(SEARCH($X$3,K395)))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K395:K396</xm:sqref>
        </x14:conditionalFormatting>
        <x14:conditionalFormatting xmlns:xm="http://schemas.microsoft.com/office/excel/2006/main">
          <x14:cfRule type="containsText" priority="45" operator="containsText" id="{4F77CA59-D434-4A76-B209-3A9F8A3B8FCA}">
            <xm:f>NOT(ISERROR(SEARCH($X$6,K397)))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6" operator="containsText" id="{5E962399-CD91-4CCA-BD58-2A6FE26D22C6}">
            <xm:f>NOT(ISERROR(SEARCH($X$5,K397)))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7" operator="containsText" id="{F8BFF8D5-CC61-45A8-95B5-0899EAAFBDEF}">
            <xm:f>NOT(ISERROR(SEARCH($X$4,K397)))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8" operator="containsText" id="{CDDA7F76-FDBF-4DDF-9C68-C367EDBF5C4B}">
            <xm:f>NOT(ISERROR(SEARCH($X$3,K397)))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K397:K398</xm:sqref>
        </x14:conditionalFormatting>
        <x14:conditionalFormatting xmlns:xm="http://schemas.microsoft.com/office/excel/2006/main">
          <x14:cfRule type="containsText" priority="41" operator="containsText" id="{32735443-5C6F-4915-9325-3C68A83421D3}">
            <xm:f>NOT(ISERROR(SEARCH($X$6,K399)))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2" operator="containsText" id="{4068900B-72C9-4FCD-8929-62BBB7FFC00A}">
            <xm:f>NOT(ISERROR(SEARCH($X$5,K399)))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3" operator="containsText" id="{EEDB7B16-FC24-4FD3-BA46-BBA336126CE5}">
            <xm:f>NOT(ISERROR(SEARCH($X$4,K399)))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4" operator="containsText" id="{BA1249A3-D26D-4BF8-B995-6F8586568B53}">
            <xm:f>NOT(ISERROR(SEARCH($X$3,K399)))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K399:K400</xm:sqref>
        </x14:conditionalFormatting>
        <x14:conditionalFormatting xmlns:xm="http://schemas.microsoft.com/office/excel/2006/main">
          <x14:cfRule type="containsText" priority="37" operator="containsText" id="{6F18E63C-728B-47CC-B1A6-3B5398491730}">
            <xm:f>NOT(ISERROR(SEARCH($X$6,K408)))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8" operator="containsText" id="{896B3254-C4A0-44FD-A79C-7166F890E381}">
            <xm:f>NOT(ISERROR(SEARCH($X$5,K408)))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9" operator="containsText" id="{0F9DC981-3DB5-4564-A444-D6FB471D1E5A}">
            <xm:f>NOT(ISERROR(SEARCH($X$4,K408)))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0" operator="containsText" id="{9DAA5FC8-FE9E-4D7F-B2DF-2B7D73EC9EC0}">
            <xm:f>NOT(ISERROR(SEARCH($X$3,K408)))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K408:K409</xm:sqref>
        </x14:conditionalFormatting>
        <x14:conditionalFormatting xmlns:xm="http://schemas.microsoft.com/office/excel/2006/main">
          <x14:cfRule type="containsText" priority="33" operator="containsText" id="{05F07CD3-377F-4EC2-A945-7AEF60304EEE}">
            <xm:f>NOT(ISERROR(SEARCH($X$6,K410)))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4" operator="containsText" id="{67EDC0C8-43AA-4E5E-A808-394EF7769DB0}">
            <xm:f>NOT(ISERROR(SEARCH($X$5,K410)))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5" operator="containsText" id="{01E47F6E-F9D2-45A2-8572-1C4ED4EEE30A}">
            <xm:f>NOT(ISERROR(SEARCH($X$4,K410)))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6" operator="containsText" id="{1CF6ED79-C450-455E-9252-07CF518E327D}">
            <xm:f>NOT(ISERROR(SEARCH($X$3,K410)))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K410:K411</xm:sqref>
        </x14:conditionalFormatting>
        <x14:conditionalFormatting xmlns:xm="http://schemas.microsoft.com/office/excel/2006/main">
          <x14:cfRule type="containsText" priority="29" operator="containsText" id="{8363251D-8FDE-484E-B470-5192ED67D362}">
            <xm:f>NOT(ISERROR(SEARCH($X$6,K412)))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30" operator="containsText" id="{2E66CEE5-647D-4628-B629-F7B0611F08CC}">
            <xm:f>NOT(ISERROR(SEARCH($X$5,K412)))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1" operator="containsText" id="{3EA607D7-5E5C-4323-947B-79B48FBBABBE}">
            <xm:f>NOT(ISERROR(SEARCH($X$4,K412)))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32" operator="containsText" id="{DFBEEB3D-220F-4C3B-98A2-B7494357EFC3}">
            <xm:f>NOT(ISERROR(SEARCH($X$3,K412)))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K412:K413</xm:sqref>
        </x14:conditionalFormatting>
        <x14:conditionalFormatting xmlns:xm="http://schemas.microsoft.com/office/excel/2006/main">
          <x14:cfRule type="containsText" priority="25" operator="containsText" id="{C58E598A-4D8A-4B3B-A88C-CA6A245F44C3}">
            <xm:f>NOT(ISERROR(SEARCH($X$6,K414)))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6" operator="containsText" id="{3AD1E8A5-02F6-46D0-BB8C-2B368D47E24B}">
            <xm:f>NOT(ISERROR(SEARCH($X$5,K414)))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7" operator="containsText" id="{63A3BF04-81C0-4896-9095-DD9DAA3FDFA9}">
            <xm:f>NOT(ISERROR(SEARCH($X$4,K414)))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8" operator="containsText" id="{A2416423-8D8C-4D2B-83E8-85EFC091242A}">
            <xm:f>NOT(ISERROR(SEARCH($X$3,K414)))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K414:K415</xm:sqref>
        </x14:conditionalFormatting>
        <x14:conditionalFormatting xmlns:xm="http://schemas.microsoft.com/office/excel/2006/main">
          <x14:cfRule type="containsText" priority="21" operator="containsText" id="{7FACFB80-34AD-45F7-9556-B3E1CD8814ED}">
            <xm:f>NOT(ISERROR(SEARCH($X$6,K421)))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2" operator="containsText" id="{2F5E3AF6-838D-4102-8029-FDC477CB03C6}">
            <xm:f>NOT(ISERROR(SEARCH($X$5,K421)))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3" operator="containsText" id="{8E6442C3-E387-43E3-AA4F-AE61FCCA4312}">
            <xm:f>NOT(ISERROR(SEARCH($X$4,K421)))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4" operator="containsText" id="{D7291FCC-2AA2-489E-BA47-ABCA98BD2AF5}">
            <xm:f>NOT(ISERROR(SEARCH($X$3,K421)))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K421:K422</xm:sqref>
        </x14:conditionalFormatting>
        <x14:conditionalFormatting xmlns:xm="http://schemas.microsoft.com/office/excel/2006/main">
          <x14:cfRule type="containsText" priority="13" operator="containsText" id="{AA4EBDDA-EC5C-4BD8-8741-451FD6E8B928}">
            <xm:f>NOT(ISERROR(SEARCH($X$6,K423)))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4" operator="containsText" id="{CD18A930-467B-49CA-9D42-42864A8C081A}">
            <xm:f>NOT(ISERROR(SEARCH($X$5,K423)))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" operator="containsText" id="{103CCF6F-789D-448E-B3E7-05798C12CE3D}">
            <xm:f>NOT(ISERROR(SEARCH($X$4,K423)))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6" operator="containsText" id="{AC68937D-9227-4DA2-9116-1ADE861320F8}">
            <xm:f>NOT(ISERROR(SEARCH($X$3,K423)))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K423:K424</xm:sqref>
        </x14:conditionalFormatting>
        <x14:conditionalFormatting xmlns:xm="http://schemas.microsoft.com/office/excel/2006/main">
          <x14:cfRule type="containsText" priority="9" operator="containsText" id="{3F3D9DB0-C7F9-49C0-A4B8-0E8D2128C990}">
            <xm:f>NOT(ISERROR(SEARCH($X$6,K425)))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0" operator="containsText" id="{C8B27362-313E-46E0-B8C5-813C521EC2F4}">
            <xm:f>NOT(ISERROR(SEARCH($X$5,K425)))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1" operator="containsText" id="{49E51462-0040-43B2-91BD-E1836C1DF551}">
            <xm:f>NOT(ISERROR(SEARCH($X$4,K425)))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2" operator="containsText" id="{9B3D2646-4C42-4554-858D-12D88DEB1E76}">
            <xm:f>NOT(ISERROR(SEARCH($X$3,K425)))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K425:K426</xm:sqref>
        </x14:conditionalFormatting>
        <x14:conditionalFormatting xmlns:xm="http://schemas.microsoft.com/office/excel/2006/main">
          <x14:cfRule type="containsText" priority="5" operator="containsText" id="{7AD24C4B-6E2C-484D-97A9-419D41F160E1}">
            <xm:f>NOT(ISERROR(SEARCH($X$6,K449)))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6" operator="containsText" id="{52FDDE9E-CA15-4CB6-81E7-9BBB430182C2}">
            <xm:f>NOT(ISERROR(SEARCH($X$5,K449)))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7" operator="containsText" id="{20CA592D-EA6A-4902-844F-BB7824D42100}">
            <xm:f>NOT(ISERROR(SEARCH($X$4,K449)))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8" operator="containsText" id="{84F2A3F8-1421-4E42-A39A-2CF083993F33}">
            <xm:f>NOT(ISERROR(SEARCH($X$3,K449)))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K449:K450</xm:sqref>
        </x14:conditionalFormatting>
        <x14:conditionalFormatting xmlns:xm="http://schemas.microsoft.com/office/excel/2006/main">
          <x14:cfRule type="containsText" priority="1" operator="containsText" id="{138606F4-248E-45B0-821A-1519CEE5508D}">
            <xm:f>NOT(ISERROR(SEARCH($X$6,K451)))</xm:f>
            <xm:f>$X$6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" operator="containsText" id="{F0D08D29-50B8-4D4F-8EBC-3172B05E6FDA}">
            <xm:f>NOT(ISERROR(SEARCH($X$5,K451)))</xm:f>
            <xm:f>$X$5</xm:f>
            <x14:dxf>
              <fill>
                <patternFill>
                  <bgColor rgb="FFFFFF00"/>
                </patternFill>
              </fill>
            </x14:dxf>
          </x14:cfRule>
          <x14:cfRule type="containsText" priority="3" operator="containsText" id="{11D08829-5C8E-4031-B613-0B8B9EDCB5F7}">
            <xm:f>NOT(ISERROR(SEARCH($X$4,K451)))</xm:f>
            <xm:f>$X$4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22741170-652B-4066-B5FA-5825F1B42F8D}">
            <xm:f>NOT(ISERROR(SEARCH($X$3,K451)))</xm:f>
            <xm:f>$X$3</xm:f>
            <x14:dxf>
              <fill>
                <patternFill>
                  <bgColor theme="0" tint="-0.34998626667073579"/>
                </patternFill>
              </fill>
            </x14:dxf>
          </x14:cfRule>
          <xm:sqref>K451:K452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V17"/>
  <sheetViews>
    <sheetView showGridLines="0" zoomScaleNormal="100" workbookViewId="0">
      <selection activeCell="B2" sqref="B2:F2"/>
    </sheetView>
  </sheetViews>
  <sheetFormatPr defaultRowHeight="15" x14ac:dyDescent="0.25"/>
  <cols>
    <col min="1" max="1" width="3" customWidth="1"/>
    <col min="2" max="2" width="32.28515625" style="1" bestFit="1" customWidth="1"/>
    <col min="3" max="3" width="12" style="1" bestFit="1" customWidth="1"/>
    <col min="4" max="4" width="15.85546875" style="1" bestFit="1" customWidth="1"/>
    <col min="5" max="5" width="17.42578125" style="1" bestFit="1" customWidth="1"/>
    <col min="6" max="6" width="17.42578125" style="1" customWidth="1"/>
    <col min="7" max="10" width="14.7109375" customWidth="1"/>
    <col min="11" max="11" width="30.7109375" bestFit="1" customWidth="1"/>
    <col min="12" max="12" width="12" bestFit="1" customWidth="1"/>
    <col min="13" max="13" width="15.85546875" bestFit="1" customWidth="1"/>
    <col min="14" max="14" width="17.42578125" bestFit="1" customWidth="1"/>
    <col min="15" max="15" width="17.42578125" customWidth="1"/>
    <col min="16" max="16" width="30.42578125" customWidth="1"/>
    <col min="17" max="17" width="49.42578125" bestFit="1" customWidth="1"/>
    <col min="18" max="18" width="12" bestFit="1" customWidth="1"/>
    <col min="19" max="19" width="15.85546875" bestFit="1" customWidth="1"/>
    <col min="20" max="20" width="17.42578125" bestFit="1" customWidth="1"/>
    <col min="21" max="21" width="17.42578125" customWidth="1"/>
    <col min="22" max="22" width="35.7109375" customWidth="1"/>
    <col min="23" max="23" width="31.85546875" bestFit="1" customWidth="1"/>
    <col min="24" max="24" width="12" bestFit="1" customWidth="1"/>
    <col min="25" max="25" width="15.85546875" bestFit="1" customWidth="1"/>
    <col min="26" max="26" width="17.42578125" bestFit="1" customWidth="1"/>
    <col min="27" max="27" width="17.42578125" customWidth="1"/>
    <col min="28" max="28" width="37.28515625" customWidth="1"/>
    <col min="29" max="29" width="39.140625" bestFit="1" customWidth="1"/>
    <col min="30" max="30" width="12" bestFit="1" customWidth="1"/>
    <col min="31" max="31" width="15.85546875" bestFit="1" customWidth="1"/>
    <col min="32" max="32" width="17.42578125" bestFit="1" customWidth="1"/>
    <col min="33" max="33" width="17.42578125" customWidth="1"/>
    <col min="34" max="34" width="35.85546875" customWidth="1"/>
    <col min="35" max="35" width="50.85546875" bestFit="1" customWidth="1"/>
    <col min="36" max="36" width="12" bestFit="1" customWidth="1"/>
    <col min="37" max="37" width="15.85546875" bestFit="1" customWidth="1"/>
    <col min="38" max="38" width="17.42578125" bestFit="1" customWidth="1"/>
    <col min="39" max="39" width="17.42578125" customWidth="1"/>
    <col min="40" max="40" width="37.42578125" customWidth="1"/>
    <col min="41" max="41" width="38.42578125" bestFit="1" customWidth="1"/>
    <col min="42" max="42" width="12" bestFit="1" customWidth="1"/>
    <col min="43" max="43" width="17.42578125" bestFit="1" customWidth="1"/>
    <col min="44" max="44" width="15.85546875" bestFit="1" customWidth="1"/>
    <col min="45" max="45" width="15.7109375" bestFit="1" customWidth="1"/>
  </cols>
  <sheetData>
    <row r="1" spans="2:48" ht="15.75" customHeight="1" x14ac:dyDescent="0.25"/>
    <row r="2" spans="2:48" ht="15.75" x14ac:dyDescent="0.25">
      <c r="B2" s="95" t="s">
        <v>138</v>
      </c>
      <c r="C2" s="96"/>
      <c r="D2" s="96"/>
      <c r="E2" s="96"/>
      <c r="F2" s="97"/>
      <c r="K2" s="95" t="s">
        <v>139</v>
      </c>
      <c r="L2" s="96"/>
      <c r="M2" s="96"/>
      <c r="N2" s="96"/>
      <c r="O2" s="97"/>
      <c r="Q2" s="95" t="s">
        <v>550</v>
      </c>
      <c r="R2" s="96"/>
      <c r="S2" s="96"/>
      <c r="T2" s="96"/>
      <c r="U2" s="97"/>
      <c r="W2" s="95" t="s">
        <v>140</v>
      </c>
      <c r="X2" s="96"/>
      <c r="Y2" s="96"/>
      <c r="Z2" s="96"/>
      <c r="AA2" s="97"/>
      <c r="AC2" s="95" t="s">
        <v>141</v>
      </c>
      <c r="AD2" s="96"/>
      <c r="AE2" s="96"/>
      <c r="AF2" s="96"/>
      <c r="AG2" s="97"/>
      <c r="AI2" s="95" t="s">
        <v>137</v>
      </c>
      <c r="AJ2" s="96"/>
      <c r="AK2" s="96"/>
      <c r="AL2" s="96"/>
      <c r="AM2" s="97"/>
      <c r="AO2" s="95" t="s">
        <v>291</v>
      </c>
      <c r="AP2" s="96"/>
      <c r="AQ2" s="96"/>
      <c r="AR2" s="96"/>
      <c r="AS2" s="97"/>
      <c r="AV2" s="91" t="s">
        <v>167</v>
      </c>
    </row>
    <row r="3" spans="2:48" ht="15.75" x14ac:dyDescent="0.25">
      <c r="B3" s="13" t="s">
        <v>156</v>
      </c>
      <c r="C3" s="12" t="str">
        <f>Checklist!$X$6</f>
        <v>Conform</v>
      </c>
      <c r="D3" s="12" t="str">
        <f>Checklist!$X$5</f>
        <v>More Restrictive</v>
      </c>
      <c r="E3" s="14" t="str">
        <f>Checklist!$X$4</f>
        <v>Less Restrictive</v>
      </c>
      <c r="F3" s="25" t="str">
        <f>Checklist!$X$3</f>
        <v>Not Applicable</v>
      </c>
      <c r="K3" s="13" t="s">
        <v>157</v>
      </c>
      <c r="L3" s="12" t="str">
        <f>Checklist!$X$6</f>
        <v>Conform</v>
      </c>
      <c r="M3" s="12" t="str">
        <f>Checklist!$X$5</f>
        <v>More Restrictive</v>
      </c>
      <c r="N3" s="14" t="str">
        <f>Checklist!$X$4</f>
        <v>Less Restrictive</v>
      </c>
      <c r="O3" s="25" t="str">
        <f>Checklist!$X$3</f>
        <v>Not Applicable</v>
      </c>
      <c r="Q3" s="13" t="s">
        <v>158</v>
      </c>
      <c r="R3" s="12" t="str">
        <f>Checklist!$X$6</f>
        <v>Conform</v>
      </c>
      <c r="S3" s="12" t="str">
        <f>Checklist!$X$5</f>
        <v>More Restrictive</v>
      </c>
      <c r="T3" s="14" t="str">
        <f>Checklist!$X$4</f>
        <v>Less Restrictive</v>
      </c>
      <c r="U3" s="25" t="str">
        <f>Checklist!$X$3</f>
        <v>Not Applicable</v>
      </c>
      <c r="W3" s="13" t="s">
        <v>160</v>
      </c>
      <c r="X3" s="12" t="str">
        <f>Checklist!$X$6</f>
        <v>Conform</v>
      </c>
      <c r="Y3" s="12" t="str">
        <f>Checklist!$X$5</f>
        <v>More Restrictive</v>
      </c>
      <c r="Z3" s="14" t="str">
        <f>Checklist!$X$4</f>
        <v>Less Restrictive</v>
      </c>
      <c r="AA3" s="25" t="str">
        <f>Checklist!$X$3</f>
        <v>Not Applicable</v>
      </c>
      <c r="AC3" s="13" t="s">
        <v>161</v>
      </c>
      <c r="AD3" s="12" t="str">
        <f>Checklist!$X$6</f>
        <v>Conform</v>
      </c>
      <c r="AE3" s="12" t="str">
        <f>Checklist!$X$5</f>
        <v>More Restrictive</v>
      </c>
      <c r="AF3" s="14" t="str">
        <f>Checklist!$X$4</f>
        <v>Less Restrictive</v>
      </c>
      <c r="AG3" s="25" t="str">
        <f>Checklist!$X$3</f>
        <v>Not Applicable</v>
      </c>
      <c r="AI3" s="13" t="s">
        <v>159</v>
      </c>
      <c r="AJ3" s="12" t="str">
        <f>Checklist!$X$6</f>
        <v>Conform</v>
      </c>
      <c r="AK3" s="12" t="str">
        <f>Checklist!$X$5</f>
        <v>More Restrictive</v>
      </c>
      <c r="AL3" s="14" t="str">
        <f>Checklist!$X$4</f>
        <v>Less Restrictive</v>
      </c>
      <c r="AM3" s="25" t="str">
        <f>Checklist!$X$3</f>
        <v>Not Applicable</v>
      </c>
      <c r="AO3" s="28" t="s">
        <v>292</v>
      </c>
      <c r="AP3" s="12" t="str">
        <f>Checklist!$X$6</f>
        <v>Conform</v>
      </c>
      <c r="AQ3" s="12" t="str">
        <f>Checklist!$X$5</f>
        <v>More Restrictive</v>
      </c>
      <c r="AR3" s="14" t="str">
        <f>Checklist!$X$4</f>
        <v>Less Restrictive</v>
      </c>
      <c r="AS3" s="25" t="str">
        <f>Checklist!$X$3</f>
        <v>Not Applicable</v>
      </c>
      <c r="AV3" s="91" t="s">
        <v>16</v>
      </c>
    </row>
    <row r="4" spans="2:48" ht="15.75" x14ac:dyDescent="0.25">
      <c r="B4" s="10" t="s">
        <v>118</v>
      </c>
      <c r="C4" s="8">
        <f>COUNTIF(Checklist!$K$17:$K$45,C3)</f>
        <v>0</v>
      </c>
      <c r="D4" s="8">
        <f>COUNTIF(Checklist!$K$17:$K$45,D3)</f>
        <v>0</v>
      </c>
      <c r="E4" s="8">
        <f>COUNTIF(Checklist!$K$17:$K$45,E3)</f>
        <v>0</v>
      </c>
      <c r="F4" s="8">
        <f>COUNTIF(Checklist!$K$17:$K$45,F3)</f>
        <v>0</v>
      </c>
      <c r="K4" s="6" t="s">
        <v>57</v>
      </c>
      <c r="L4" s="8">
        <f>COUNTIF(Checklist!$K$129:$K$133,L3)</f>
        <v>0</v>
      </c>
      <c r="M4" s="8">
        <f>COUNTIF(Checklist!$K$129:$K$133,M3)</f>
        <v>0</v>
      </c>
      <c r="N4" s="8">
        <f>COUNTIF(Checklist!$K$129:$K$133,N3)</f>
        <v>0</v>
      </c>
      <c r="O4" s="8">
        <f>COUNTIF(Checklist!$K$129:$K$133,O3)</f>
        <v>0</v>
      </c>
      <c r="Q4" s="6" t="s">
        <v>116</v>
      </c>
      <c r="R4" s="8">
        <f>COUNTIF(Checklist!$K$194:$K$207,R3)</f>
        <v>0</v>
      </c>
      <c r="S4" s="8">
        <f>COUNTIF(Checklist!$K$194:$K$207,S3)</f>
        <v>0</v>
      </c>
      <c r="T4" s="8">
        <f>COUNTIF(Checklist!$K$194:$K$207,T3)</f>
        <v>0</v>
      </c>
      <c r="U4" s="8">
        <f>COUNTIF(Checklist!$K$194:$K$207,U3)</f>
        <v>0</v>
      </c>
      <c r="W4" s="6" t="s">
        <v>146</v>
      </c>
      <c r="X4" s="8">
        <f>COUNTIF(Checklist!$K$308:$K$312,X3)</f>
        <v>0</v>
      </c>
      <c r="Y4" s="8">
        <f>COUNTIF(Checklist!$K$308:$K$312,Y3)</f>
        <v>0</v>
      </c>
      <c r="Z4" s="8">
        <f>COUNTIF(Checklist!$K$308:$K$312,Z3)</f>
        <v>0</v>
      </c>
      <c r="AA4" s="8">
        <f>COUNTIF(Checklist!$K$308:$K$312,AA3)</f>
        <v>0</v>
      </c>
      <c r="AC4" s="6" t="s">
        <v>259</v>
      </c>
      <c r="AD4" s="8">
        <f>COUNTIF(Checklist!$K$431,AD3)</f>
        <v>0</v>
      </c>
      <c r="AE4" s="8">
        <f>COUNTIF(Checklist!$K$431,AE3)</f>
        <v>0</v>
      </c>
      <c r="AF4" s="8">
        <f>COUNTIF(Checklist!$K$431,AF3)</f>
        <v>0</v>
      </c>
      <c r="AG4" s="8">
        <f>COUNTIF(Checklist!$K$431,AG3)</f>
        <v>0</v>
      </c>
      <c r="AI4" s="23" t="s">
        <v>259</v>
      </c>
      <c r="AJ4" s="24">
        <f>COUNTIF(Checklist!$K$465,AJ3)</f>
        <v>0</v>
      </c>
      <c r="AK4" s="24">
        <f>COUNTIF(Checklist!$K$465,AK3)</f>
        <v>0</v>
      </c>
      <c r="AL4" s="24">
        <f>COUNTIF(Checklist!$K$465,AL3)</f>
        <v>0</v>
      </c>
      <c r="AM4" s="24">
        <f>COUNTIF(Checklist!$K$465,AM3)</f>
        <v>0</v>
      </c>
      <c r="AO4" s="29" t="s">
        <v>293</v>
      </c>
      <c r="AP4" s="30"/>
      <c r="AQ4" s="30"/>
      <c r="AR4" s="30"/>
      <c r="AS4" s="31"/>
      <c r="AV4" s="91" t="s">
        <v>18</v>
      </c>
    </row>
    <row r="5" spans="2:48" ht="15.75" x14ac:dyDescent="0.25">
      <c r="B5" s="10" t="s">
        <v>119</v>
      </c>
      <c r="C5" s="8">
        <f>COUNTIF(Checklist!$K$48:$K$53,C3)</f>
        <v>0</v>
      </c>
      <c r="D5" s="8">
        <f>COUNTIF(Checklist!$K$48:$K$53,D3)</f>
        <v>0</v>
      </c>
      <c r="E5" s="8">
        <f>COUNTIF(Checklist!$K$48:$K$53,E3)</f>
        <v>0</v>
      </c>
      <c r="F5" s="8">
        <f>COUNTIF(Checklist!$K$48:$K$53,F3)</f>
        <v>0</v>
      </c>
      <c r="K5" s="6" t="s">
        <v>58</v>
      </c>
      <c r="L5" s="8">
        <f>COUNTIF(Checklist!$K$136:$K$141,L3)</f>
        <v>0</v>
      </c>
      <c r="M5" s="8">
        <f>COUNTIF(Checklist!$K$136:$K$141,M3)</f>
        <v>0</v>
      </c>
      <c r="N5" s="8">
        <f>COUNTIF(Checklist!$K$136:$K$141,N3)</f>
        <v>0</v>
      </c>
      <c r="O5" s="8">
        <f>COUNTIF(Checklist!$K$136:$K$141,O3)</f>
        <v>0</v>
      </c>
      <c r="Q5" s="6" t="s">
        <v>142</v>
      </c>
      <c r="R5" s="8">
        <f>COUNTIF(Checklist!$K$210:$K$212,R3)</f>
        <v>0</v>
      </c>
      <c r="S5" s="8">
        <f>COUNTIF(Checklist!$K$210:$K$212,S3)</f>
        <v>0</v>
      </c>
      <c r="T5" s="8">
        <f>COUNTIF(Checklist!$K$210:$K$212,T3)</f>
        <v>0</v>
      </c>
      <c r="U5" s="8">
        <f>COUNTIF(Checklist!$K$210:$K$212,U3)</f>
        <v>0</v>
      </c>
      <c r="W5" s="6" t="s">
        <v>144</v>
      </c>
      <c r="X5" s="8">
        <f>COUNTIF(Checklist!$K$315:$K$317,X3)</f>
        <v>0</v>
      </c>
      <c r="Y5" s="8">
        <f>COUNTIF(Checklist!$K$315:$K$317,Y3)</f>
        <v>0</v>
      </c>
      <c r="Z5" s="8">
        <f>COUNTIF(Checklist!$K$315:$K$317,Z3)</f>
        <v>0</v>
      </c>
      <c r="AA5" s="8">
        <f>COUNTIF(Checklist!$K$315:$K$317,AA3)</f>
        <v>0</v>
      </c>
      <c r="AC5" s="6" t="s">
        <v>151</v>
      </c>
      <c r="AD5" s="8">
        <f>COUNTIF(Checklist!$K$434,AD3)</f>
        <v>0</v>
      </c>
      <c r="AE5" s="8">
        <f>COUNTIF(Checklist!$K$434,AE3)</f>
        <v>0</v>
      </c>
      <c r="AF5" s="8">
        <f>COUNTIF(Checklist!$K$434,AF3)</f>
        <v>0</v>
      </c>
      <c r="AG5" s="8">
        <f>COUNTIF(Checklist!$K$434,AG3)</f>
        <v>0</v>
      </c>
      <c r="AI5" s="23" t="s">
        <v>136</v>
      </c>
      <c r="AJ5" s="24">
        <f>COUNTIF(Checklist!$K$468,AJ3)</f>
        <v>0</v>
      </c>
      <c r="AK5" s="24">
        <f>COUNTIF(Checklist!$K$468,AK3)</f>
        <v>0</v>
      </c>
      <c r="AL5" s="24">
        <f>COUNTIF(Checklist!$K$468,AL3)</f>
        <v>0</v>
      </c>
      <c r="AM5" s="24">
        <f>COUNTIF(Checklist!$K$468,AM3)</f>
        <v>0</v>
      </c>
      <c r="AV5" s="2" t="s">
        <v>17</v>
      </c>
    </row>
    <row r="6" spans="2:48" ht="15.75" x14ac:dyDescent="0.25">
      <c r="B6" s="10" t="s">
        <v>120</v>
      </c>
      <c r="C6" s="8">
        <f>COUNTIF(Checklist!$K$56:$K$66,C3)</f>
        <v>0</v>
      </c>
      <c r="D6" s="8">
        <f>COUNTIF(Checklist!$K$56:$K$66,D3)</f>
        <v>0</v>
      </c>
      <c r="E6" s="8">
        <f>COUNTIF(Checklist!$K$56:$K$66,E3)</f>
        <v>0</v>
      </c>
      <c r="F6" s="8">
        <f>COUNTIF(Checklist!$K$56:$K$66,F3)</f>
        <v>0</v>
      </c>
      <c r="K6" s="6" t="s">
        <v>59</v>
      </c>
      <c r="L6" s="8">
        <f>COUNTIF(Checklist!$K$144:$K$161,L3)</f>
        <v>0</v>
      </c>
      <c r="M6" s="8">
        <f>COUNTIF(Checklist!$K$144:$K$161,M3)</f>
        <v>0</v>
      </c>
      <c r="N6" s="8">
        <f>COUNTIF(Checklist!$K$144:$K$161,N3)</f>
        <v>0</v>
      </c>
      <c r="O6" s="8">
        <f>COUNTIF(Checklist!$K$144:$K$161,O3)</f>
        <v>0</v>
      </c>
      <c r="Q6" s="6" t="s">
        <v>143</v>
      </c>
      <c r="R6" s="8">
        <f>COUNTIF(Checklist!$K$215:$K$219,R3)</f>
        <v>0</v>
      </c>
      <c r="S6" s="8">
        <f>COUNTIF(Checklist!$K$215:$K$219,S3)</f>
        <v>0</v>
      </c>
      <c r="T6" s="8">
        <f>COUNTIF(Checklist!$K$215:$K$219,T3)</f>
        <v>0</v>
      </c>
      <c r="U6" s="8">
        <f>COUNTIF(Checklist!$K$215:$K$219,U3)</f>
        <v>0</v>
      </c>
      <c r="W6" s="6" t="s">
        <v>547</v>
      </c>
      <c r="X6" s="8">
        <f>COUNTIF(Checklist!$K$320:$K$324,X3)</f>
        <v>0</v>
      </c>
      <c r="Y6" s="8">
        <f>COUNTIF(Checklist!$K$320:$K$324,Y3)</f>
        <v>0</v>
      </c>
      <c r="Z6" s="8">
        <f>COUNTIF(Checklist!$K$320:$K$324,Z3)</f>
        <v>0</v>
      </c>
      <c r="AA6" s="8">
        <f>COUNTIF(Checklist!$K$320:$K$324,AA3)</f>
        <v>0</v>
      </c>
      <c r="AC6" s="6" t="s">
        <v>152</v>
      </c>
      <c r="AD6" s="8">
        <f>COUNTIF(Checklist!$K$437:$K$439,AD3)</f>
        <v>0</v>
      </c>
      <c r="AE6" s="8">
        <f>COUNTIF(Checklist!$K$437:$K$439,AE3)</f>
        <v>0</v>
      </c>
      <c r="AF6" s="8">
        <f>COUNTIF(Checklist!$K$437:$K$439,AF3)</f>
        <v>0</v>
      </c>
      <c r="AG6" s="8">
        <f>COUNTIF(Checklist!$K$437:$K$439,AG3)</f>
        <v>0</v>
      </c>
      <c r="AI6" s="23" t="s">
        <v>255</v>
      </c>
      <c r="AJ6" s="24">
        <f>COUNTIF(Checklist!$K$471,AJ3)</f>
        <v>0</v>
      </c>
      <c r="AK6" s="24">
        <f>COUNTIF(Checklist!$K$471,AK3)</f>
        <v>0</v>
      </c>
      <c r="AL6" s="24">
        <f>COUNTIF(Checklist!$K$471,AL3)</f>
        <v>0</v>
      </c>
      <c r="AM6" s="24">
        <f>COUNTIF(Checklist!$K$471,AM3)</f>
        <v>0</v>
      </c>
      <c r="AV6" s="2" t="s">
        <v>166</v>
      </c>
    </row>
    <row r="7" spans="2:48" ht="15.75" x14ac:dyDescent="0.25">
      <c r="B7" s="10" t="s">
        <v>121</v>
      </c>
      <c r="C7" s="8">
        <f>COUNTIF(Checklist!$K$69:$K$116,C3)</f>
        <v>0</v>
      </c>
      <c r="D7" s="8">
        <f>COUNTIF(Checklist!$K$69:$K$116,D3)</f>
        <v>0</v>
      </c>
      <c r="E7" s="8">
        <f>COUNTIF(Checklist!$K$69:$K$116,E3)</f>
        <v>0</v>
      </c>
      <c r="F7" s="8">
        <f>COUNTIF(Checklist!$K$69:$K$116,F3)</f>
        <v>0</v>
      </c>
      <c r="K7" s="6" t="s">
        <v>60</v>
      </c>
      <c r="L7" s="8">
        <f>COUNTIF(Checklist!$K$164:$K$172,L3)</f>
        <v>0</v>
      </c>
      <c r="M7" s="8">
        <f>COUNTIF(Checklist!$K$164:$K$172,M3)</f>
        <v>0</v>
      </c>
      <c r="N7" s="8">
        <f>COUNTIF(Checklist!$K$164:$K$172,N3)</f>
        <v>0</v>
      </c>
      <c r="O7" s="8">
        <f>COUNTIF(Checklist!$K$164:$K$172,O3)</f>
        <v>0</v>
      </c>
      <c r="Q7" s="6" t="s">
        <v>145</v>
      </c>
      <c r="R7" s="8">
        <f>COUNTIF(Checklist!$K$222:$K$279,R3)</f>
        <v>0</v>
      </c>
      <c r="S7" s="8">
        <f>COUNTIF(Checklist!$K$222:$K$279,S3)</f>
        <v>0</v>
      </c>
      <c r="T7" s="8">
        <f>COUNTIF(Checklist!$K$222:$K$279,T3)</f>
        <v>0</v>
      </c>
      <c r="U7" s="8">
        <f>COUNTIF(Checklist!$K$222:$K$279,U3)</f>
        <v>0</v>
      </c>
      <c r="W7" s="6" t="s">
        <v>147</v>
      </c>
      <c r="X7" s="8">
        <f>COUNTIF(Checklist!$K$327:$K$338,X3)</f>
        <v>0</v>
      </c>
      <c r="Y7" s="8">
        <f>COUNTIF(Checklist!$K$327:$K$338,Y3)</f>
        <v>0</v>
      </c>
      <c r="Z7" s="8">
        <f>COUNTIF(Checklist!$K$327:$K$338,Z3)</f>
        <v>0</v>
      </c>
      <c r="AA7" s="8">
        <f>COUNTIF(Checklist!$K$327:$K$338,AA3)</f>
        <v>0</v>
      </c>
      <c r="AC7" s="6" t="s">
        <v>153</v>
      </c>
      <c r="AD7" s="8">
        <f>COUNTIF(Checklist!$K$442:$K$443,AD3)</f>
        <v>0</v>
      </c>
      <c r="AE7" s="8">
        <f>COUNTIF(Checklist!$K$442:$K$443,AE3)</f>
        <v>0</v>
      </c>
      <c r="AF7" s="8">
        <f>COUNTIF(Checklist!$K$442:$K$443,AF3)</f>
        <v>0</v>
      </c>
      <c r="AG7" s="8">
        <f>COUNTIF(Checklist!$K$442:$K$443,AG3)</f>
        <v>0</v>
      </c>
      <c r="AI7" s="23" t="s">
        <v>256</v>
      </c>
      <c r="AJ7" s="24">
        <f>COUNTIF(Checklist!$K$474,AJ3)</f>
        <v>0</v>
      </c>
      <c r="AK7" s="24">
        <f>COUNTIF(Checklist!$K$474,AK3)</f>
        <v>0</v>
      </c>
      <c r="AL7" s="24">
        <f>COUNTIF(Checklist!$K$474,AL3)</f>
        <v>0</v>
      </c>
      <c r="AM7" s="24">
        <f>COUNTIF(Checklist!$K$474,AM3)</f>
        <v>0</v>
      </c>
    </row>
    <row r="8" spans="2:48" ht="15.75" x14ac:dyDescent="0.25">
      <c r="B8" s="11" t="s">
        <v>115</v>
      </c>
      <c r="C8" s="9">
        <f>COUNTIF(Checklist!$K$119:$K$125,C3)</f>
        <v>0</v>
      </c>
      <c r="D8" s="9">
        <f>COUNTIF(Checklist!$K$119:$K$125,D3)</f>
        <v>0</v>
      </c>
      <c r="E8" s="9">
        <f>COUNTIF(Checklist!$K$119:$K$125,E3)</f>
        <v>0</v>
      </c>
      <c r="F8" s="9">
        <f>COUNTIF(Checklist!$K$119:$K$125,F3)</f>
        <v>0</v>
      </c>
      <c r="K8" s="6" t="s">
        <v>61</v>
      </c>
      <c r="L8" s="8">
        <f>COUNTIF(Checklist!$K$175:$K$184,L3)</f>
        <v>0</v>
      </c>
      <c r="M8" s="8">
        <f>COUNTIF(Checklist!$K$175:$K$184,M3)</f>
        <v>0</v>
      </c>
      <c r="N8" s="8">
        <f>COUNTIF(Checklist!$K$175:$K$184,N3)</f>
        <v>0</v>
      </c>
      <c r="O8" s="8">
        <f>COUNTIF(Checklist!$K$175:$K$184,O3)</f>
        <v>0</v>
      </c>
      <c r="Q8" s="6" t="s">
        <v>117</v>
      </c>
      <c r="R8" s="8">
        <f>COUNTIF(Checklist!$K$282:$K$287,R3)</f>
        <v>0</v>
      </c>
      <c r="S8" s="8">
        <f>COUNTIF(Checklist!$K$282:$K$287,S3)</f>
        <v>0</v>
      </c>
      <c r="T8" s="8">
        <f>COUNTIF(Checklist!$K$282:$K$287,T3)</f>
        <v>0</v>
      </c>
      <c r="U8" s="8">
        <f>COUNTIF(Checklist!$K$282:$K$287,U3)</f>
        <v>0</v>
      </c>
      <c r="W8" s="6" t="s">
        <v>148</v>
      </c>
      <c r="X8" s="8">
        <f>COUNTIF(Checklist!$K$341:$K$373,X3)</f>
        <v>0</v>
      </c>
      <c r="Y8" s="8">
        <f>COUNTIF(Checklist!$K$341:$K$373,Y3)</f>
        <v>0</v>
      </c>
      <c r="Z8" s="8">
        <f>COUNTIF(Checklist!$K$341:$K$373,Z3)</f>
        <v>0</v>
      </c>
      <c r="AA8" s="8">
        <f>COUNTIF(Checklist!$K$341:$K$373,AA3)</f>
        <v>0</v>
      </c>
      <c r="AC8" s="6" t="s">
        <v>154</v>
      </c>
      <c r="AD8" s="8">
        <f>COUNTIF(Checklist!$K$446,AD3)</f>
        <v>0</v>
      </c>
      <c r="AE8" s="8">
        <f>COUNTIF(Checklist!$K$446,AE3)</f>
        <v>0</v>
      </c>
      <c r="AF8" s="8">
        <f>COUNTIF(Checklist!$K$446,AF3)</f>
        <v>0</v>
      </c>
      <c r="AG8" s="8">
        <f>COUNTIF(Checklist!$K$446,AG3)</f>
        <v>0</v>
      </c>
      <c r="AI8" s="23" t="s">
        <v>257</v>
      </c>
      <c r="AJ8" s="24">
        <f>COUNTIF(Checklist!$K$477:$K$482,AJ3)</f>
        <v>0</v>
      </c>
      <c r="AK8" s="24">
        <f>COUNTIF(Checklist!$K$477:$K$482,AK3)</f>
        <v>0</v>
      </c>
      <c r="AL8" s="24">
        <f>COUNTIF(Checklist!$K$477:$K$482,AL3)</f>
        <v>0</v>
      </c>
      <c r="AM8" s="24">
        <f>COUNTIF(Checklist!$K$477:$K$482,AM3)</f>
        <v>0</v>
      </c>
    </row>
    <row r="9" spans="2:48" s="2" customFormat="1" ht="15.75" x14ac:dyDescent="0.25">
      <c r="B9" s="3"/>
      <c r="C9" s="4"/>
      <c r="D9" s="4"/>
      <c r="E9" s="4"/>
      <c r="F9" s="4"/>
      <c r="K9" s="7" t="s">
        <v>62</v>
      </c>
      <c r="L9" s="9">
        <f>COUNTIF(Checklist!$K$187:$K$190,L3)</f>
        <v>0</v>
      </c>
      <c r="M9" s="9">
        <f>COUNTIF(Checklist!$K$187:$K$190,M3)</f>
        <v>0</v>
      </c>
      <c r="N9" s="9">
        <f>COUNTIF(Checklist!$K$187:$K$190,N3)</f>
        <v>0</v>
      </c>
      <c r="O9" s="9">
        <f>COUNTIF(Checklist!$K$187:$K$190,O3)</f>
        <v>0</v>
      </c>
      <c r="Q9" s="6" t="s">
        <v>545</v>
      </c>
      <c r="R9" s="8">
        <f>COUNTIF(Checklist!$K$290:$K$293,R3)</f>
        <v>0</v>
      </c>
      <c r="S9" s="8">
        <f>COUNTIF(Checklist!$K$290:$K$293,S3)</f>
        <v>0</v>
      </c>
      <c r="T9" s="8">
        <f>COUNTIF(Checklist!$K$290:$K$293,T3)</f>
        <v>0</v>
      </c>
      <c r="U9" s="8">
        <f>COUNTIF(Checklist!$K$290:$K$293,U3)</f>
        <v>0</v>
      </c>
      <c r="W9" s="6" t="s">
        <v>149</v>
      </c>
      <c r="X9" s="8">
        <f>COUNTIF(Checklist!$K$376:$K$404,X3)</f>
        <v>0</v>
      </c>
      <c r="Y9" s="8">
        <f>COUNTIF(Checklist!$K$376:$K$404,Y3)</f>
        <v>0</v>
      </c>
      <c r="Z9" s="8">
        <f>COUNTIF(Checklist!$K$376:$K$404,Z3)</f>
        <v>0</v>
      </c>
      <c r="AA9" s="8">
        <f>COUNTIF(Checklist!$K$376:$K$404,AA3)</f>
        <v>0</v>
      </c>
      <c r="AC9" s="6" t="s">
        <v>155</v>
      </c>
      <c r="AD9" s="8">
        <f>COUNTIF(Checklist!$K$449:$K$452,AD3)</f>
        <v>0</v>
      </c>
      <c r="AE9" s="8">
        <f>COUNTIF(Checklist!$K$449:$K$452,AE3)</f>
        <v>0</v>
      </c>
      <c r="AF9" s="8">
        <f>COUNTIF(Checklist!$K$449:$K$452,AF3)</f>
        <v>0</v>
      </c>
      <c r="AG9" s="8">
        <f>COUNTIF(Checklist!$K$449:$K$452,AG3)</f>
        <v>0</v>
      </c>
      <c r="AI9" s="23" t="s">
        <v>258</v>
      </c>
      <c r="AJ9" s="24">
        <f>COUNTIF(Checklist!$K$485,AJ3)</f>
        <v>0</v>
      </c>
      <c r="AK9" s="24">
        <f>COUNTIF(Checklist!$K$485,AK3)</f>
        <v>0</v>
      </c>
      <c r="AL9" s="24">
        <f>COUNTIF(Checklist!$K$485,AL3)</f>
        <v>0</v>
      </c>
      <c r="AM9" s="24">
        <f>COUNTIF(Checklist!$K$485,AM3)</f>
        <v>0</v>
      </c>
      <c r="AO9"/>
      <c r="AP9"/>
      <c r="AQ9"/>
      <c r="AR9"/>
      <c r="AS9"/>
      <c r="AT9"/>
    </row>
    <row r="10" spans="2:48" s="2" customFormat="1" ht="15.75" x14ac:dyDescent="0.25">
      <c r="B10" s="1"/>
      <c r="C10" s="1"/>
      <c r="D10" s="1"/>
      <c r="E10" s="1"/>
      <c r="F10" s="1"/>
      <c r="K10"/>
      <c r="L10"/>
      <c r="M10"/>
      <c r="N10"/>
      <c r="O10"/>
      <c r="Q10" s="6" t="s">
        <v>546</v>
      </c>
      <c r="R10" s="8">
        <f>COUNTIF(Checklist!$K$296:$K$304,R3)</f>
        <v>0</v>
      </c>
      <c r="S10" s="8">
        <f>COUNTIF(Checklist!$K$296:$K$304,S3)</f>
        <v>0</v>
      </c>
      <c r="T10" s="8">
        <f>COUNTIF(Checklist!$K$296:$K$304,T3)</f>
        <v>0</v>
      </c>
      <c r="U10" s="8">
        <f>COUNTIF(Checklist!$K$296:$K$304,U3)</f>
        <v>0</v>
      </c>
      <c r="W10" s="6" t="s">
        <v>548</v>
      </c>
      <c r="X10" s="8">
        <f>COUNTIF(Checklist!$K$408:$K$415,X3)</f>
        <v>0</v>
      </c>
      <c r="Y10" s="8">
        <f>COUNTIF(Checklist!$K$408:$K$415,Y3)</f>
        <v>0</v>
      </c>
      <c r="Z10" s="8">
        <f>COUNTIF(Checklist!$K$408:$K$415,Z3)</f>
        <v>0</v>
      </c>
      <c r="AA10" s="8">
        <f>COUNTIF(Checklist!$K$408:$K$415,AA3)</f>
        <v>0</v>
      </c>
      <c r="AC10" s="6" t="s">
        <v>254</v>
      </c>
      <c r="AD10" s="8">
        <f>COUNTIF(Checklist!$K$455:$K$458,AD3)</f>
        <v>0</v>
      </c>
      <c r="AE10" s="8">
        <f>COUNTIF(Checklist!$K$455:$K$458,AE3)</f>
        <v>0</v>
      </c>
      <c r="AF10" s="8">
        <f>COUNTIF(Checklist!$K$455:$K$458,AF3)</f>
        <v>0</v>
      </c>
      <c r="AG10" s="8">
        <f>COUNTIF(Checklist!$K$455:$K$458,AG3)</f>
        <v>0</v>
      </c>
      <c r="AI10" s="23" t="s">
        <v>290</v>
      </c>
      <c r="AJ10" s="24">
        <f>COUNTIF(Checklist!$K$488,AJ3)</f>
        <v>0</v>
      </c>
      <c r="AK10" s="24">
        <f>COUNTIF(Checklist!$K$488,AK3)</f>
        <v>0</v>
      </c>
      <c r="AL10" s="24">
        <f>COUNTIF(Checklist!$K$488,AL3)</f>
        <v>0</v>
      </c>
      <c r="AM10" s="24">
        <f>COUNTIF(Checklist!$K$488,AM3)</f>
        <v>0</v>
      </c>
      <c r="AO10"/>
      <c r="AP10"/>
      <c r="AQ10"/>
      <c r="AR10"/>
      <c r="AS10"/>
      <c r="AT10"/>
    </row>
    <row r="11" spans="2:48" s="2" customFormat="1" ht="15.75" x14ac:dyDescent="0.25">
      <c r="B11" s="1"/>
      <c r="C11" s="1"/>
      <c r="D11" s="1"/>
      <c r="E11" s="1"/>
      <c r="F11" s="1"/>
      <c r="K11"/>
      <c r="L11"/>
      <c r="M11"/>
      <c r="N11"/>
      <c r="O11"/>
      <c r="Q11" s="7"/>
      <c r="R11" s="9"/>
      <c r="S11" s="9"/>
      <c r="T11" s="16"/>
      <c r="U11" s="16"/>
      <c r="W11" s="6" t="s">
        <v>549</v>
      </c>
      <c r="X11" s="8">
        <f>COUNTIF(Checklist!$K$418,X3)</f>
        <v>0</v>
      </c>
      <c r="Y11" s="8">
        <f>COUNTIF(Checklist!$K$418,Y3)</f>
        <v>0</v>
      </c>
      <c r="Z11" s="8">
        <f>COUNTIF(Checklist!$K$418,Z3)</f>
        <v>0</v>
      </c>
      <c r="AA11" s="8">
        <f>COUNTIF(Checklist!$K$418,AA3)</f>
        <v>0</v>
      </c>
      <c r="AC11" s="6" t="s">
        <v>288</v>
      </c>
      <c r="AD11" s="8">
        <f>COUNTIF(Checklist!$K$461,AD3)</f>
        <v>0</v>
      </c>
      <c r="AE11" s="8">
        <f>COUNTIF(Checklist!$K$461,AE3)</f>
        <v>0</v>
      </c>
      <c r="AF11" s="8">
        <f>COUNTIF(Checklist!$K$461,AF3)</f>
        <v>0</v>
      </c>
      <c r="AG11" s="8">
        <f>COUNTIF(Checklist!$K$461,AG3)</f>
        <v>0</v>
      </c>
      <c r="AI11" s="7" t="s">
        <v>289</v>
      </c>
      <c r="AJ11" s="5">
        <f>COUNTIF(Checklist!$K$491:$K$498,'Dashboard Data'!AJ3)</f>
        <v>0</v>
      </c>
      <c r="AK11" s="5">
        <f>COUNTIF(Checklist!$K$491:$K$498,'Dashboard Data'!AK3)</f>
        <v>0</v>
      </c>
      <c r="AL11" s="5">
        <f>COUNTIF(Checklist!$K$491:$K$498,'Dashboard Data'!AL3)</f>
        <v>0</v>
      </c>
      <c r="AM11" s="5">
        <f>COUNTIF(Checklist!$K$491:$K$498,'Dashboard Data'!AM3)</f>
        <v>0</v>
      </c>
      <c r="AO11"/>
      <c r="AP11"/>
      <c r="AQ11"/>
      <c r="AR11"/>
      <c r="AS11"/>
      <c r="AT11"/>
    </row>
    <row r="12" spans="2:48" s="2" customFormat="1" ht="15.75" x14ac:dyDescent="0.25">
      <c r="B12" s="1"/>
      <c r="C12" s="1"/>
      <c r="D12" s="1"/>
      <c r="E12" s="1"/>
      <c r="F12" s="1"/>
      <c r="K12"/>
      <c r="L12"/>
      <c r="M12"/>
      <c r="N12"/>
      <c r="O12"/>
      <c r="Q12" s="1"/>
      <c r="R12" s="1"/>
      <c r="S12" s="1"/>
      <c r="T12" s="1"/>
      <c r="U12" s="1"/>
      <c r="W12" s="6" t="s">
        <v>150</v>
      </c>
      <c r="X12" s="8">
        <f>COUNTIF(Checklist!$K$421:$K$426,X3)</f>
        <v>0</v>
      </c>
      <c r="Y12" s="8">
        <f>COUNTIF(Checklist!$K$421:$K$426,Y3)</f>
        <v>0</v>
      </c>
      <c r="Z12" s="8">
        <f>COUNTIF(Checklist!$K$421:$K$426,Z3)</f>
        <v>0</v>
      </c>
      <c r="AA12" s="8">
        <f>COUNTIF(Checklist!$K$421:$K$426,AA3)</f>
        <v>0</v>
      </c>
      <c r="AC12" s="6"/>
      <c r="AD12" s="8"/>
      <c r="AE12" s="8"/>
      <c r="AF12" s="8"/>
      <c r="AG12" s="15"/>
      <c r="AO12"/>
      <c r="AP12"/>
      <c r="AQ12"/>
      <c r="AR12"/>
      <c r="AS12"/>
      <c r="AT12"/>
    </row>
    <row r="13" spans="2:48" s="2" customFormat="1" ht="15.75" x14ac:dyDescent="0.25">
      <c r="B13" s="1"/>
      <c r="C13" s="1"/>
      <c r="D13" s="1"/>
      <c r="E13" s="1"/>
      <c r="F13" s="1"/>
      <c r="K13"/>
      <c r="L13"/>
      <c r="M13"/>
      <c r="N13"/>
      <c r="O13"/>
      <c r="Q13"/>
      <c r="R13"/>
      <c r="S13"/>
      <c r="T13"/>
      <c r="U13"/>
      <c r="W13" s="6"/>
      <c r="X13" s="8"/>
      <c r="Y13" s="8"/>
      <c r="Z13" s="15"/>
      <c r="AA13" s="15"/>
      <c r="AC13" s="6"/>
      <c r="AD13" s="8"/>
      <c r="AE13" s="8"/>
      <c r="AF13" s="8"/>
      <c r="AG13" s="15"/>
      <c r="AO13"/>
      <c r="AP13"/>
      <c r="AQ13"/>
      <c r="AR13"/>
      <c r="AS13"/>
      <c r="AT13"/>
    </row>
    <row r="14" spans="2:48" ht="15.75" x14ac:dyDescent="0.25">
      <c r="W14" s="6"/>
      <c r="X14" s="8"/>
      <c r="Y14" s="8"/>
      <c r="Z14" s="15"/>
      <c r="AA14" s="15"/>
      <c r="AC14" s="6"/>
      <c r="AD14" s="8"/>
      <c r="AE14" s="8"/>
      <c r="AF14" s="8"/>
      <c r="AG14" s="15"/>
    </row>
    <row r="15" spans="2:48" ht="15.75" x14ac:dyDescent="0.25">
      <c r="W15" s="6"/>
      <c r="X15" s="8"/>
      <c r="Y15" s="8"/>
      <c r="Z15" s="15"/>
      <c r="AA15" s="15"/>
      <c r="AC15" s="7"/>
      <c r="AD15" s="9"/>
      <c r="AE15" s="9"/>
      <c r="AF15" s="16"/>
      <c r="AG15" s="16"/>
    </row>
    <row r="16" spans="2:48" ht="15.75" x14ac:dyDescent="0.25">
      <c r="W16" s="7"/>
      <c r="X16" s="9"/>
      <c r="Y16" s="9"/>
      <c r="Z16" s="16"/>
      <c r="AA16" s="16"/>
      <c r="AC16" s="1"/>
      <c r="AD16" s="1"/>
      <c r="AE16" s="1"/>
      <c r="AF16" s="1"/>
      <c r="AG16" s="1"/>
    </row>
    <row r="17" spans="23:27" x14ac:dyDescent="0.25">
      <c r="W17" s="1"/>
      <c r="X17" s="1"/>
      <c r="Y17" s="1"/>
      <c r="Z17" s="1"/>
      <c r="AA17" s="1"/>
    </row>
  </sheetData>
  <mergeCells count="7">
    <mergeCell ref="AO2:AS2"/>
    <mergeCell ref="AI2:AM2"/>
    <mergeCell ref="B2:F2"/>
    <mergeCell ref="K2:O2"/>
    <mergeCell ref="Q2:U2"/>
    <mergeCell ref="W2:AA2"/>
    <mergeCell ref="AC2:AG2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F8:I14"/>
  <sheetViews>
    <sheetView showGridLines="0" topLeftCell="A4" zoomScaleNormal="100" workbookViewId="0"/>
  </sheetViews>
  <sheetFormatPr defaultRowHeight="15" x14ac:dyDescent="0.25"/>
  <cols>
    <col min="1" max="1" width="12.7109375" customWidth="1"/>
    <col min="2" max="2" width="23.28515625" customWidth="1"/>
    <col min="3" max="4" width="12.7109375" customWidth="1"/>
    <col min="5" max="5" width="19.85546875" customWidth="1"/>
    <col min="6" max="7" width="12.7109375" customWidth="1"/>
    <col min="8" max="8" width="15.140625" customWidth="1"/>
    <col min="9" max="9" width="17.5703125" customWidth="1"/>
    <col min="10" max="10" width="17.85546875" customWidth="1"/>
    <col min="11" max="11" width="19.28515625" customWidth="1"/>
    <col min="12" max="21" width="12.7109375" customWidth="1"/>
  </cols>
  <sheetData>
    <row r="8" spans="6:9" x14ac:dyDescent="0.25">
      <c r="F8" s="17"/>
      <c r="G8" s="17"/>
      <c r="H8" s="17"/>
      <c r="I8" s="17"/>
    </row>
    <row r="9" spans="6:9" x14ac:dyDescent="0.25">
      <c r="I9" s="17"/>
    </row>
    <row r="10" spans="6:9" x14ac:dyDescent="0.25">
      <c r="I10" s="17"/>
    </row>
    <row r="11" spans="6:9" x14ac:dyDescent="0.25">
      <c r="I11" s="17"/>
    </row>
    <row r="12" spans="6:9" x14ac:dyDescent="0.25">
      <c r="I12" s="17"/>
    </row>
    <row r="13" spans="6:9" x14ac:dyDescent="0.25">
      <c r="I13" s="17"/>
    </row>
    <row r="14" spans="6:9" x14ac:dyDescent="0.25">
      <c r="I14" s="17"/>
    </row>
  </sheetData>
  <sheetProtection password="CAA9" sheet="1" objects="1" scenarios="1" formatCells="0" formatColumns="0" formatRows="0"/>
  <printOptions horizontalCentered="1"/>
  <pageMargins left="0.45" right="0.45" top="0.75" bottom="0.75" header="0.3" footer="0.3"/>
  <pageSetup paperSize="9" scale="72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166474E7A7B64AB5A0A78F285A04EB" ma:contentTypeVersion="1" ma:contentTypeDescription="Create a new document." ma:contentTypeScope="" ma:versionID="b4a01e2ae5d59d65ec81c23777f20571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ce71b34a8bca6cbcce2fb89b317b0133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" ma:hidden="true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E85F1345-7D13-4363-ACDC-A8C7484E8FAD}"/>
</file>

<file path=customXml/itemProps2.xml><?xml version="1.0" encoding="utf-8"?>
<ds:datastoreItem xmlns:ds="http://schemas.openxmlformats.org/officeDocument/2006/customXml" ds:itemID="{CCEBBD46-135C-48B4-81FB-1477B1385D96}"/>
</file>

<file path=customXml/itemProps3.xml><?xml version="1.0" encoding="utf-8"?>
<ds:datastoreItem xmlns:ds="http://schemas.openxmlformats.org/officeDocument/2006/customXml" ds:itemID="{0AD5C0F8-D056-48A7-A1F2-68BFC37395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51</vt:i4>
      </vt:variant>
    </vt:vector>
  </HeadingPairs>
  <TitlesOfParts>
    <vt:vector size="55" baseType="lpstr">
      <vt:lpstr>Main</vt:lpstr>
      <vt:lpstr>Checklist</vt:lpstr>
      <vt:lpstr>Dashboard Data</vt:lpstr>
      <vt:lpstr>Dashboard</vt:lpstr>
      <vt:lpstr>Adverse_Weather_Conditions</vt:lpstr>
      <vt:lpstr>Adverse_Weather_Oversight_Procedures</vt:lpstr>
      <vt:lpstr>Aircraft_Arrival</vt:lpstr>
      <vt:lpstr>Aircraft_Cabin_Servicing</vt:lpstr>
      <vt:lpstr>Aircraft_Chocking</vt:lpstr>
      <vt:lpstr>Aircraft_Coning</vt:lpstr>
      <vt:lpstr>Aircraft_Departure</vt:lpstr>
      <vt:lpstr>Aircraft_Doors</vt:lpstr>
      <vt:lpstr>Aircraft_Loading</vt:lpstr>
      <vt:lpstr>Aircraft_Towing</vt:lpstr>
      <vt:lpstr>Aircraft_Towning</vt:lpstr>
      <vt:lpstr>Airside_Safety_investigation_Procedure</vt:lpstr>
      <vt:lpstr>Airside_Safety_Operational</vt:lpstr>
      <vt:lpstr>Baggage_Handling</vt:lpstr>
      <vt:lpstr>Baggage_Security</vt:lpstr>
      <vt:lpstr>Cabin_Baggage</vt:lpstr>
      <vt:lpstr>Checked_Baggage</vt:lpstr>
      <vt:lpstr>Emergency_Response_Procedures</vt:lpstr>
      <vt:lpstr>Hand_Signals</vt:lpstr>
      <vt:lpstr>Information_Exchange</vt:lpstr>
      <vt:lpstr>Introduction</vt:lpstr>
      <vt:lpstr>Introduction_5</vt:lpstr>
      <vt:lpstr>Introduction_6</vt:lpstr>
      <vt:lpstr>Introduction5</vt:lpstr>
      <vt:lpstr>Load_Control</vt:lpstr>
      <vt:lpstr>Load_Control_Principles</vt:lpstr>
      <vt:lpstr>Load_Control_Process_Flow</vt:lpstr>
      <vt:lpstr>Load_planning</vt:lpstr>
      <vt:lpstr>Loadsheet</vt:lpstr>
      <vt:lpstr>Mishandled_Baggage</vt:lpstr>
      <vt:lpstr>Monitoring_Procedures</vt:lpstr>
      <vt:lpstr>Open_Ramp_Departure</vt:lpstr>
      <vt:lpstr>Passenger_Arrival</vt:lpstr>
      <vt:lpstr>Passenger_Departure</vt:lpstr>
      <vt:lpstr>Passenger_Irregularities</vt:lpstr>
      <vt:lpstr>Passenger_Security</vt:lpstr>
      <vt:lpstr>Portable_Water_Servicing</vt:lpstr>
      <vt:lpstr>Post_Departure_Messaging</vt:lpstr>
      <vt:lpstr>Power_Push_Unit</vt:lpstr>
      <vt:lpstr>Dashboard!Print_Area</vt:lpstr>
      <vt:lpstr>Main!Print_Area</vt:lpstr>
      <vt:lpstr>Ramp_Safety_in_Aircraft_Handling</vt:lpstr>
      <vt:lpstr>Regulatory_Requirements</vt:lpstr>
      <vt:lpstr>Reporting_incidents</vt:lpstr>
      <vt:lpstr>Safety_During_Fueling_Defueling</vt:lpstr>
      <vt:lpstr>Special_Baggage</vt:lpstr>
      <vt:lpstr>Special_Categories_of_Passengers</vt:lpstr>
      <vt:lpstr>Supervision_Scope</vt:lpstr>
      <vt:lpstr>Toilet_Servicing</vt:lpstr>
      <vt:lpstr>Turnaround_Coordination</vt:lpstr>
      <vt:lpstr>Turnaroung_Coordination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IGOM gap analysis checklist</dc:title>
  <dc:creator>Perceptive Analytics</dc:creator>
  <cp:lastModifiedBy>ODHIAMBO Caroline</cp:lastModifiedBy>
  <cp:lastPrinted>2015-10-06T07:41:38Z</cp:lastPrinted>
  <dcterms:created xsi:type="dcterms:W3CDTF">2015-07-17T09:42:43Z</dcterms:created>
  <dcterms:modified xsi:type="dcterms:W3CDTF">2018-09-13T15:15:39Z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a2c98866-bf81-45c6-8681-21800e68175a</vt:lpwstr>
  </property>
  <property fmtid="{D5CDD505-2E9C-101B-9397-08002B2CF9AE}" pid="3" name="ContentTypeId">
    <vt:lpwstr>0x01010016166474E7A7B64AB5A0A78F285A04EB</vt:lpwstr>
  </property>
</Properties>
</file>